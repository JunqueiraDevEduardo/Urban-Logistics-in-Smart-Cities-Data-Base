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EduardoMiguelMoreira\Documents\Urban-Logistics-in-Smart-Cities-Data-Base\"/>
    </mc:Choice>
  </mc:AlternateContent>
  <xr:revisionPtr revIDLastSave="0" documentId="8_{336032B4-4216-430C-A924-7099A6656629}" xr6:coauthVersionLast="47" xr6:coauthVersionMax="47" xr10:uidLastSave="{00000000-0000-0000-0000-000000000000}"/>
  <bookViews>
    <workbookView xWindow="-108" yWindow="-108" windowWidth="23256" windowHeight="13896" xr2:uid="{AC47AE4E-9833-407C-96C2-6D2A729874C6}"/>
  </bookViews>
  <sheets>
    <sheet name="savedrecs" sheetId="1" r:id="rId1"/>
  </sheets>
  <definedNames>
    <definedName name="H3xBW">savedrecs!$H$3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2" i="1" l="1"/>
  <c r="BT2" i="1"/>
  <c r="BF3" i="1"/>
  <c r="BT3" i="1"/>
  <c r="BF4" i="1"/>
  <c r="BT4" i="1"/>
  <c r="BF5" i="1"/>
  <c r="BT5" i="1"/>
  <c r="BF6" i="1"/>
  <c r="BT6" i="1"/>
  <c r="BF7" i="1"/>
  <c r="BT7" i="1"/>
  <c r="BF8" i="1"/>
  <c r="BT8" i="1"/>
  <c r="BF9" i="1"/>
  <c r="BT9" i="1"/>
  <c r="BF10" i="1"/>
  <c r="BT10" i="1"/>
  <c r="BF11" i="1"/>
  <c r="BT11" i="1"/>
  <c r="BF12" i="1"/>
  <c r="BT12" i="1"/>
  <c r="BF13" i="1"/>
  <c r="BT13" i="1"/>
  <c r="BF14" i="1"/>
  <c r="BT14" i="1"/>
  <c r="BF15" i="1"/>
  <c r="BT15" i="1"/>
  <c r="BF16" i="1"/>
  <c r="BT16" i="1"/>
  <c r="BF17" i="1"/>
  <c r="BT17" i="1"/>
  <c r="BF18" i="1"/>
  <c r="BT18" i="1"/>
  <c r="BF19" i="1"/>
  <c r="BT19" i="1"/>
  <c r="BF20" i="1"/>
  <c r="BT20" i="1"/>
  <c r="BF21" i="1"/>
  <c r="BT21" i="1"/>
  <c r="BF22" i="1"/>
  <c r="BT22" i="1"/>
  <c r="BF23" i="1"/>
  <c r="BT23" i="1"/>
  <c r="BF24" i="1"/>
  <c r="BT24" i="1"/>
  <c r="BF25" i="1"/>
  <c r="BT25" i="1"/>
  <c r="BF26" i="1"/>
  <c r="BT26" i="1"/>
  <c r="BF27" i="1"/>
  <c r="BT27" i="1"/>
  <c r="BF28" i="1"/>
  <c r="BT28" i="1"/>
  <c r="BF29" i="1"/>
  <c r="BT29" i="1"/>
  <c r="BF30" i="1"/>
  <c r="BT30" i="1"/>
  <c r="BF31" i="1"/>
  <c r="BT31" i="1"/>
  <c r="BF32" i="1"/>
  <c r="BT32" i="1"/>
  <c r="BF33" i="1"/>
  <c r="BT33" i="1"/>
  <c r="BF34" i="1"/>
  <c r="BT34" i="1"/>
  <c r="BF35" i="1"/>
  <c r="BT35" i="1"/>
  <c r="BF36" i="1"/>
  <c r="BT36" i="1"/>
  <c r="BF37" i="1"/>
  <c r="BT37" i="1"/>
  <c r="BF38" i="1"/>
  <c r="BT38" i="1"/>
  <c r="BF39" i="1"/>
  <c r="BT39" i="1"/>
  <c r="BF40" i="1"/>
  <c r="BT40" i="1"/>
  <c r="BF41" i="1"/>
  <c r="BT41" i="1"/>
  <c r="BF42" i="1"/>
  <c r="BT42" i="1"/>
  <c r="BF43" i="1"/>
  <c r="BT43" i="1"/>
  <c r="BF44" i="1"/>
  <c r="BT44" i="1"/>
  <c r="BF45" i="1"/>
  <c r="BT45" i="1"/>
  <c r="BF46" i="1"/>
  <c r="BT46" i="1"/>
  <c r="BF47" i="1"/>
  <c r="BT47" i="1"/>
  <c r="BF48" i="1"/>
  <c r="BT48" i="1"/>
  <c r="BF49" i="1"/>
  <c r="BT49" i="1"/>
  <c r="BF50" i="1"/>
  <c r="BT50" i="1"/>
  <c r="BF51" i="1"/>
  <c r="BT51" i="1"/>
  <c r="BF52" i="1"/>
  <c r="BT52" i="1"/>
  <c r="BF53" i="1"/>
  <c r="BT53" i="1"/>
  <c r="BF54" i="1"/>
  <c r="BT54" i="1"/>
  <c r="BF55" i="1"/>
  <c r="BT55" i="1"/>
  <c r="BF56" i="1"/>
  <c r="BT56" i="1"/>
  <c r="BF57" i="1"/>
  <c r="BT57" i="1"/>
  <c r="BF58" i="1"/>
  <c r="BT58" i="1"/>
  <c r="BF59" i="1"/>
  <c r="BT59" i="1"/>
  <c r="BF60" i="1"/>
  <c r="BT60" i="1"/>
  <c r="BF61" i="1"/>
  <c r="BT61" i="1"/>
  <c r="BF62" i="1"/>
  <c r="BT62" i="1"/>
  <c r="BF63" i="1"/>
  <c r="BT63" i="1"/>
  <c r="BF64" i="1"/>
  <c r="BT64" i="1"/>
  <c r="BF65" i="1"/>
  <c r="BT65" i="1"/>
  <c r="BF66" i="1"/>
  <c r="BT66" i="1"/>
  <c r="BF67" i="1"/>
  <c r="BT67" i="1"/>
  <c r="BF68" i="1"/>
  <c r="BT68" i="1"/>
  <c r="BF69" i="1"/>
  <c r="BT69" i="1"/>
  <c r="BF70" i="1"/>
  <c r="BT70" i="1"/>
  <c r="BF71" i="1"/>
  <c r="BT71" i="1"/>
  <c r="BF72" i="1"/>
  <c r="BT72" i="1"/>
  <c r="BF73" i="1"/>
  <c r="BT73" i="1"/>
  <c r="BF74" i="1"/>
  <c r="BT74" i="1"/>
  <c r="BF75" i="1"/>
  <c r="BT75" i="1"/>
  <c r="BT76" i="1"/>
  <c r="BF77" i="1"/>
  <c r="BT77" i="1"/>
  <c r="BF78" i="1"/>
  <c r="BT78" i="1"/>
  <c r="BF79" i="1"/>
  <c r="BT79" i="1"/>
  <c r="BF80" i="1"/>
  <c r="BT80" i="1"/>
  <c r="BF81" i="1"/>
  <c r="BT81" i="1"/>
  <c r="BF82" i="1"/>
  <c r="BT82" i="1"/>
  <c r="BF83" i="1"/>
  <c r="BT83" i="1"/>
  <c r="BF84" i="1"/>
  <c r="BT84" i="1"/>
  <c r="BF85" i="1"/>
  <c r="BT85" i="1"/>
  <c r="BF86" i="1"/>
  <c r="BT86" i="1"/>
  <c r="BF87" i="1"/>
  <c r="BT87" i="1"/>
  <c r="BF88" i="1"/>
  <c r="BT88" i="1"/>
  <c r="BF89" i="1"/>
  <c r="BT89" i="1"/>
  <c r="BF90" i="1"/>
  <c r="BT90" i="1"/>
  <c r="BT91" i="1"/>
  <c r="BF92" i="1"/>
  <c r="BT92" i="1"/>
  <c r="BT93" i="1"/>
  <c r="BF94" i="1"/>
  <c r="BT94" i="1"/>
  <c r="BF95" i="1"/>
  <c r="BT95" i="1"/>
  <c r="BF96" i="1"/>
  <c r="BT96" i="1"/>
  <c r="BF97" i="1"/>
  <c r="BT97" i="1"/>
  <c r="BF98" i="1"/>
  <c r="BT98" i="1"/>
  <c r="BF99" i="1"/>
  <c r="BT99" i="1"/>
  <c r="BF100" i="1"/>
  <c r="BT100" i="1"/>
  <c r="BF101" i="1"/>
  <c r="BT101" i="1"/>
  <c r="BF102" i="1"/>
  <c r="BT102" i="1"/>
  <c r="BF103" i="1"/>
  <c r="BT103" i="1"/>
  <c r="BF104" i="1"/>
  <c r="BT104" i="1"/>
  <c r="BF105" i="1"/>
  <c r="BT105" i="1"/>
  <c r="BT106" i="1"/>
  <c r="BF107" i="1"/>
  <c r="BT107" i="1"/>
  <c r="BT108" i="1"/>
  <c r="BT109" i="1"/>
  <c r="BT110" i="1"/>
  <c r="BT111" i="1"/>
  <c r="BT112" i="1"/>
  <c r="BF113" i="1"/>
  <c r="BT113" i="1"/>
  <c r="BT114" i="1"/>
  <c r="BF115" i="1"/>
  <c r="BT115" i="1"/>
  <c r="BT116" i="1"/>
  <c r="BT117" i="1"/>
  <c r="BF118" i="1"/>
  <c r="BT118" i="1"/>
  <c r="BT119" i="1"/>
  <c r="BF120" i="1"/>
  <c r="BT120" i="1"/>
  <c r="BF121" i="1"/>
  <c r="BT121" i="1"/>
  <c r="BF122" i="1"/>
  <c r="BT122" i="1"/>
  <c r="BF123" i="1"/>
  <c r="BT123" i="1"/>
  <c r="BT124" i="1"/>
  <c r="BF125" i="1"/>
  <c r="BT125" i="1"/>
  <c r="BF126" i="1"/>
  <c r="BT126" i="1"/>
  <c r="BF127" i="1"/>
  <c r="BT127" i="1"/>
  <c r="BF128" i="1"/>
  <c r="BT128" i="1"/>
  <c r="BF129" i="1"/>
  <c r="BT129" i="1"/>
  <c r="BF130" i="1"/>
  <c r="BT130" i="1"/>
  <c r="BF131" i="1"/>
  <c r="BT131" i="1"/>
  <c r="BF132" i="1"/>
  <c r="BT132" i="1"/>
  <c r="BF133" i="1"/>
  <c r="BT133" i="1"/>
  <c r="BF134" i="1"/>
  <c r="BT134" i="1"/>
  <c r="BF135" i="1"/>
  <c r="BT135" i="1"/>
  <c r="BF136" i="1"/>
  <c r="BT136" i="1"/>
  <c r="BF137" i="1"/>
  <c r="BT137" i="1"/>
  <c r="BF138" i="1"/>
  <c r="BT138" i="1"/>
  <c r="BF139" i="1"/>
  <c r="BT139" i="1"/>
  <c r="BF140" i="1"/>
  <c r="BT140" i="1"/>
  <c r="BF141" i="1"/>
  <c r="BT141" i="1"/>
  <c r="BF142" i="1"/>
  <c r="BT142" i="1"/>
  <c r="BF143" i="1"/>
  <c r="BT143" i="1"/>
  <c r="BF144" i="1"/>
  <c r="BT144" i="1"/>
  <c r="BF145" i="1"/>
  <c r="BT145" i="1"/>
  <c r="BF146" i="1"/>
  <c r="BT146" i="1"/>
  <c r="BF147" i="1"/>
  <c r="BT147" i="1"/>
  <c r="BF148" i="1"/>
  <c r="BT148" i="1"/>
  <c r="BF149" i="1"/>
  <c r="BT149" i="1"/>
  <c r="BF150" i="1"/>
  <c r="BT150" i="1"/>
  <c r="BF151" i="1"/>
  <c r="BT151" i="1"/>
  <c r="BF152" i="1"/>
  <c r="BT152" i="1"/>
  <c r="BF153" i="1"/>
  <c r="BT153" i="1"/>
  <c r="BF154" i="1"/>
  <c r="BT154" i="1"/>
  <c r="BF155" i="1"/>
  <c r="BT155" i="1"/>
  <c r="BF156" i="1"/>
  <c r="BT156" i="1"/>
  <c r="BF157" i="1"/>
  <c r="BT157" i="1"/>
  <c r="BF158" i="1"/>
  <c r="BT158" i="1"/>
  <c r="BF159" i="1"/>
  <c r="BT159" i="1"/>
  <c r="BF160" i="1"/>
  <c r="BT160" i="1"/>
  <c r="BF161" i="1"/>
  <c r="BT161" i="1"/>
  <c r="BF162" i="1"/>
  <c r="BT162" i="1"/>
  <c r="BF163" i="1"/>
  <c r="BT163" i="1"/>
  <c r="BF164" i="1"/>
  <c r="BT164" i="1"/>
  <c r="BF165" i="1"/>
  <c r="BT165" i="1"/>
  <c r="BF166" i="1"/>
  <c r="BT166" i="1"/>
  <c r="BF167" i="1"/>
  <c r="BT167" i="1"/>
  <c r="BF168" i="1"/>
  <c r="BT168" i="1"/>
  <c r="BF169" i="1"/>
  <c r="BT169" i="1"/>
  <c r="BF170" i="1"/>
  <c r="BT170" i="1"/>
  <c r="BF171" i="1"/>
  <c r="BT171" i="1"/>
  <c r="BF172" i="1"/>
  <c r="BT172" i="1"/>
  <c r="BF173" i="1"/>
  <c r="BT173" i="1"/>
  <c r="BF174" i="1"/>
  <c r="BT174" i="1"/>
  <c r="BF175" i="1"/>
  <c r="BT175" i="1"/>
  <c r="BT176" i="1"/>
  <c r="BF177" i="1"/>
  <c r="BT177" i="1"/>
  <c r="BF178" i="1"/>
  <c r="BT178" i="1"/>
  <c r="BF179" i="1"/>
  <c r="BT179" i="1"/>
  <c r="BF180" i="1"/>
  <c r="BT180" i="1"/>
  <c r="BF181" i="1"/>
  <c r="BT181" i="1"/>
  <c r="BT182" i="1"/>
  <c r="BF183" i="1"/>
  <c r="BT183" i="1"/>
  <c r="BF184" i="1"/>
  <c r="BT184" i="1"/>
  <c r="BF185" i="1"/>
  <c r="BT185" i="1"/>
  <c r="BF186" i="1"/>
  <c r="BT186" i="1"/>
  <c r="BT187" i="1"/>
  <c r="BF188" i="1"/>
  <c r="BT188" i="1"/>
  <c r="BF189" i="1"/>
  <c r="BT189" i="1"/>
  <c r="BF190" i="1"/>
  <c r="BT190" i="1"/>
  <c r="BF191" i="1"/>
  <c r="BT191" i="1"/>
  <c r="BF192" i="1"/>
  <c r="BT192" i="1"/>
  <c r="BF193" i="1"/>
  <c r="BT193" i="1"/>
  <c r="BF194" i="1"/>
  <c r="BT194" i="1"/>
  <c r="BF195" i="1"/>
  <c r="BT195" i="1"/>
  <c r="BF196" i="1"/>
  <c r="BT196" i="1"/>
  <c r="BF197" i="1"/>
  <c r="BT197" i="1"/>
  <c r="BF198" i="1"/>
  <c r="BT198" i="1"/>
  <c r="BF199" i="1"/>
  <c r="BT199" i="1"/>
  <c r="BT200" i="1"/>
  <c r="BF201" i="1"/>
  <c r="BT201" i="1"/>
  <c r="BF202" i="1"/>
  <c r="BT202" i="1"/>
  <c r="BF203" i="1"/>
  <c r="BT203" i="1"/>
  <c r="BF204" i="1"/>
  <c r="BT204" i="1"/>
  <c r="BF205" i="1"/>
  <c r="BT205" i="1"/>
  <c r="BF206" i="1"/>
  <c r="BT206" i="1"/>
  <c r="BT207" i="1"/>
  <c r="BT208" i="1"/>
  <c r="BT209" i="1"/>
  <c r="BT210" i="1"/>
  <c r="BF211" i="1"/>
  <c r="BT211" i="1"/>
  <c r="BF212" i="1"/>
  <c r="BT212" i="1"/>
  <c r="BF213" i="1"/>
  <c r="BT213" i="1"/>
  <c r="BF214" i="1"/>
  <c r="BT214" i="1"/>
  <c r="BT215" i="1"/>
  <c r="BF216" i="1"/>
  <c r="BT216" i="1"/>
  <c r="BF217" i="1"/>
  <c r="BT217" i="1"/>
  <c r="BT218" i="1"/>
  <c r="BF219" i="1"/>
  <c r="BT219" i="1"/>
  <c r="BF220" i="1"/>
  <c r="BT220" i="1"/>
  <c r="BT221" i="1"/>
  <c r="BT222" i="1"/>
  <c r="BT223" i="1"/>
  <c r="BT224" i="1"/>
  <c r="BF225" i="1"/>
  <c r="BT225" i="1"/>
  <c r="BT226" i="1"/>
  <c r="BF227" i="1"/>
  <c r="BT227" i="1"/>
  <c r="BF228" i="1"/>
  <c r="BT228" i="1"/>
  <c r="BF229" i="1"/>
  <c r="BT229" i="1"/>
  <c r="BF230" i="1"/>
  <c r="BT230" i="1"/>
  <c r="BF231" i="1"/>
  <c r="BT231" i="1"/>
  <c r="BF232" i="1"/>
  <c r="BT232" i="1"/>
  <c r="BF233" i="1"/>
  <c r="BT233" i="1"/>
  <c r="BT234" i="1"/>
  <c r="BF235" i="1"/>
  <c r="BT235" i="1"/>
  <c r="BF236" i="1"/>
  <c r="BT236" i="1"/>
  <c r="BF237" i="1"/>
  <c r="BT237" i="1"/>
  <c r="BF238" i="1"/>
  <c r="BT238" i="1"/>
  <c r="BT239" i="1"/>
  <c r="BF240" i="1"/>
  <c r="BT240" i="1"/>
  <c r="BF241" i="1"/>
  <c r="BT241" i="1"/>
  <c r="BF242" i="1"/>
  <c r="BT242" i="1"/>
  <c r="BF243" i="1"/>
  <c r="BT243" i="1"/>
  <c r="BT244" i="1"/>
  <c r="BT245" i="1"/>
  <c r="BF246" i="1"/>
  <c r="BT246" i="1"/>
  <c r="BF247" i="1"/>
  <c r="BT247" i="1"/>
  <c r="BT248" i="1"/>
  <c r="BT249" i="1"/>
  <c r="BF250" i="1"/>
  <c r="BT250" i="1"/>
  <c r="BF251" i="1"/>
  <c r="BT251" i="1"/>
  <c r="BF252" i="1"/>
  <c r="BT252" i="1"/>
  <c r="BF253" i="1"/>
  <c r="BT253" i="1"/>
  <c r="BT254" i="1"/>
  <c r="BT255" i="1"/>
  <c r="BF256" i="1"/>
  <c r="BT256" i="1"/>
  <c r="BF257" i="1"/>
  <c r="BT257" i="1"/>
  <c r="BF258" i="1"/>
  <c r="BT258" i="1"/>
  <c r="BF259" i="1"/>
  <c r="BT259" i="1"/>
  <c r="BF260" i="1"/>
  <c r="BT260" i="1"/>
  <c r="BF261" i="1"/>
  <c r="BT261" i="1"/>
  <c r="BF262" i="1"/>
  <c r="BT262" i="1"/>
  <c r="BF263" i="1"/>
  <c r="BT263" i="1"/>
  <c r="BF264" i="1"/>
  <c r="BT264" i="1"/>
  <c r="BF265" i="1"/>
  <c r="BT265" i="1"/>
  <c r="BF266" i="1"/>
  <c r="BT266" i="1"/>
  <c r="BF267" i="1"/>
  <c r="BT267" i="1"/>
  <c r="BF268" i="1"/>
  <c r="BT268" i="1"/>
  <c r="BF269" i="1"/>
  <c r="BT269" i="1"/>
  <c r="BF270" i="1"/>
  <c r="BT270" i="1"/>
  <c r="BF271" i="1"/>
  <c r="BT271" i="1"/>
  <c r="BF272" i="1"/>
  <c r="BT272" i="1"/>
  <c r="BF273" i="1"/>
  <c r="BT273" i="1"/>
  <c r="BF274" i="1"/>
  <c r="BT274" i="1"/>
  <c r="BF275" i="1"/>
  <c r="BT275" i="1"/>
  <c r="BF276" i="1"/>
  <c r="BT276" i="1"/>
  <c r="BF277" i="1"/>
  <c r="BT277" i="1"/>
  <c r="BF278" i="1"/>
  <c r="BT278" i="1"/>
  <c r="BF279" i="1"/>
  <c r="BT279" i="1"/>
  <c r="BF280" i="1"/>
  <c r="BT280" i="1"/>
  <c r="BF281" i="1"/>
  <c r="BT281" i="1"/>
  <c r="BF282" i="1"/>
  <c r="BT282" i="1"/>
  <c r="BF283" i="1"/>
  <c r="BT283" i="1"/>
  <c r="BF284" i="1"/>
  <c r="BT284" i="1"/>
  <c r="BF285" i="1"/>
  <c r="BT285" i="1"/>
  <c r="BF286" i="1"/>
  <c r="BT286" i="1"/>
  <c r="BF287" i="1"/>
  <c r="BT287" i="1"/>
  <c r="BF288" i="1"/>
  <c r="BT288" i="1"/>
  <c r="BF289" i="1"/>
  <c r="BT289" i="1"/>
  <c r="BF290" i="1"/>
  <c r="BT290" i="1"/>
  <c r="BF291" i="1"/>
  <c r="BT291" i="1"/>
  <c r="BF292" i="1"/>
  <c r="BT292" i="1"/>
  <c r="BF293" i="1"/>
  <c r="BT293" i="1"/>
  <c r="BF294" i="1"/>
  <c r="BT294" i="1"/>
  <c r="BF295" i="1"/>
  <c r="BT295" i="1"/>
  <c r="BF296" i="1"/>
  <c r="BT296" i="1"/>
  <c r="BF297" i="1"/>
  <c r="BT297" i="1"/>
  <c r="BF298" i="1"/>
  <c r="BT298" i="1"/>
  <c r="BF299" i="1"/>
  <c r="BT299" i="1"/>
  <c r="BF300" i="1"/>
  <c r="BT300" i="1"/>
  <c r="BF301" i="1"/>
  <c r="BT301" i="1"/>
  <c r="BF302" i="1"/>
  <c r="BT302" i="1"/>
  <c r="BF303" i="1"/>
  <c r="BT303" i="1"/>
  <c r="BF304" i="1"/>
  <c r="BT304" i="1"/>
  <c r="BF305" i="1"/>
  <c r="BT305" i="1"/>
  <c r="BF306" i="1"/>
  <c r="BT306" i="1"/>
  <c r="BF307" i="1"/>
  <c r="BT307" i="1"/>
  <c r="BF308" i="1"/>
  <c r="BT308" i="1"/>
  <c r="BT309" i="1"/>
  <c r="BF310" i="1"/>
  <c r="BT310" i="1"/>
  <c r="BT311" i="1"/>
  <c r="BF312" i="1"/>
  <c r="BT312" i="1"/>
  <c r="BF313" i="1"/>
  <c r="BT313" i="1"/>
  <c r="BT314" i="1"/>
  <c r="BF315" i="1"/>
  <c r="BT315" i="1"/>
  <c r="BF316" i="1"/>
  <c r="BT316" i="1"/>
  <c r="BF317" i="1"/>
  <c r="BT317" i="1"/>
  <c r="BF318" i="1"/>
  <c r="BT318" i="1"/>
  <c r="BT319" i="1"/>
  <c r="BF320" i="1"/>
  <c r="BT320" i="1"/>
  <c r="BF321" i="1"/>
  <c r="BT321" i="1"/>
  <c r="BF322" i="1"/>
  <c r="BT322" i="1"/>
  <c r="BF323" i="1"/>
  <c r="BT323" i="1"/>
  <c r="BF324" i="1"/>
  <c r="BT324" i="1"/>
  <c r="BT325" i="1"/>
  <c r="BT326" i="1"/>
  <c r="BF327" i="1"/>
  <c r="BT327" i="1"/>
  <c r="BF328" i="1"/>
  <c r="BT328" i="1"/>
  <c r="BF329" i="1"/>
  <c r="BT329" i="1"/>
  <c r="BF330" i="1"/>
  <c r="BT330" i="1"/>
  <c r="BF331" i="1"/>
  <c r="BT331" i="1"/>
  <c r="BF332" i="1"/>
  <c r="BT332" i="1"/>
  <c r="BF333" i="1"/>
  <c r="BT333" i="1"/>
  <c r="BF334" i="1"/>
  <c r="BT334" i="1"/>
  <c r="BF335" i="1"/>
  <c r="BT335" i="1"/>
  <c r="BF336" i="1"/>
  <c r="BT336" i="1"/>
  <c r="BF337" i="1"/>
  <c r="BT337" i="1"/>
  <c r="BF338" i="1"/>
  <c r="BT338" i="1"/>
  <c r="BF339" i="1"/>
  <c r="BT339" i="1"/>
  <c r="BF340" i="1"/>
  <c r="BT340" i="1"/>
  <c r="BF341" i="1"/>
  <c r="BT341" i="1"/>
  <c r="BF342" i="1"/>
  <c r="BT342" i="1"/>
  <c r="BF343" i="1"/>
  <c r="BT343" i="1"/>
  <c r="BF344" i="1"/>
  <c r="BT344" i="1"/>
  <c r="BF345" i="1"/>
  <c r="BT345" i="1"/>
  <c r="BF346" i="1"/>
  <c r="BT346" i="1"/>
  <c r="BF347" i="1"/>
  <c r="BT347" i="1"/>
  <c r="BF348" i="1"/>
  <c r="BT348" i="1"/>
  <c r="BF349" i="1"/>
  <c r="BT349" i="1"/>
  <c r="BF350" i="1"/>
  <c r="BT350" i="1"/>
  <c r="BF351" i="1"/>
  <c r="BT351" i="1"/>
  <c r="BF352" i="1"/>
  <c r="BT352" i="1"/>
  <c r="BF353" i="1"/>
  <c r="BT353" i="1"/>
  <c r="BF354" i="1"/>
  <c r="BT354" i="1"/>
  <c r="BF355" i="1"/>
  <c r="BT355" i="1"/>
  <c r="BF356" i="1"/>
  <c r="BT356" i="1"/>
  <c r="BF357" i="1"/>
  <c r="BT357" i="1"/>
  <c r="BF358" i="1"/>
  <c r="BT358" i="1"/>
  <c r="BF359" i="1"/>
  <c r="BT359" i="1"/>
  <c r="BF360" i="1"/>
  <c r="BT360" i="1"/>
  <c r="BF361" i="1"/>
  <c r="BT361" i="1"/>
  <c r="BF362" i="1"/>
  <c r="BT362" i="1"/>
  <c r="BF363" i="1"/>
  <c r="BT363" i="1"/>
  <c r="BF364" i="1"/>
  <c r="BT364" i="1"/>
  <c r="BF365" i="1"/>
  <c r="BT365" i="1"/>
  <c r="BF366" i="1"/>
  <c r="BT366" i="1"/>
  <c r="BF367" i="1"/>
  <c r="BT367" i="1"/>
  <c r="BF368" i="1"/>
  <c r="BT368" i="1"/>
  <c r="BF369" i="1"/>
  <c r="BT369" i="1"/>
  <c r="BF370" i="1"/>
  <c r="BT370" i="1"/>
  <c r="BF371" i="1"/>
  <c r="BT371" i="1"/>
  <c r="BF372" i="1"/>
  <c r="BT372" i="1"/>
  <c r="BF373" i="1"/>
  <c r="BT373" i="1"/>
  <c r="BF374" i="1"/>
  <c r="BT374" i="1"/>
  <c r="BF375" i="1"/>
  <c r="BT375" i="1"/>
  <c r="BF376" i="1"/>
  <c r="BT376" i="1"/>
  <c r="BF377" i="1"/>
  <c r="BT377" i="1"/>
  <c r="BF378" i="1"/>
  <c r="BT378" i="1"/>
  <c r="BF379" i="1"/>
  <c r="BT379" i="1"/>
  <c r="BF380" i="1"/>
  <c r="BT380" i="1"/>
  <c r="BF381" i="1"/>
  <c r="BT381" i="1"/>
  <c r="BF382" i="1"/>
  <c r="BT382" i="1"/>
  <c r="BF383" i="1"/>
  <c r="BT383" i="1"/>
  <c r="BF384" i="1"/>
  <c r="BT384" i="1"/>
  <c r="BF385" i="1"/>
  <c r="BT385" i="1"/>
  <c r="BF386" i="1"/>
  <c r="BT386" i="1"/>
  <c r="BF387" i="1"/>
  <c r="BT387" i="1"/>
  <c r="BF388" i="1"/>
  <c r="BT388" i="1"/>
  <c r="BF389" i="1"/>
  <c r="BT389" i="1"/>
  <c r="BF390" i="1"/>
  <c r="BT390" i="1"/>
  <c r="BF391" i="1"/>
  <c r="BT391" i="1"/>
  <c r="BF392" i="1"/>
  <c r="BT392" i="1"/>
  <c r="BF393" i="1"/>
  <c r="BT393" i="1"/>
  <c r="BF394" i="1"/>
  <c r="BT394" i="1"/>
  <c r="BF395" i="1"/>
  <c r="BT395" i="1"/>
  <c r="BF396" i="1"/>
  <c r="BT396" i="1"/>
  <c r="BF397" i="1"/>
  <c r="BT397" i="1"/>
  <c r="BF398" i="1"/>
  <c r="BT398" i="1"/>
  <c r="BF399" i="1"/>
  <c r="BT399" i="1"/>
  <c r="BF400" i="1"/>
  <c r="BT400" i="1"/>
  <c r="BF401" i="1"/>
  <c r="BT401" i="1"/>
  <c r="BF402" i="1"/>
  <c r="BT402" i="1"/>
  <c r="BF403" i="1"/>
  <c r="BT403" i="1"/>
  <c r="BF404" i="1"/>
  <c r="BT404" i="1"/>
  <c r="BF405" i="1"/>
  <c r="BT405" i="1"/>
  <c r="BF406" i="1"/>
  <c r="BT406" i="1"/>
  <c r="BF407" i="1"/>
  <c r="BT407" i="1"/>
  <c r="BF408" i="1"/>
  <c r="BT408" i="1"/>
  <c r="BF409" i="1"/>
  <c r="BT409" i="1"/>
  <c r="BF410" i="1"/>
  <c r="BT410" i="1"/>
  <c r="BT411" i="1"/>
  <c r="BF412" i="1"/>
  <c r="BT412" i="1"/>
  <c r="BT413" i="1"/>
  <c r="BF414" i="1"/>
  <c r="BT414" i="1"/>
  <c r="BT415" i="1"/>
  <c r="BF416" i="1"/>
  <c r="BT416" i="1"/>
  <c r="BF417" i="1"/>
  <c r="BT417" i="1"/>
  <c r="BF418" i="1"/>
  <c r="BT418" i="1"/>
  <c r="BT419" i="1"/>
  <c r="BF420" i="1"/>
  <c r="BT420" i="1"/>
  <c r="BF421" i="1"/>
  <c r="BT421" i="1"/>
  <c r="BF422" i="1"/>
  <c r="BT422" i="1"/>
  <c r="BT423" i="1"/>
  <c r="BT424" i="1"/>
  <c r="BT425" i="1"/>
  <c r="BF426" i="1"/>
  <c r="BT426" i="1"/>
  <c r="BT427" i="1"/>
  <c r="BT428" i="1"/>
  <c r="BT429" i="1"/>
  <c r="BT430" i="1"/>
  <c r="BF431" i="1"/>
  <c r="BT431" i="1"/>
  <c r="BF432" i="1"/>
  <c r="BT432" i="1"/>
  <c r="BF433" i="1"/>
  <c r="BT433" i="1"/>
  <c r="BF434" i="1"/>
  <c r="BT434" i="1"/>
  <c r="BF435" i="1"/>
  <c r="BT435" i="1"/>
  <c r="BF436" i="1"/>
  <c r="BT436" i="1"/>
  <c r="BF437" i="1"/>
  <c r="BT437" i="1"/>
  <c r="BF438" i="1"/>
  <c r="BT438" i="1"/>
  <c r="BF439" i="1"/>
  <c r="BT439" i="1"/>
  <c r="BF440" i="1"/>
  <c r="BT440" i="1"/>
  <c r="BF441" i="1"/>
  <c r="BT441" i="1"/>
  <c r="BF442" i="1"/>
  <c r="BT442" i="1"/>
  <c r="BF443" i="1"/>
  <c r="BT443" i="1"/>
  <c r="BF444" i="1"/>
  <c r="BT444" i="1"/>
  <c r="BF445" i="1"/>
  <c r="BT445" i="1"/>
  <c r="BF446" i="1"/>
  <c r="BT446" i="1"/>
  <c r="BF447" i="1"/>
  <c r="BT447" i="1"/>
  <c r="BF448" i="1"/>
  <c r="BT448" i="1"/>
  <c r="BF449" i="1"/>
  <c r="BT449" i="1"/>
  <c r="BF450" i="1"/>
  <c r="BT450" i="1"/>
  <c r="BF451" i="1"/>
  <c r="BT451" i="1"/>
  <c r="BF452" i="1"/>
  <c r="BT452" i="1"/>
  <c r="BF453" i="1"/>
  <c r="BT453" i="1"/>
  <c r="BF454" i="1"/>
  <c r="BT454" i="1"/>
  <c r="BF455" i="1"/>
  <c r="BT455" i="1"/>
  <c r="BF456" i="1"/>
  <c r="BT456" i="1"/>
  <c r="BF457" i="1"/>
  <c r="BT457" i="1"/>
  <c r="BF458" i="1"/>
  <c r="BT458" i="1"/>
  <c r="BF459" i="1"/>
  <c r="BT459" i="1"/>
  <c r="BF460" i="1"/>
  <c r="BT460" i="1"/>
  <c r="BF461" i="1"/>
  <c r="BT461" i="1"/>
  <c r="BF462" i="1"/>
  <c r="BT462" i="1"/>
  <c r="BF463" i="1"/>
  <c r="BT463" i="1"/>
  <c r="BF464" i="1"/>
  <c r="BT464" i="1"/>
  <c r="BF465" i="1"/>
  <c r="BT465" i="1"/>
  <c r="BF466" i="1"/>
  <c r="BT466" i="1"/>
  <c r="BF467" i="1"/>
  <c r="BT467" i="1"/>
  <c r="BF468" i="1"/>
  <c r="BT468" i="1"/>
  <c r="BF469" i="1"/>
  <c r="BT469" i="1"/>
  <c r="BF470" i="1"/>
  <c r="BT470" i="1"/>
  <c r="BF471" i="1"/>
  <c r="BT471" i="1"/>
  <c r="BF472" i="1"/>
  <c r="BT472" i="1"/>
  <c r="BF473" i="1"/>
  <c r="BT473" i="1"/>
  <c r="BF474" i="1"/>
  <c r="BT474" i="1"/>
  <c r="BF475" i="1"/>
  <c r="BT475" i="1"/>
  <c r="BT476" i="1"/>
  <c r="BF477" i="1"/>
  <c r="BT477" i="1"/>
  <c r="BF478" i="1"/>
  <c r="BT478" i="1"/>
  <c r="BF479" i="1"/>
  <c r="BT479" i="1"/>
  <c r="BT480" i="1"/>
  <c r="BF481" i="1"/>
  <c r="BT481" i="1"/>
  <c r="BF482" i="1"/>
  <c r="BT482" i="1"/>
  <c r="BF483" i="1"/>
  <c r="BT483" i="1"/>
  <c r="BF484" i="1"/>
  <c r="BT484" i="1"/>
  <c r="BT485" i="1"/>
  <c r="BT486" i="1"/>
  <c r="BF487" i="1"/>
  <c r="BT487" i="1"/>
  <c r="BF488" i="1"/>
  <c r="BT488" i="1"/>
  <c r="BT489" i="1"/>
  <c r="BF490" i="1"/>
  <c r="BT490" i="1"/>
  <c r="BT491" i="1"/>
  <c r="BT492" i="1"/>
  <c r="BT493" i="1"/>
  <c r="BF494" i="1"/>
  <c r="BT494" i="1"/>
  <c r="BT495" i="1"/>
  <c r="BT496" i="1"/>
  <c r="BT497" i="1"/>
  <c r="BF498" i="1"/>
  <c r="BT498" i="1"/>
  <c r="BT499" i="1"/>
  <c r="BF500" i="1"/>
  <c r="BT500" i="1"/>
  <c r="BT501" i="1"/>
  <c r="BF502" i="1"/>
  <c r="BT502" i="1"/>
  <c r="BF503" i="1"/>
  <c r="BT503" i="1"/>
  <c r="BF504" i="1"/>
  <c r="BT504" i="1"/>
  <c r="BF505" i="1"/>
  <c r="BT505" i="1"/>
  <c r="BF506" i="1"/>
  <c r="BT506" i="1"/>
  <c r="BF507" i="1"/>
  <c r="BT507" i="1"/>
  <c r="BF508" i="1"/>
  <c r="BT508" i="1"/>
  <c r="BF509" i="1"/>
  <c r="BT509" i="1"/>
  <c r="BF510" i="1"/>
  <c r="BT510" i="1"/>
  <c r="BF511" i="1"/>
  <c r="BT511" i="1"/>
  <c r="BF512" i="1"/>
  <c r="BT512" i="1"/>
  <c r="BF513" i="1"/>
  <c r="BT513" i="1"/>
  <c r="BF514" i="1"/>
  <c r="BT514" i="1"/>
  <c r="BF515" i="1"/>
  <c r="BT515" i="1"/>
  <c r="BF516" i="1"/>
  <c r="BT516" i="1"/>
  <c r="BF517" i="1"/>
  <c r="BT517" i="1"/>
  <c r="BF518" i="1"/>
  <c r="BT518" i="1"/>
  <c r="BF519" i="1"/>
  <c r="BT519" i="1"/>
  <c r="BF520" i="1"/>
  <c r="BT520" i="1"/>
  <c r="BF521" i="1"/>
  <c r="BT521" i="1"/>
  <c r="BF522" i="1"/>
  <c r="BT522" i="1"/>
  <c r="BF523" i="1"/>
  <c r="BT523" i="1"/>
  <c r="BF524" i="1"/>
  <c r="BT524" i="1"/>
  <c r="BF525" i="1"/>
  <c r="BT525" i="1"/>
  <c r="BF526" i="1"/>
  <c r="BT526" i="1"/>
  <c r="BF527" i="1"/>
  <c r="BT527" i="1"/>
  <c r="BF528" i="1"/>
  <c r="BT528" i="1"/>
  <c r="BF529" i="1"/>
  <c r="BT529" i="1"/>
  <c r="BF530" i="1"/>
  <c r="BT530" i="1"/>
  <c r="BF531" i="1"/>
  <c r="BT531" i="1"/>
  <c r="BF532" i="1"/>
  <c r="BT532" i="1"/>
  <c r="BF533" i="1"/>
  <c r="BT533" i="1"/>
  <c r="BF534" i="1"/>
  <c r="BT534" i="1"/>
  <c r="BF535" i="1"/>
  <c r="BT535" i="1"/>
  <c r="BF536" i="1"/>
  <c r="BT536" i="1"/>
  <c r="BF537" i="1"/>
  <c r="BT53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Eduardo Junqueira</author>
  </authors>
  <commentList>
    <comment ref="I3" authorId="0" shapeId="0" xr:uid="{97518857-2F39-4780-AEB4-6F240C3C377A}">
      <text>
        <r>
          <rPr>
            <b/>
            <sz val="9"/>
            <color indexed="81"/>
            <rFont val="Tahoma"/>
            <family val="2"/>
          </rPr>
          <t>Eduardo Junqueira:</t>
        </r>
        <r>
          <rPr>
            <sz val="9"/>
            <color indexed="81"/>
            <rFont val="Tahoma"/>
            <family val="2"/>
          </rPr>
          <t xml:space="preserve">
Eduardo
</t>
        </r>
      </text>
    </comment>
    <comment ref="I8" authorId="0" shapeId="0" xr:uid="{E3ADF5F7-65E1-4EC4-AB45-1AFBB29A8225}">
      <text>
        <r>
          <rPr>
            <b/>
            <sz val="9"/>
            <color indexed="81"/>
            <rFont val="Tahoma"/>
            <family val="2"/>
          </rPr>
          <t>Eduardo Junqueira:</t>
        </r>
        <r>
          <rPr>
            <sz val="9"/>
            <color indexed="81"/>
            <rFont val="Tahoma"/>
            <family val="2"/>
          </rPr>
          <t xml:space="preserve">
Luis</t>
        </r>
      </text>
    </comment>
    <comment ref="I30" authorId="0" shapeId="0" xr:uid="{628F46F1-02BE-4104-A09B-47E2D52C1C44}">
      <text>
        <r>
          <rPr>
            <b/>
            <sz val="9"/>
            <color indexed="81"/>
            <rFont val="Tahoma"/>
            <family val="2"/>
          </rPr>
          <t>Eduardo Junqueira:</t>
        </r>
        <r>
          <rPr>
            <sz val="9"/>
            <color indexed="81"/>
            <rFont val="Tahoma"/>
            <family val="2"/>
          </rPr>
          <t xml:space="preserve">
Eduardo</t>
        </r>
      </text>
    </comment>
    <comment ref="I35" authorId="0" shapeId="0" xr:uid="{4819C318-3217-4A57-9E2C-0E60FA533821}">
      <text>
        <r>
          <rPr>
            <b/>
            <sz val="9"/>
            <color indexed="81"/>
            <rFont val="Tahoma"/>
            <family val="2"/>
          </rPr>
          <t>Eduardo Junqueira:</t>
        </r>
        <r>
          <rPr>
            <sz val="9"/>
            <color indexed="81"/>
            <rFont val="Tahoma"/>
            <family val="2"/>
          </rPr>
          <t xml:space="preserve">
Eduardo</t>
        </r>
      </text>
    </comment>
    <comment ref="I97" authorId="0" shapeId="0" xr:uid="{532108C0-5FFC-477C-8288-9A92E02D50C9}">
      <text>
        <r>
          <rPr>
            <b/>
            <sz val="9"/>
            <color indexed="81"/>
            <rFont val="Tahoma"/>
            <family val="2"/>
          </rPr>
          <t>Eduardo Junqueira:</t>
        </r>
        <r>
          <rPr>
            <sz val="9"/>
            <color indexed="81"/>
            <rFont val="Tahoma"/>
            <family val="2"/>
          </rPr>
          <t xml:space="preserve">
Eduardo</t>
        </r>
      </text>
    </comment>
    <comment ref="I192" authorId="0" shapeId="0" xr:uid="{B6456EC4-4DB6-4A78-A3A4-C2F1ADDA3F47}">
      <text>
        <r>
          <rPr>
            <b/>
            <sz val="9"/>
            <color indexed="81"/>
            <rFont val="Tahoma"/>
            <family val="2"/>
          </rPr>
          <t>Eduardo Junqueira:</t>
        </r>
        <r>
          <rPr>
            <sz val="9"/>
            <color indexed="81"/>
            <rFont val="Tahoma"/>
            <family val="2"/>
          </rPr>
          <t xml:space="preserve">
Eduardo</t>
        </r>
      </text>
    </comment>
  </commentList>
</comments>
</file>

<file path=xl/sharedStrings.xml><?xml version="1.0" encoding="utf-8"?>
<sst xmlns="http://schemas.openxmlformats.org/spreadsheetml/2006/main" count="32395" uniqueCount="10718">
  <si>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</si>
  <si>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</si>
  <si>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</si>
  <si>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</si>
  <si>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</si>
  <si>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</si>
  <si>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</si>
  <si>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</si>
  <si>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</si>
  <si>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</si>
  <si>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</si>
  <si>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</si>
  <si>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</si>
  <si>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</si>
  <si>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</si>
  <si>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</si>
  <si>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</si>
  <si>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</si>
  <si>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</si>
  <si>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</si>
  <si>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</si>
  <si>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</si>
  <si>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</si>
  <si>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</si>
  <si>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</si>
  <si>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</si>
  <si>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</si>
  <si>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</si>
  <si>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</si>
  <si>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</si>
  <si>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</si>
  <si>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</si>
  <si>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</si>
  <si>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</si>
  <si>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</si>
  <si>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</si>
  <si>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</si>
  <si>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</si>
  <si>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</si>
  <si>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</si>
  <si>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</si>
  <si>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</si>
  <si>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</si>
  <si>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</si>
  <si>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</si>
  <si>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</si>
  <si>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</si>
  <si>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</si>
  <si>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</si>
  <si>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</si>
  <si>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</si>
  <si>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</si>
  <si>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</si>
  <si>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</si>
  <si>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</si>
  <si>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</si>
  <si>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</si>
  <si>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</si>
  <si>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</si>
  <si>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</si>
  <si>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</si>
  <si>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</si>
  <si>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</si>
  <si>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</si>
  <si>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</si>
  <si>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</si>
  <si>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</si>
  <si>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</si>
  <si>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</si>
  <si>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</si>
  <si>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</si>
  <si>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</si>
  <si>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</si>
  <si>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Pastana, STG; Formiga, NS</t>
  </si>
  <si>
    <t/>
  </si>
  <si>
    <t>Guedes Pastana, Sheila Tricia; Formiga, Nilton Soares</t>
  </si>
  <si>
    <t>A measure of loyalty to the neighborhood: construct validity, convergent and discriminative in residents in different urban areas in the city of Natal-RN, Brazil</t>
  </si>
  <si>
    <t>REVISTA DE GESTAO E SECRETARIADO-GESEC</t>
  </si>
  <si>
    <t>Portuguese</t>
  </si>
  <si>
    <t>Article</t>
  </si>
  <si>
    <t>Neighborhood management; Urban management; Loyalty; Scale of loyalty to the neighborhood; Quality of life</t>
  </si>
  <si>
    <t>SERVICE QUALITY; CUSTOMER SATISFACTION; ENVIRONMENT QUALITY; PERCEPTION; TRUST; ATTACHMENT; MODEL; FORM</t>
  </si>
  <si>
    <t>This article aims to develop and validate a scale measure of loyalty to the neighborhood, from the perspective of individuals who live in the south and east areas of the city of Natal-RN. The conceptual direction is to understand the dimensions of the quality of intra-urban services, related to the perspective of the quality of urban life, which relate studies that come from urban sustainability, city logistics, sustainable mobility, smart cities, planning, urban management, and residential satisfaction. Concerning these complex interrelations described above consolidate the understanding of this study. As a result, we propose a tool for measuring the loyalty of residents to their neighborhoods, providing insights that can guide decision making by managers, favoring more attractive, welcoming neighborhoods, people's well-being, and public investments. and private. 545 respondents, male and female, over 18 years old, participated in the study, distributed in two residential areas, 54% from the south and 46% from the east. Through the collection of data of the Survey type, at the end of it, descriptive statistics, exploratory and confirmatory factor analysis were carried out, as well as Anova. As for the results, the psychometric tests gave robustness and reliability to this study, showing that the Loyalty to the Neighborhood scale (LB) is safe to the referred measurements, consistent and reliable to a factorial structure of a single factor and that there was no difference between the zones. urban areas surveyed, thereby proving the same level of loyalty.</t>
  </si>
  <si>
    <t>[Guedes Pastana, Sheila Tricia] Univ Fed Amapa UNIFAP, Macapa, Brazil; [Formiga, Nilton Soares] Univ Potiguar UnP, Programa Posgrad Psicol Org &amp; Trabalho, Natal, RN, Brazil</t>
  </si>
  <si>
    <t>Fundacao Universidade Federal do Amapa; Universidade Potiguar</t>
  </si>
  <si>
    <t>Pastana, STG (corresponding author), Univ Fed Amapa UNIFAP, Macapa, Brazil.</t>
  </si>
  <si>
    <t>formiga, nilton/GPF-9257-2022; formiga, nilton/K-6766-2017</t>
  </si>
  <si>
    <t>Pastana, Sheila/0000-0001-8257-8655; formiga, nilton/0000-0003-4907-9736</t>
  </si>
  <si>
    <t>SINDICATO SECRETARIAS ESTADO SAO PAULO</t>
  </si>
  <si>
    <t>SAO PAULO</t>
  </si>
  <si>
    <t>RUA TUPI 118, SAO PAULO, 01233-000, BRAZIL</t>
  </si>
  <si>
    <t>2178-9010</t>
  </si>
  <si>
    <t>REV GEST SECR-GESEC</t>
  </si>
  <si>
    <t>Rec. Gest. Secr.-GeSeC</t>
  </si>
  <si>
    <t>MAY-AUG</t>
  </si>
  <si>
    <t>10.7769/gesec.v12i2.1203</t>
  </si>
  <si>
    <t>Management</t>
  </si>
  <si>
    <t>Emerging Sources Citation Index (ESCI)</t>
  </si>
  <si>
    <t>Business &amp; Economics</t>
  </si>
  <si>
    <t>TZ1PU</t>
  </si>
  <si>
    <t>gold</t>
  </si>
  <si>
    <t>2025-12-02</t>
  </si>
  <si>
    <t>WOS:000684248700014</t>
  </si>
  <si>
    <t>C</t>
  </si>
  <si>
    <t>Navarro, C; Roca-Riu, M; Furió, S; Estrada, M</t>
  </si>
  <si>
    <t>Taniguchi, E; Thompson, RG</t>
  </si>
  <si>
    <t>Navarro, C.; Roca-Riu, M.; Furio, S.; Estrada, M.</t>
  </si>
  <si>
    <t>Designing new models for energy efficiency in urban freight transport for smart cities and its application to the Spanish case</t>
  </si>
  <si>
    <t>NINTH INTERNATIONAL CONFERENCE ON CITY LOGISTICS</t>
  </si>
  <si>
    <t>Transportation Research Procedia</t>
  </si>
  <si>
    <t>English</t>
  </si>
  <si>
    <t>Proceedings Paper</t>
  </si>
  <si>
    <t>9th International Conference on City Logistics</t>
  </si>
  <si>
    <t>JUN 17-19, 2015</t>
  </si>
  <si>
    <t>Tenerife, SPAIN</t>
  </si>
  <si>
    <t>Urban freight transport; Smart cities; Innovative solution; Electric tricycles; Last mile distribution; Cooperative freight transport systems; Urban consolidation centres smart cities; Urban delivery; Case studies</t>
  </si>
  <si>
    <t>CONSOLIDATION</t>
  </si>
  <si>
    <t>Considering that the transport sector is responsible for 30% of the CO2 emissions in the EU, reaching up to 40% in urban areas, the efforts for technological improvements and innovation in transportation have been increasing during the last few decades. It is evident that urban freight distribution requires innovative solutions that are capable of improving the efficiency of transport whilst promoting innovative use of renewable energy, thus reducing energy consumption and associated GHG emissions while adopting and not stifling economic development. In this context, six Mediterranean cities (Barcelona, Bologna, Piraeus, Rijeka and Valencia)) collaborated with the purpose of contributing to the improvement of energy efficiency on urban freight transport as part of the SMILE Project (2015) (SMart green Innovative urban Logistics Models for Energy efficient mediterranean cities project), funded by the MED Programme. The SMILE project aims to improve the energy efficiency of Mediterranean cities through the promotion of innovative 'green' and cost effective solutions for urban freight logistics, addressing the target of green and smart urban development. This paper shows the results of the live test of smart city urban logistics solutions in the cities of Barcelona and Valencia that consisted of combining the use of electric tricycles and Transhipment terminals (or Urban Consolidation Centres) for the last-mile delivery of parcels and small shipments. A thoughtful analysis of the quantitative outcomes of the pilot test in both cities are presented from different perspectives: economical, operational, energy efficiency, environmental and social. (C) 2016 The Authors. Published by Elsevier B.V.</t>
  </si>
  <si>
    <t>[Navarro, C.; Furio, S.] Fdn Valenciaport, Avda Muelle del Turia S-N, Valencia 46024, Spain; [Roca-Riu, M.; Estrada, M.] Ctr Innovac Transporte, C Jordi Girona 1-3,C-3,S-120, Barcelona 08034, Spain</t>
  </si>
  <si>
    <t>Navarro, C (corresponding author), Fdn Valenciaport, Avda Muelle del Turia S-N, Valencia 46024, Spain.</t>
  </si>
  <si>
    <t>cnavarro@fundacion.valenciaport.com</t>
  </si>
  <si>
    <t>Estrada, Miquel/L-3294-2017; Estrada, Miquel/L-3294-2017</t>
  </si>
  <si>
    <t>Estrada, Miquel/0000-0002-5114-7796; Furió-Pruñonosa, Salvador/0000-0003-4605-0604; Estrada, Miquel/0000-0002-5114-7796</t>
  </si>
  <si>
    <t>ELSEVIER SCIENCE BV</t>
  </si>
  <si>
    <t>AMSTERDAM</t>
  </si>
  <si>
    <t>SARA BURGERHARTSTRAAT 25, PO BOX 211, 1000 AE AMSTERDAM, NETHERLANDS</t>
  </si>
  <si>
    <t>2352-1465</t>
  </si>
  <si>
    <t>TRANSP RES PROC</t>
  </si>
  <si>
    <t>10.1016/j.trpro.2016.02.068</t>
  </si>
  <si>
    <t>Transportation; Transportation Science &amp; Technology</t>
  </si>
  <si>
    <t>Conference Proceedings Citation Index - Science (CPCI-S); Conference Proceedings Citation Index - Social Science &amp; Humanities (CPCI-SSH)</t>
  </si>
  <si>
    <t>Transportation</t>
  </si>
  <si>
    <t>BE9HW</t>
  </si>
  <si>
    <t>Green Submitted, gold</t>
  </si>
  <si>
    <t>WOS:000377574100026</t>
  </si>
  <si>
    <t>Mohsen, BM</t>
  </si>
  <si>
    <t>Mohsen, Baha M.</t>
  </si>
  <si>
    <t>AI-Driven Optimization of Urban Logistics in Smart Cities: Integrating Autonomous Vehicles and IoT for Efficient Delivery Systems</t>
  </si>
  <si>
    <t>SUSTAINABILITY</t>
  </si>
  <si>
    <t>urban logistics; smart cities; AI; IoT; autonomous vehicles</t>
  </si>
  <si>
    <t>Urban logistics play a pivotal role in smart city development, aiming to improve the efficiency and sustainability of goods delivery in urban environments. As cities face growing challenges related to congestion, traffic management, and environmental impact, there is an increasing need for advanced technologies to optimize urban delivery systems. This paper proposes an innovative framework that integrates artificial intelligence (AI), autonomous vehicles (AVs), and Internet of Things (IoT) technologies to address these challenges. The framework leverages real-time data from IoT-enabled infrastructure to optimize route planning, enhance traffic signal control, and enable predictive demand management for delivery services. By incorporating AI-driven analytics, the proposed approach aims to improve traffic flow, reduce congestion, and minimize the carbon footprint of urban logistics, contributing to the development of more sustainable and efficient smart cities. This work highlights the potential for combining these technologies to transform urban logistics, offering a novel approach to enhancing delivery operations in densely populated areas.</t>
  </si>
  <si>
    <t>[Mohsen, Baha M.] Emirates Aviat Univ, Fac Business Management, POB 53044, Dubai, U Arab Emirates</t>
  </si>
  <si>
    <t>Emirates Aviation University</t>
  </si>
  <si>
    <t>Mohsen, BM (corresponding author), Emirates Aviat Univ, Fac Business Management, POB 53044, Dubai, U Arab Emirates.</t>
  </si>
  <si>
    <t>baha.mohsen@emirates.com</t>
  </si>
  <si>
    <t>MDPI</t>
  </si>
  <si>
    <t>BASEL</t>
  </si>
  <si>
    <t>MDPI AG, Grosspeteranlage 5, CH-4052 BASEL, SWITZERLAND</t>
  </si>
  <si>
    <t>2071-1050</t>
  </si>
  <si>
    <t>SUSTAINABILITY-BASEL</t>
  </si>
  <si>
    <t>Sustainability</t>
  </si>
  <si>
    <t>DEC</t>
  </si>
  <si>
    <t>10.3390/su162411265</t>
  </si>
  <si>
    <t>Green &amp; Sustainable Science &amp; Technology; Environmental Sciences; Environmental Studies</t>
  </si>
  <si>
    <t>Science Citation Index Expanded (SCI-EXPANDED); Social Science Citation Index (SSCI)</t>
  </si>
  <si>
    <t>Science &amp; Technology - Other Topics; Environmental Sciences &amp; Ecology</t>
  </si>
  <si>
    <t>Q7Q7J</t>
  </si>
  <si>
    <t>WOS:001386582700001</t>
  </si>
  <si>
    <t>Dohn, K; Kramarz, M; Przybylska, E</t>
  </si>
  <si>
    <t>Dohn, Katarzyna; Kramarz, Marzena; Przybylska, Edyta</t>
  </si>
  <si>
    <t>Interaction with City Logistics Stakeholders as a Factor of the Development of Polish Cities on the Way to Becoming Smart Cities</t>
  </si>
  <si>
    <t>ENERGIES</t>
  </si>
  <si>
    <t>smart city; stakeholders of urban logistics; logistics gaps in cities; strategies</t>
  </si>
  <si>
    <t>URBAN FREIGHT TRANSPORT; DEFINITION; MOBILITY</t>
  </si>
  <si>
    <t>The growing population of cities means that they face many new challenges in improving their economic, social and environmental efficiency. These themes are relevant to the increasingly popular worldwide concept of smart cities. A smart city is a city that is friendly to people and the environment, in which people live better, safer, and healthier. From the point of view of management sciences, they are a result of creative development and the implementation of various solutions that should involve various stakeholders. The quality of life of city residents is largely influenced by logistics solutions, including the movement of both people and cargo in the city. This issue is directly relevant to the aim of this article, which is to try to determine the degree of cooperation between the city and city logistics stakeholders in the context of identifying gaps in the inclusion of logistics areas in the strategies of Polish cities. Both the role of stakeholders in actively shaping city strategies and the inclusion of logistics aspects in strategies are areas discussed in recent years in the literature in the context of smart cities. Our approach combines these two areas by pointing to their importance in the development of cities towards smart cities. In our stakeholder research, we focus on city logistics stakeholders, as the identified gaps in strategies relate only to logistics aspects. We conduct our research in Polish cities. In assessing the cooperation of Polish cities with their stakeholders and identifying gaps in the inclusion of logistic aspects in the strategies, we used an original questionnaire that allowed us to survey 280 Polish cities. To analyse the stakeholders we used statistics. To analyse the questionnaires, we used descriptive statistics, while gaps were identified by relating the results to the developed template. Both the problem of gaps and the problem of stakeholders were also considered on a voivodeship scale. The research results indicated a low level of cooperation between local authorities and key city logistics stakeholders. Moreover, logistic aspects were found to be insufficiently included in the city strategies of Polish cities (a high level of gaps was identified for most of the examined areas). This indicates the low awareness of local authorities regarding the shaping of cities' logistics systems and a lack of activity in this area. The results provide city managers with information on how to develop cooperation with stakeholders and which logistic areas to include in the formulated strategies. Undertaking these actions is a condition for the development of Polish cities towards the smart city concept.</t>
  </si>
  <si>
    <t>[Dohn, Katarzyna; Kramarz, Marzena; Przybylska, Edyta] Silesian Tech Univ, Fac Org &amp; Management, Roosevelt 26-28 Str, PL-41800 Zabrze, Poland</t>
  </si>
  <si>
    <t>Silesian University of Technology</t>
  </si>
  <si>
    <t>Dohn, K (corresponding author), Silesian Tech Univ, Fac Org &amp; Management, Roosevelt 26-28 Str, PL-41800 Zabrze, Poland.</t>
  </si>
  <si>
    <t>katarzyna.dohn@polsl.pl; marzena.kramarz@polsl.pl; edyta.przybylska@polsl.pl</t>
  </si>
  <si>
    <t>; Dohn, Katarzyna/S-3513-2018</t>
  </si>
  <si>
    <t>Kramarz, Marzena/0000-0003-0619-5809; Przybylska, Edyta/0000-0002-9475-5927; Dohn, Katarzyna/0000-0002-4178-1347</t>
  </si>
  <si>
    <t>Faculty of Organization andManagement, Silesian University of Technology [13/050/BK-22/0001]</t>
  </si>
  <si>
    <t>Faculty of Organization andManagement, Silesian University of Technology</t>
  </si>
  <si>
    <t>The research presented in the paper was supported by the statutory work 13/050/BK-22/0001 carried out at the Faculty of Organization andManagement, Silesian University of Technology.</t>
  </si>
  <si>
    <t>1996-1073</t>
  </si>
  <si>
    <t>Energies</t>
  </si>
  <si>
    <t>JUN</t>
  </si>
  <si>
    <t>10.3390/en15114103</t>
  </si>
  <si>
    <t>Energy &amp; Fuels</t>
  </si>
  <si>
    <t>Science Citation Index Expanded (SCI-EXPANDED)</t>
  </si>
  <si>
    <t>2B0KN</t>
  </si>
  <si>
    <t>WOS:000809883800001</t>
  </si>
  <si>
    <t>Azari, M; Jawab, F; Arif, J; Khaoua, Y; El Jaouhari, A; Moustabchir, H</t>
  </si>
  <si>
    <t>Jawab, F; El Farouk, I</t>
  </si>
  <si>
    <t>Azari, Meriem; Jawab, Fouad; Arif, Jabir; Khaoua, Yassine; El Jaouhari, Asmae; Moustabchir, Hassane</t>
  </si>
  <si>
    <t>From City Logistics to a Merger of Smart Cities and Smart Logistics</t>
  </si>
  <si>
    <t>2022 14TH INTERNATIONAL COLLOQUIUM OF LOGISTICS AND SUPPLY CHAIN MANAGEMENT (LOGISTIQUA2022)</t>
  </si>
  <si>
    <t>International Conference on Logistics</t>
  </si>
  <si>
    <t>14th International Colloquium of Logistics and Supply Chain Management (LOGISTIQUA)</t>
  </si>
  <si>
    <t>MAY 25-27, 2022</t>
  </si>
  <si>
    <t>El Jadida, MOROCCO</t>
  </si>
  <si>
    <t>City Logistics; Smart City; Smart Logistics; Sustainable Logistics; Sustainable Urban Logistics; Challenges and Opportunities</t>
  </si>
  <si>
    <t>The purpose of this article is to explore the evolution of city logistics in order to contribute to the creation of sustainable and livable cities. To improve urban living circumstances, a balance between economic growth and environmental and security preservation must be achieved. Sustainable logistics management has emerged as a major objective for municipal operations. Smart cities have grown into a technology- and data-driven paradigm for urban sustainability as a result of the invasion and independence of new technologies. To accomplish these goals, it is realistic to predict that smart cities will continue to advance in the domain of smart city logistics, a critical component of this game-changing shift. Simultaneously, intelligent logistics contributes to economic growth, the enhancement of human life quality, and the efficient use of economic resources; by enabling flexibility, adaptation, and competitiveness in the context of the creation of a digital society.</t>
  </si>
  <si>
    <t>[Azari, Meriem; Jawab, Fouad; Arif, Jabir; Khaoua, Yassine; El Jaouhari, Asmae; Moustabchir, Hassane] Sidi Mohamed Ben Abdellah Univ, Super Sch Technol Fez, Lab Technol &amp; Ind Serv, Fes, Morocco</t>
  </si>
  <si>
    <t>Sidi Mohamed Ben Abdellah University of Fez</t>
  </si>
  <si>
    <t>Azari, M (corresponding author), Sidi Mohamed Ben Abdellah Univ, Super Sch Technol Fez, Lab Technol &amp; Ind Serv, Fes, Morocco.</t>
  </si>
  <si>
    <t>meriem.azari@usmba.ac.ma; fouad.jawab@usmba.ac.ma; jabir.arif@usmba.ac.ma; yassine.khaoua@usmba.ac.ma; asmae.eljaouhari@usmba.ac.ma; hassane.moustabchir@usmba.ac.ma</t>
  </si>
  <si>
    <t>azari, meriem/JWP-2799-2024; Fouad, JAWAB/G-3962-2018; Arif, Jabir/HMW-1369-2023; Arif, Jabir/P-1788-2014</t>
  </si>
  <si>
    <t>Arif, Jabir/0000-0002-5285-7976</t>
  </si>
  <si>
    <t>IEEE</t>
  </si>
  <si>
    <t>NEW YORK</t>
  </si>
  <si>
    <t>345 E 47TH ST, NEW YORK, NY 10017 USA</t>
  </si>
  <si>
    <t>2166-7349</t>
  </si>
  <si>
    <t>2166-7373</t>
  </si>
  <si>
    <t>978-1-6654-7418-4</t>
  </si>
  <si>
    <t>I CONF LOGISTICS</t>
  </si>
  <si>
    <t>10.1109/LOGISTIQUA55056.2022.9938020</t>
  </si>
  <si>
    <t>Engineering, Industrial; Operations Research &amp; Management Science</t>
  </si>
  <si>
    <t>Conference Proceedings Citation Index - Science (CPCI-S)</t>
  </si>
  <si>
    <t>Engineering; Operations Research &amp; Management Science</t>
  </si>
  <si>
    <t>BU4IP</t>
  </si>
  <si>
    <t>WOS:000899744300051</t>
  </si>
  <si>
    <t>Okonta, DE; Vukovic, V</t>
  </si>
  <si>
    <t>Okonta, Donatus Ebere; Vukovic, Vladimir</t>
  </si>
  <si>
    <t>Smart cities software applications for sustainability and resilience</t>
  </si>
  <si>
    <t>HELIYON</t>
  </si>
  <si>
    <t>Review</t>
  </si>
  <si>
    <t>Smart cities; Smart city software; Sustainability; Resilience; Information and communication technologies; Internet of things</t>
  </si>
  <si>
    <t>CITY-APPLICATIONS; METHODOLOGY; CHALLENGES</t>
  </si>
  <si>
    <t>To transform urban areas into smart cities, various technologies-including software, user interfaces, communication networks, and the Internet of Things (IoT)-must tackle complex sustainability and resilience issues. This study aims to investigate the challenges of rapid urban population growth and explore how Information and Communication Technologies (ICT) can be utilized to foster the development of smart cities. Specifically, it seeks to understand how the integration of ICT can contribute to enhancing urban resilience, promoting urban sustainability, and improving citizens' quality of life. The study relied on a literature review, appraisals of fifteen (15) different Smart City software applications and their characteristics (spanning various domains, including data analytics, the Internet of Things (IoT), urban mobility, energy management, and citizen engagement platforms, all related to sustainability and resilience), and thirty (30) case studies cutting across sustainability and resilience. Furthermore, thematic analysis from the case studies was used to evaluate the benefits of smart city applications mapped to the six (6) action areas of Smart City. Based on the findings from case studies and smart city software analysis, rapid urbanisation presents multifaceted challenges like traffic congestion, disaster management, environmental degradation, community engagement, economic disparities, and so on. However, adopting Smart City software applications and aligning with various domains, including data analytics, the Internet of Things (IoT), urban mobility, energy management, and citizen engagement platforms, play pivotal roles in addressing these challenges. Further findings reveal that the benefits of smart city software align with the action areas of smart cities, including Governance, Mobility, Economy, Environment, Living, and People. The research offers practical application of smart city software for Urban designs and planners. It highlights the influence of contextual factors across countries on Smart City effectiveness. The study advances ICT-driven urban transformation, enhancing the quality of life in fast-growing cities.</t>
  </si>
  <si>
    <t>[Okonta, Donatus Ebere; Vukovic, Vladimir] Teesside Univ, Sch Comp Engn &amp; Digital Technol, Middlesbrough, England</t>
  </si>
  <si>
    <t>University of Teesside</t>
  </si>
  <si>
    <t>Okonta, DE (corresponding author), Teesside Univ, Sch Comp Engn &amp; Digital Technol, Middlesbrough, England.</t>
  </si>
  <si>
    <t>d.okonta@tees.ac.uk</t>
  </si>
  <si>
    <t>Vukovic, Vladimir/E-9599-2018; Okonta, Ebere Donatus/HMD-9438-2023; Okonta, Ebere/HMD-9438-2023</t>
  </si>
  <si>
    <t>Vukovic, Vladimir/0000-0003-0702-2475; Okonta, Ebere Donatus/0000-0003-4995-6575;</t>
  </si>
  <si>
    <t>CELL PRESS</t>
  </si>
  <si>
    <t>CAMBRIDGE</t>
  </si>
  <si>
    <t>50 HAMPSHIRE ST, FLOOR 5, CAMBRIDGE, MA 02139 USA</t>
  </si>
  <si>
    <t>2405-8440</t>
  </si>
  <si>
    <t>Heliyon</t>
  </si>
  <si>
    <t>JUN 30</t>
  </si>
  <si>
    <t>e32654</t>
  </si>
  <si>
    <t>10.1016/j.heliyon.2024.e32654</t>
  </si>
  <si>
    <t>JUN 2024</t>
  </si>
  <si>
    <t>Multidisciplinary Sciences</t>
  </si>
  <si>
    <t>Science &amp; Technology - Other Topics</t>
  </si>
  <si>
    <t>WG0V7</t>
  </si>
  <si>
    <t>WOS:001253608000001</t>
  </si>
  <si>
    <t>Diaz-Sarachaga, JM</t>
  </si>
  <si>
    <t>Diaz-Sarachaga, Jose Manuel</t>
  </si>
  <si>
    <t>Developing an assessment governance framework for urban digital twins: Insights from smart cities</t>
  </si>
  <si>
    <t>CITIES</t>
  </si>
  <si>
    <t>Smart governance; Delphi technique; Smart cities; Governance assessment; Urban digital twin; Multi-criteria decision making; Best-Worst method</t>
  </si>
  <si>
    <t>CITY INITIATIVES; TRANSFORMATION; PERSPECTIVE; CHALLENGES; CONTEXT; POLICY</t>
  </si>
  <si>
    <t>The rampant urbanization process has highlighted the need of an efficient governance for urban areas. Nevertheless, cities must face the challenge of adapting to technology advances arising from the digital era we are living in. Under this context, urban digital twins (UDTs) have recently superseded smart cities in the attempt of improving the management of city resources and the live of citizens through the use of sophisticated technology. Although the governance of smart cities has been broadly handled in the literature, the influence of UDTs on urban governance still remains unaddressed. This article aims at closing this gap by developing a framework to assess the contribution of UDTs in the governance of cities. A mixed methodology combining an in-depth literature review, a four-round Delphi technique and the Best-Worst multi-criteria decision making method was implemented to this end. The new instrument consists of a two-tier scheme comprising 7 categories and 33 attributes, of which 26 were deemed as essential for an efficient governance. Institutional dimension prevailed over the remaining sustainability domains. Three performance thresholds were defined: low governance, average governance and high governance. The application of the rating system to the UDT of Singapore as case study determined a high level of governance for this city. Some policies were however recommended to strengthen gaps found in Singapore.</t>
  </si>
  <si>
    <t>[Diaz-Sarachaga, Jose Manuel] Univ Oviedo, GTDS Res Grp, C-Catedrat Valentin Alvarez S-N, Oviedo 33006, Spain</t>
  </si>
  <si>
    <t>University of Oviedo</t>
  </si>
  <si>
    <t>Diaz-Sarachaga, JM (corresponding author), Univ Oviedo, GTDS Res Grp, C-Catedrat Valentin Alvarez S-N, Oviedo 33006, Spain.</t>
  </si>
  <si>
    <t>diazsjose@uniovi.es</t>
  </si>
  <si>
    <t>DIAZ-SARACHAGA, JOSE MANUEL/I-3137-2019; DIAZ-SARACHAGA, JOSE MANUEL/I-3137-2019</t>
  </si>
  <si>
    <t>DIAZ-SARACHAGA, JOSE MANUEL/0000-0002-4709-2534; DIAZ-SARACHAGA, JOSE MANUEL/0000-0002-4709-2534</t>
  </si>
  <si>
    <t>Faculty of Architecture at Chulalongkorn University</t>
  </si>
  <si>
    <t>The author would like to thank the support of Dr. Prof. Atch Sresh-thaputra and Dr. Vorapat Inkarojrit from the Faculty of Architecture at Chulalongkorn University.</t>
  </si>
  <si>
    <t>ELSEVIER SCI LTD</t>
  </si>
  <si>
    <t>London</t>
  </si>
  <si>
    <t>125 London Wall, London, ENGLAND</t>
  </si>
  <si>
    <t>0264-2751</t>
  </si>
  <si>
    <t>1873-6084</t>
  </si>
  <si>
    <t>Cities</t>
  </si>
  <si>
    <t>JAN</t>
  </si>
  <si>
    <t>10.1016/j.cities.2024.105558</t>
  </si>
  <si>
    <t>OCT 2024</t>
  </si>
  <si>
    <t>Urban Studies</t>
  </si>
  <si>
    <t>Social Science Citation Index (SSCI)</t>
  </si>
  <si>
    <t>L1S2P</t>
  </si>
  <si>
    <t>WOS:001348583100001</t>
  </si>
  <si>
    <t>Katsuumi, A; Cong, YX; Inazumi, S</t>
  </si>
  <si>
    <t>Katsuumi, Arisa; Cong, Yuxin; Inazumi, Shinya</t>
  </si>
  <si>
    <t>AI-Driven Prediction and Mapping of Soil Liquefaction Risks for Enhancing Earthquake Resilience in Smart Cities</t>
  </si>
  <si>
    <t>SMART CITIES</t>
  </si>
  <si>
    <t>AI-driven predictive model; ensemble machine learning; geotechnical data integration; soil liquefaction risk; urban resilience</t>
  </si>
  <si>
    <t>In response to increasing urbanization and the need for infrastructure resilient to natural hazards, this study introduces an AI-driven predictive model designed to assess the risk of soil liquefaction. Utilizing advanced ensemble machine learning techniques, the model integrates geotechnical and geographical data to accurately predict the potential for soil liquefaction in urban areas, with a specific focus on Yokohama, Japan. This methodology leverages comprehensive datasets from geological surveys and seismic activity to enhance urban planning and infrastructure development in smart cities. The primary outputs include detailed soil liquefaction risk maps that are essential for effective urban risk management. These maps support urban planners and engineers in making informed decisions, prioritizing safety, and promoting sustainability. The model employs a robust combination of artificial neural networks and gradient boosting decision trees to analyze and predict data points, assessing soil susceptibility to liquefaction during seismic events. Notably, the model achieves high accuracy in predicting soil classifications and N-values, which are critical for evaluating soil liquefaction risk. Validation against an extensive dataset from geotechnical surveys confirms the model's practical effectiveness. Moreover, the results highlight the transformative potential of AI in enhancing geotechnical risk assessments and improving the resilience of urban areas against natural hazards.</t>
  </si>
  <si>
    <t>[Katsuumi, Arisa; Cong, Yuxin] Shibaura Inst Technol, Grad Sch Engn &amp; Sci, Tokyo 1358548, Japan; [Inazumi, Shinya] Shibaura Inst Technol, Coll Engn, Tokyo 1358548, Japan</t>
  </si>
  <si>
    <t>Shibaura Institute of Technology; Shibaura Institute of Technology</t>
  </si>
  <si>
    <t>Inazumi, S (corresponding author), Shibaura Inst Technol, Coll Engn, Tokyo 1358548, Japan.</t>
  </si>
  <si>
    <t>ah20098@shibaura-it.ac.jp; na23107@shibaura-it.ac.jp; inazumi@shibaura-it.ac.jp</t>
  </si>
  <si>
    <t>; Inazumi, Shinya/C-8875-2019</t>
  </si>
  <si>
    <t>Inazumi, Shinya/0000-0002-5639-5254;</t>
  </si>
  <si>
    <t>ST ALBAN-ANLAGE 66, CH-4052 BASEL, SWITZERLAND</t>
  </si>
  <si>
    <t>2624-6511</t>
  </si>
  <si>
    <t>SMART CITIES-BASEL</t>
  </si>
  <si>
    <t>Smart Cities</t>
  </si>
  <si>
    <t>AUG</t>
  </si>
  <si>
    <t>10.3390/smartcities7040071</t>
  </si>
  <si>
    <t>Engineering, Electrical &amp; Electronic; Urban Studies</t>
  </si>
  <si>
    <t>Engineering; Urban Studies</t>
  </si>
  <si>
    <t>E7W3A</t>
  </si>
  <si>
    <t>WOS:001305065100001</t>
  </si>
  <si>
    <t>Aljaidi, M; Samara, G; Singla, MK; Alsarhan, A; Hassan, M; Safaraliev, M; Matrenin, P; Tavlintsev, A</t>
  </si>
  <si>
    <t>Aljaidi, Mohammad; Samara, Ghassan; Singla, Manish Kumar; Alsarhan, Ayoub; Hassan, Mohammad; Safaraliev, Murodbek; Matrenin, Pavel; Tavlintsev, Alexander</t>
  </si>
  <si>
    <t>A particle swarm optimizer-based optimization approach for locating electric vehicles charging stations in smart cities</t>
  </si>
  <si>
    <t>INTERNATIONAL JOURNAL OF HYDROGEN ENERGY</t>
  </si>
  <si>
    <t>Hydrogen storage; Electric vehicles; Charging station; Energy consumption; Hydrogen; Placement; Elevation; GA; PSO</t>
  </si>
  <si>
    <t>PLACEMENT</t>
  </si>
  <si>
    <t>Conventional fossil fuel-powered vehicles are gradually being replaced by electric and hydrogen vehicles in the transportation sector. Even with all the recognized benefits and recent advancements in energy efficiency, decrease of noise, and environmental impact reduction, the market of electric and hydrogen mobility is still not up to par. Allocating charging stations in metropolitan areas for electric vehicles is considered as one of the most significant obstacles preventing electric and hydrogen vehicles from becoming more widely used. In this paper, an efficient approach aimed at finding optimal locations for electric vehicles (EV) charging stations in urban areas is proposed. Particle Swarm Optimization algorithm technique is utilized with the proposed approach. Various parameters were taken into consideration in this work, such as the horizontal distance that EVs travel to reach charging stations (CSs), and positive slope that EVs face to reach charging stations. The optimization problem is formulated as a Mixed-integer problem. The objective function works on minimizing the energy consumption of EVs to reach CSs in the investigated area. Difference constraints are incorporated with the proposed approach in order to increase the accuracy and efficiency of the proposed approach. The proposed approach is applied on real world datasets and is experimentally validated using through comparison with Genetic Algorithm and the greedy approach. The results demonstrate that the proposed approach saves energy about 22% and 43% compared to the genetic algorithm and greedy technique, respectively.</t>
  </si>
  <si>
    <t>[Aljaidi, Mohammad; Samara, Ghassan; Hassan, Mohammad] Zarqa Univ, Fac Informat Technol, Dept Comp Sci, Zarqa 13110, Jordan; [Singla, Manish Kumar] Chitkara Univ, Inst Engn &amp; Technol, Dept Interdisciplinary Courses Engn, Rajpura 140401, Punjab, India; [Singla, Manish Kumar] Jadara Univ, Res Ctr, Irbid, Jordan; [Alsarhan, Ayoub] Hashemite Univ, Fac Prince Al Hussein Bin Abdallah II Informat Tec, Dept Informat Technol, Zarqa 13116, Jordan; [Safaraliev, Murodbek; Matrenin, Pavel; Tavlintsev, Alexander] Ural Fed Univ, Ural Power Engn Inst, 19 Mira Str, Ekaterinburg 620062, Russia</t>
  </si>
  <si>
    <t>Zarqa University; Chitkara University, Punjab; Hashemite University; Ural Federal University</t>
  </si>
  <si>
    <t>Tavlintsev, A (corresponding author), Ural Fed Univ, Ural Power Engn Inst, 19 Mira Str, Ekaterinburg 620062, Russia.</t>
  </si>
  <si>
    <t>a.s.tavlintsev@urfu.ru</t>
  </si>
  <si>
    <t>Samara, Ghassan/D-1040-2017; Singla, Manish/IQT-7630-2023; Safaraliev, Murodbek/AAG-6805-2019; Tavlintsev, Alexander/E-8566-2014; Aljaidi, Mohammad/AAQ-6598-2020</t>
  </si>
  <si>
    <t>Samara, Ghassan/0000-0001-8415-0572; Safaraliev, Murodbek/0000-0003-3433-9742; Tavlintsev, Alexander/0000-0003-0592-845X;</t>
  </si>
  <si>
    <t>Ministry of Science and Higher Edu-cation of the Russian Federation (Ural Federal University Program of Development within the Priority-2030 Program)</t>
  </si>
  <si>
    <t>The research funding from the Ministry of Science and Higher Edu-cation of the Russian Federation (Ural Federal University Program of Development within the Priority-2030 Program) is gratefully acknowledged.</t>
  </si>
  <si>
    <t>PERGAMON-ELSEVIER SCIENCE LTD</t>
  </si>
  <si>
    <t>OXFORD</t>
  </si>
  <si>
    <t>THE BOULEVARD, LANGFORD LANE, KIDLINGTON, OXFORD OX5 1GB, ENGLAND</t>
  </si>
  <si>
    <t>0360-3199</t>
  </si>
  <si>
    <t>1879-3487</t>
  </si>
  <si>
    <t>INT J HYDROGEN ENERG</t>
  </si>
  <si>
    <t>Int. J. Hydrog. Energy</t>
  </si>
  <si>
    <t>OCT 18</t>
  </si>
  <si>
    <t>10.1016/j.ijhydene.2024.09.029</t>
  </si>
  <si>
    <t>SEP 2024</t>
  </si>
  <si>
    <t>Chemistry, Physical; Electrochemistry; Energy &amp; Fuels</t>
  </si>
  <si>
    <t>Chemistry; Electrochemistry; Energy &amp; Fuels</t>
  </si>
  <si>
    <t>G1C7C</t>
  </si>
  <si>
    <t>WOS:001314088100001</t>
  </si>
  <si>
    <t>Toktas, D; Ülkü, MA; Habib, MA</t>
  </si>
  <si>
    <t>Toktas, Dogukan; Ulku, M. Ali; Habib, Muhammad Ahsanul</t>
  </si>
  <si>
    <t>Toward Greener Supply Chains by Decarbonizing City Logistics: A Systematic Literature Review and Research Pathways</t>
  </si>
  <si>
    <t>greening city logistics; transportation; decarbonization; emissions; sustainability; supply chain management; quadruple bottom line; culture; bibliometric analysis</t>
  </si>
  <si>
    <t>DELIVERY; DESIGN</t>
  </si>
  <si>
    <t>The impacts of climate change (CC) are intensifying and becoming more widespread. Greenhouse gas emissions (GHGs) significantly contribute to CC and are primarily generated by transportation-a dominant segment of supply chains. City logistics is responsible for a significant portion of GHGs, as conventional vehicles are the primary mode of transportation in logistical operations. Nonetheless, city logistics is vital for urban areas' economy and quality of life. Therefore, decarbonizing city logistics (DCL) is crucial to promote green cities and sustainable urban living and mitigate the impacts of CC. However, sustainability encompasses the environment, economy, society, and culture, collectively called the quadruple bottom line (QBL) pillars of sustainability. This research uses the QBL approach to review the extant literature on DCL. We searched for articles on SCOPUS, focusing on analytical scholarly studies published in the past two decades. By analyzing publication years, journals, countries, and keyword occurrences, we present an overview of the current state of DCL research. Additionally, we examine the methods and proposals outlined in the reviewed articles, along with the QBL aspects they address. Finally, we discuss the evolution of DCL research and provide directions for future research. The results indicate that optimization is the predominant solution approach among the analytical papers in the DCL literature. Our analysis reveals a lack of consideration for the cultural aspect of QBL, which is essential for the applicability of any proposed solution. We also note the integration of innovative solutions, such as crowdsourcing, electric and hydrogen vehicles, and drones in city logistics, indicating a promising research area that can contribute to developing sustainable cities and mitigating CC.</t>
  </si>
  <si>
    <t>[Toktas, Dogukan; Ulku, M. Ali; Habib, Muhammad Ahsanul] Dalhousie Univ, CRSSCA Ctr Res Sustainable Supply Chain Analyt, Halifax, NS B3H 4R2, Canada; [Toktas, Dogukan; Ulku, M. Ali] Dalhousie Univ, Fac Management, Dept Management Sci &amp; Informat Syst, Halifax, NS B3H 4R2, Canada; [Habib, Muhammad Ahsanul] Dalhousie Univ, Sch Planning, Halifax, NS B3H 4R2, Canada; [Habib, Muhammad Ahsanul] Dalhousie Univ, Dept Civil &amp; Resource Engn, Halifax, NS B3H 4R2, Canada</t>
  </si>
  <si>
    <t>Dalhousie University; Dalhousie University; Dalhousie University; Dalhousie University</t>
  </si>
  <si>
    <t>Ülkü, MA (corresponding author), Dalhousie Univ, CRSSCA Ctr Res Sustainable Supply Chain Analyt, Halifax, NS B3H 4R2, Canada.;Ülkü, MA (corresponding author), Dalhousie Univ, Fac Management, Dept Management Sci &amp; Informat Syst, Halifax, NS B3H 4R2, Canada.</t>
  </si>
  <si>
    <t>toktas@dal.ca; ulku@dal.ca; ahsan.habib@dal.ca</t>
  </si>
  <si>
    <t>; Ülkü, M. Ali/AAT-6801-2021</t>
  </si>
  <si>
    <t>Habib, Muhammad Ahsanul/0000-0003-1461-9552; Toktaş, Doğukan/0009-0005-3276-7673; Ülkü, M Ali/0000-0002-8495-3364</t>
  </si>
  <si>
    <t>Climate Action Awareness Fund by Environment and Climate Change-Government of Canada; [EDF-CA-2021i011]</t>
  </si>
  <si>
    <t>Climate Action Awareness Fund by Environment and Climate Change-Government of Canada;</t>
  </si>
  <si>
    <t>This research is supported by the Climate Action Awareness Fund by Environment and Climate Change-Government of Canada. The grant number is EDF-CA-2021i011.</t>
  </si>
  <si>
    <t>SEP</t>
  </si>
  <si>
    <t>10.3390/su16177516</t>
  </si>
  <si>
    <t>F7U4K</t>
  </si>
  <si>
    <t>WOS:001311822400001</t>
  </si>
  <si>
    <t>Biasin, M; Delle Foglie, A</t>
  </si>
  <si>
    <t>Biasin, Massimo; Delle Foglie, Andrea</t>
  </si>
  <si>
    <t>Blockchain and Smart Cities for Inclusive and Sustainable Communities: A Bibliometric and Systematic Literature Review</t>
  </si>
  <si>
    <t>smart cities; sustainable development; urban agenda; blockchain; distributed ledger technologies (DLTs)</t>
  </si>
  <si>
    <t>IOT; TECHNOLOGIES; ARCHITECTURE; CONTRACTS; SECURITY; INTERNET; FUTURE</t>
  </si>
  <si>
    <t>Smart cities are urban areas that leverage technological solutions to enhance traditional network management and efficiency to benefit residents and businesses. Based on the Scientific Procedures and Rationales for Systematic Literature Reviews (SPAR-4-SLR) protocol, this study presents a systematic literature review aimed at analyzing the existing literature on smart cities research. The literature review specifically focuses on the impact of blockchain technology on the urban environment and its potential to contribute to the development of inclusive and sustainable communities, including financial systems and infrastructures with similar characteristics to serve these societies. The findings reveal a lack of studies on the practical applications of distributed ledger technologies (DLTs), particularly blockchain, that specifically focus on the urban context capable of developing the (financial) ecosystem of smart cities. To address this gap, a future research agenda is proposed, highlighting several research questions that could guide academics and practitioners interested in exploring the development of smart city systems, with particular attention on the financial framework.</t>
  </si>
  <si>
    <t>[Biasin, Massimo; Delle Foglie, Andrea] Univ Macerata, Dept Econ &amp; Law, Via Crescimbeni 14, I-62100 Macerata, Italy</t>
  </si>
  <si>
    <t>University of Macerata</t>
  </si>
  <si>
    <t>Delle Foglie, A (corresponding author), Univ Macerata, Dept Econ &amp; Law, Via Crescimbeni 14, I-62100 Macerata, Italy.</t>
  </si>
  <si>
    <t>massimo.biasin@unimc.it; a.dellefoglie1@unimc.it</t>
  </si>
  <si>
    <t>; Delle Foglie, Andrea/AAH-9612-2019</t>
  </si>
  <si>
    <t>Delle Foglie, Anea/0000-0002-8946-6338;</t>
  </si>
  <si>
    <t>European Union [101007820]</t>
  </si>
  <si>
    <t>European Union(European Union (EU))</t>
  </si>
  <si>
    <t>This project has received funding from the European Union's Horizon 2020 research and innovation programme under the Marie Sklodowska-Curie grant agreement No 101007820.</t>
  </si>
  <si>
    <t>10.3390/su16156669</t>
  </si>
  <si>
    <t>C1O9H</t>
  </si>
  <si>
    <t>WOS:001287135100001</t>
  </si>
  <si>
    <t>Liu, Y; Pan, SL; Folz, P; Hassan, T; Raipin-Parvedy, P; Ballot, E</t>
  </si>
  <si>
    <t>Borangiu, T; Trentesaux, D; Leitao, P; Berrah, L; Jimenez, JF</t>
  </si>
  <si>
    <t>Liu, Yu; Pan, Shenle; Folz, Pauline; Hassan, Thomas; Raipin-Parvedy, Philippe; Ballot, Eric</t>
  </si>
  <si>
    <t>Smart City Logistics Enabled by Digital Twins and Semantic Technologies</t>
  </si>
  <si>
    <t>SERVICE ORIENTED, HOLONIC AND MULTI-AGENT MANUFACTURING SYSTEMS FOR INDUSTRY OF THE FUTURE, SOHOMA 2023</t>
  </si>
  <si>
    <t>Studies in Computational Intelligence</t>
  </si>
  <si>
    <t>International Workshop on Service Orientation in Holonic and Multi-Agent Manufacturing (SOHOMA)</t>
  </si>
  <si>
    <t>SEP 28-29, 2023</t>
  </si>
  <si>
    <t>Annecy, FRANCE</t>
  </si>
  <si>
    <t>City Logistics; Smart City; Digital Twin; Semantics; Multi-modality; Sustainability; Micro-hub; Crowdsourcing</t>
  </si>
  <si>
    <t>This research explores sustainable city logistics, emphasizing the hurdles associated with scarce urban resources, including their under- and misutilization due to a lack of real-time information on the available infrastructure and intense competition between companies. To face these challenges, there is a crucial need to improve the visibility of urban resources and logistics assets, as an enabler of effective and efficient resource allocation and orchestration of resource utilization and logistics operations. The advent of Smart Cities provides innovation opportunities, leading to the concept of Smart City Logistics (SCL). SCL will offer dual benefits: firstly, it improves resource visibility by profiting from the various fundamental technologies of Smart Cities, i.e., IoT and ICT, to collect and transfer the data of the ever-changing state of resources. Second, enhanced by Digital Twins, the real-time objects' states can be synchronized and mirrored, which will support the decision-making in SCL to guide the allocation of urban resources to provide energy-efficient, cost-effective logistics services dynamically and responsively. This research primarily focuses on SCL's conceptualization and modelling, while discussing potential future advancements.</t>
  </si>
  <si>
    <t>[Liu, Yu; Pan, Shenle; Ballot, Eric] PSL Univ, Ctr Management Sci CGS, i3 UMR CNRS, Mines Paris, F-75006 Paris, France; [Folz, Pauline; Hassan, Thomas; Raipin-Parvedy, Philippe] Orange Innovat, Issy Les Moulineaux, France</t>
  </si>
  <si>
    <t>Universite PSL; MINES ParisTech; Orange SA</t>
  </si>
  <si>
    <t>Liu, Y (corresponding author), PSL Univ, Ctr Management Sci CGS, i3 UMR CNRS, Mines Paris, F-75006 Paris, France.</t>
  </si>
  <si>
    <t>yu.liu@minesparis.psl.eu; shenle.pan@minesparis.psl.eu; pauline.folz@orange.com; thomas.hassan@orange.com; philippe.raipin@orange.com; eric.ballot@minesparis.psl.eu</t>
  </si>
  <si>
    <t>Pan, Shenle/D-6571-2018</t>
  </si>
  <si>
    <t>Physical Internet Chair at Mines Paris - PSL University, in the project ASAP (Awaken Sleeping Assets Project) from the European Union's Horizon 2020 research and innovation program [875022]</t>
  </si>
  <si>
    <t>Physical Internet Chair at Mines Paris - PSL University, in the project ASAP (Awaken Sleeping Assets Project) from the European Union's Horizon 2020 research and innovation program</t>
  </si>
  <si>
    <t>This work is supported by the Physical Internet Chair at Mines Paris - PSL University, in the project ASAP (Awaken Sleeping Assets Project) which has received funding from the European Union's Horizon 2020 research and innovation program under grant agreement No 875022.</t>
  </si>
  <si>
    <t>SPRINGER INTERNATIONAL PUBLISHING AG</t>
  </si>
  <si>
    <t>CHAM</t>
  </si>
  <si>
    <t>GEWERBESTRASSE 11, CHAM, CH-6330, SWITZERLAND</t>
  </si>
  <si>
    <t>1860-949X</t>
  </si>
  <si>
    <t>1860-9503</t>
  </si>
  <si>
    <t>978-3-031-53447-8; 978-3-031-53445-4; 978-3-031-53444-7</t>
  </si>
  <si>
    <t>STUD COMPUT INTELL</t>
  </si>
  <si>
    <t>10.1007/978-3-031-53445-4_35</t>
  </si>
  <si>
    <t>Computer Science, Interdisciplinary Applications; Computer Science, Software Engineering; Engineering, Industrial; Engineering, Manufacturing</t>
  </si>
  <si>
    <t>Computer Science; Engineering</t>
  </si>
  <si>
    <t>BX4UB</t>
  </si>
  <si>
    <t>WOS:001294445700035</t>
  </si>
  <si>
    <t>Wang, S; Zhu, XN; Shang, P; Liu, WQ; Lin, X; Tavasszy, L</t>
  </si>
  <si>
    <t>Wang, Shuai; Zhu, Xiaoning; Shang, Pan; Liu, Wenqian; Lin, Xiao; Tavasszy, Lorant</t>
  </si>
  <si>
    <t>Two-Echelon Pickup and Delivery Problem Using Public Transport in City Logistics</t>
  </si>
  <si>
    <t>JOURNAL OF ADVANCED TRANSPORTATION</t>
  </si>
  <si>
    <t>VEHICLE-ROUTING PROBLEM; TIME WINDOWS; FREIGHT TRANSPORT; PASSENGER; SYSTEM</t>
  </si>
  <si>
    <t>The rapid increase in e-commerce and the emergence of combined passenger/freight systems in urban areas have raised the question of how best to integrate public transport services into door-to-door deliveries. This paper develops a variant of the pickup and delivery problem, called the two-echelon pickup and delivery problem using public transport (2E-PDP-PT). In the 2E-PDP-PT, the transportation network is split into two echelons. Different vehicles are utilized across the first and second echelons to ensure distribution efficiency. Parcels are delivered by public transport with free capacity or via trucks between satellites in the first echelon, and logistics vehicles are operated in the second echelon. The satellites are located at the echelon borders to transfer commodities between echelons. The 2E-PDP-PT aims to minimize total delivery costs and improve public transport capacity utilization. We formulate a new mathematical model based on a space-time network and adopt an adaptive large neighborhood search (ALNS) algorithm for the 2E-PDP-PT. The effectiveness of the ALNS algorithm is validated using newly generated small-scale instances. Furthermore, we investigate large-scale instances based on the Beijing Yizhuang transportation network. The computations show that an average total delivery cost savings of 4.5% is feasible. In addition, we analyze the impact of demand distributions and compare the ALNS algorithm and the LNS algorithm. Finally, we conclude that dynamically integrating public transport into freight transport services can benefit both logistics companies and public transport operators.</t>
  </si>
  <si>
    <t>[Wang, Shuai; Zhu, Xiaoning; Shang, Pan; Liu, Wenqian] Beijing Jiaotong Univ, Sch Traff &amp; Transportat, Beijing 100044, Peoples R China; [Lin, Xiao; Tavasszy, Lorant] Delft Univ Technol, Dept Transport &amp; Planning, Stevinweg 1, Delft, Netherlands</t>
  </si>
  <si>
    <t>Beijing Jiaotong University; Delft University of Technology</t>
  </si>
  <si>
    <t>Shang, P (corresponding author), Beijing Jiaotong Univ, Sch Traff &amp; Transportat, Beijing 100044, Peoples R China.</t>
  </si>
  <si>
    <t>19114054@bjtu.edu.cn; xnzhu@bjtu.edu.cn; shangpan@bjtu.edu.cn; 19114044@bjtu.edu.cn; ssfielx@gmail.com; l.a.tavasszy@tudelft.nl</t>
  </si>
  <si>
    <t>Liu, Wenqian/GXH-6534-2022; WANG, SHUAI/LBC-7636-2024</t>
  </si>
  <si>
    <t>Tavasszy, Lorant/0000-0002-5164-2164; Shang, Pan/0000-0003-1715-456X; 刘, 文茜/0000-0002-3296-1071</t>
  </si>
  <si>
    <t>National Natural Science Foundation of China [U2034208]; Joint Funds of the National Natural Science Foundation of China</t>
  </si>
  <si>
    <t>National Natural Science Foundation of China(National Natural Science Foundation of China (NSFC)); Joint Funds of the National Natural Science Foundation of China(National Natural Science Foundation of China (NSFC))</t>
  </si>
  <si>
    <t>This work was supported by the Joint Funds of the National Natural Science Foundation of China (no. U2034208).</t>
  </si>
  <si>
    <t>WILEY</t>
  </si>
  <si>
    <t>HOBOKEN</t>
  </si>
  <si>
    <t>111 RIVER ST, HOBOKEN 07030-5774, NJ USA</t>
  </si>
  <si>
    <t>0197-6729</t>
  </si>
  <si>
    <t>2042-3195</t>
  </si>
  <si>
    <t>J ADV TRANSPORT</t>
  </si>
  <si>
    <t>J. Adv. Transp.</t>
  </si>
  <si>
    <t>AUG 9</t>
  </si>
  <si>
    <t>10.1155/2024/1203246</t>
  </si>
  <si>
    <t>Engineering, Civil; Transportation Science &amp; Technology</t>
  </si>
  <si>
    <t>Engineering; Transportation</t>
  </si>
  <si>
    <t>C9S0E</t>
  </si>
  <si>
    <t>WOS:001292673700002</t>
  </si>
  <si>
    <t>Bolshakov, N; Celani, A; Badenko, V; Benedicto, RM</t>
  </si>
  <si>
    <t>Bolshakov, Nikolai; Celani, Alberto; Badenko, Vladimir; Benedicto, Rafael Magdalena</t>
  </si>
  <si>
    <t>Factories of the Future in Digitization of Industrial Urban Areas</t>
  </si>
  <si>
    <t>URBAN SCIENCE</t>
  </si>
  <si>
    <t>industrial areas; building information modelling; factory of the future; industrial facilities; digital twin; facility management</t>
  </si>
  <si>
    <t>BIM</t>
  </si>
  <si>
    <t>This paper delves into the integration of Factories of the Future (FoF) and digital twin technologies within urban contexts, marking a significant leap in Smart Cities development. We present a thorough exploration of the principles and a scientifically grounded framework designed for seamlessly blending advanced manufacturing systems with the urban environment's digital and physical aspects. Our detailed analysis has identified core principles crucial for this integration, focusing on interoperability, sustainability, adaptability, stakeholder collaboration, and strong data governance. We propose a structured framework that puts these principles into action, outlining strategic routes for incorporating digital twin and Building Information Modeling (BIM) technologies into FoF, establishing public-private partnerships, enhancing education and workforce development, and setting up mechanisms for ongoing evaluation and enhancement. The potential of this integration to transform urban development is vast, providing a model for boosting operational efficiency, driving economic growth, and enhancing urban livability. Although challenges exist in realizing this vision, our research offers practical insights and strategies for cities and industries to effectively navigate the complexities of the digital era. This contribution enriches the growing field of urban science, advocating for a harmonious integration of industrial production with urban development in the Smart Cities framework.</t>
  </si>
  <si>
    <t>[Bolshakov, Nikolai; Badenko, Vladimir] Peter Great St Petersburg Polytech Univ, Civil Engn Inst, St Petersburg 195251, Russia; [Celani, Alberto] Politecn Milan, ABC Dept, I-20133 Milan, Italy; [Benedicto, Rafael Magdalena] Univ Valencia, Escola Tecn Super Engn ETSE UV, Valencia 46010, Spain</t>
  </si>
  <si>
    <t>Peter the Great St. Petersburg Polytechnic University; Polytechnic University of Milan; University of Valencia</t>
  </si>
  <si>
    <t>Celani, A (corresponding author), Politecn Milan, ABC Dept, I-20133 Milan, Italy.</t>
  </si>
  <si>
    <t>nikolaybolshakov7@gmail.com; alberto.celani@polimi.it; badenko_vl@spbstu.ru; rafael.magdalena@uv.es</t>
  </si>
  <si>
    <t>; celani, alberto/AAC-1808-2021; Bolshakov, Nikolai/V-3107-2019; Badenko, Vladimir/AAD-1189-2020; Magdalena, Rafael/I-7969-2012; Badenko, Vladimir/A-5719-2014</t>
  </si>
  <si>
    <t>CELANI, ALBERTO/0000-0002-5980-958X; Magdalena, Rafael/0000-0003-3752-8231; Badenko, Vladimir/0000-0002-3054-1786</t>
  </si>
  <si>
    <t>Ministry of Science and Higher Education of the Russian Federation [075-15-2022-311]</t>
  </si>
  <si>
    <t>Ministry of Science and Higher Education of the Russian Federation</t>
  </si>
  <si>
    <t>The research is partially funded by the Ministry of Science and Higher Education of the Russian Federation as part of the World-class Research Center program: Advanced Digital Technologies (contract No. 075-15-2022-311 dated 20 April 2022).</t>
  </si>
  <si>
    <t>2413-8851</t>
  </si>
  <si>
    <t>URBAN SCI</t>
  </si>
  <si>
    <t>Urban Sci.</t>
  </si>
  <si>
    <t>10.3390/urbansci8020066</t>
  </si>
  <si>
    <t>Environmental Sciences; Environmental Studies; Geography; Regional &amp; Urban Planning; Urban Studies</t>
  </si>
  <si>
    <t>Environmental Sciences &amp; Ecology; Geography; Public Administration; Urban Studies</t>
  </si>
  <si>
    <t>WO1K1</t>
  </si>
  <si>
    <t>WOS:001255724500001</t>
  </si>
  <si>
    <t>Zhang, X; Kamali, M</t>
  </si>
  <si>
    <t>Zhang, Xi; Kamali, Mohammadreza</t>
  </si>
  <si>
    <t>Guest Editorial Water Supply and Wastewater Management in Modern and Smart Cities</t>
  </si>
  <si>
    <t>JOURNAL OF SETTLEMENTS AND SPATIAL PLANNING</t>
  </si>
  <si>
    <t>Editorial Material</t>
  </si>
  <si>
    <t>water supply; wastewater treatment; sustainability; modern and smart cities</t>
  </si>
  <si>
    <t>Water is the basis of modern societies. However, population growth and rapid urbanization on the one hand, and anthropogenic activities, on the other hand, have considerably contributed to the scarcity of clean water resources. Hence, modern and smart cities have to develop sustainable tools and technologies for providing clean water resources and treat the generated effluents from the various industrial and non-industrial origins to satisfy the sustainability and circular economy goals. In this regard, a wide range of interdisciplinary knowledge is needed to investigate various aspects including site selection and designing modern (waste)water treatment facilities. Therefore, studies are welcome to design modern and smart cities or to modify the conventional infrastructures in the existing urban areas.</t>
  </si>
  <si>
    <t>[Zhang, Xi; Kamali, Mohammadreza] Katholieke Univ Leuven, Dept Chem Engn, Proc &amp; Environm Technol Lab, St Katelijne Waver, Belgium</t>
  </si>
  <si>
    <t>KU Leuven</t>
  </si>
  <si>
    <t>Kamali, M (corresponding author), Katholieke Univ Leuven, Dept Chem Engn, Proc &amp; Environm Technol Lab, St Katelijne Waver, Belgium.</t>
  </si>
  <si>
    <t>xi.zhang@kuleuven.be; mohammadreza.kamali@kuleuven.be</t>
  </si>
  <si>
    <t>; Zhang, Xi/ADB-8318-2022; Kamali, Mohammadreza/AAG-1476-2020</t>
  </si>
  <si>
    <t>Zhang, Xi/0000-0001-9519-2567; Kamali, Mohammaeza/0000-0002-1591-9605;</t>
  </si>
  <si>
    <t>I would like to thank the editorial team of the Journal of Settlements and Spatial Planning, especially Vasile Zotic and Diana-Elena Alexandru, for their support in conveying this issue. Furthermore, we are grateful to the reviewers who made great efforts in evaluating the manuscripts submitted.</t>
  </si>
  <si>
    <t>CLUJ UNIV PRESS</t>
  </si>
  <si>
    <t>CLUJ NAPOCA</t>
  </si>
  <si>
    <t>STRADA B P HASDEU NR 51, CLUJ NAPOCA, 400371, ROMANIA</t>
  </si>
  <si>
    <t>2069-3419</t>
  </si>
  <si>
    <t>2248-2199</t>
  </si>
  <si>
    <t>J SETTL SPAT PLAN</t>
  </si>
  <si>
    <t>J. Settl. Spat. Plan.</t>
  </si>
  <si>
    <t>10.24193/JSSPSI.01.WSWMMSS</t>
  </si>
  <si>
    <t>Geography</t>
  </si>
  <si>
    <t>D1P8E</t>
  </si>
  <si>
    <t>WOS:001293984100001</t>
  </si>
  <si>
    <t>Petri, M; Chomiak, I</t>
  </si>
  <si>
    <t>Biecek, P; Nowaczyk, S; Chung, NC; Vallati, M; Skruch, P; Jaworek-Korjakowska, J; Parkinson, S; Nikitas, A; Atzmuller, M; Kliegr, T; Schmid, U; Bobek, S; Lavrac, N; Peeters, M; VanDierendonck, R; Robben, S; Mercier-Laurent, E; Kayakutlu, G; Owoc, ML; Mason, K; Wahid, A; Bruno, P; Calimeri, F; Cauteruccio, F; Terracina, G; Wolter, D; Leidner, JL; Kohlhase, M; Dimitrova, V</t>
  </si>
  <si>
    <t>Petri, Michal; Chomiak, Iwona</t>
  </si>
  <si>
    <t>Towards a Sustainable Future: The Use of Electrical Energy in Smart Cities</t>
  </si>
  <si>
    <t>ARTIFICIAL INTELLIGENCE-ECAI 2023 INTERNATIONAL WORKSHOPS, PT 2, XAI3, TACTIFUL, XI-ML, SEDAMI, RAAIT, AI4S, HYDRA, AI4AI, 2023</t>
  </si>
  <si>
    <t>Communications in Computer and Information Science</t>
  </si>
  <si>
    <t>26th European Conference on Artificial Intelligence (ECAI)</t>
  </si>
  <si>
    <t>SEP 30-OCT 04, 2023</t>
  </si>
  <si>
    <t>Krakow, POLAND</t>
  </si>
  <si>
    <t>Smart cities; Smart grids; Energy management; Internet of Things; Innovations; Information and communication technologies; Electricity</t>
  </si>
  <si>
    <t>An intelligent city is a center that effectively manages its resources to ensure a high standard of living for its residents while maintaining ecological awareness. The effective management of energy poses a significant problem in major urban areas, mostly attributable to the intricate nature and criticality of energy networks. Intelligent energy management in residential structures is crucial to smart city efficiency. Energy management involves demand management, peak load reduction, and carbon dioxide emission reduction. Risk management, efficiency, and sustainable development are integral elements of every energy management strategy in smart cities. Risk elimination, effectiveness, and environmentally friendly growth are fundamental components that form an essential part of energy management strategies in smart cities. They are an indispensable condition for the transformation from the traditional model based on conventional sources to a more sustainable system using renewable energy. The article is a literature review presenting the role of smart grids in creating smart cities.</t>
  </si>
  <si>
    <t>[Petri, Michal; Chomiak, Iwona] Wroclaw Univ Econ &amp; Business, PL-53345 Wroclaw, Poland</t>
  </si>
  <si>
    <t>Wroclaw University of Economics &amp; Business</t>
  </si>
  <si>
    <t>Chomiak, I (corresponding author), Wroclaw Univ Econ &amp; Business, PL-53345 Wroclaw, Poland.</t>
  </si>
  <si>
    <t>iwano.chomak-orsa@ue.wroc.pl</t>
  </si>
  <si>
    <t>Chomiak-Orsa, Iwona/U-7668-2018</t>
  </si>
  <si>
    <t>Chomiak-Orsa, Iwona/0000-0003-3550-8624; Petri, Michal/0009-0002-8160-9979</t>
  </si>
  <si>
    <t>1865-0929</t>
  </si>
  <si>
    <t>1865-0937</t>
  </si>
  <si>
    <t>978-3-031-50484-6; 978-3-031-50485-3</t>
  </si>
  <si>
    <t>COMM COM INF SC</t>
  </si>
  <si>
    <t>10.1007/978-3-031-50485-3_22</t>
  </si>
  <si>
    <t>Computer Science, Artificial Intelligence</t>
  </si>
  <si>
    <t>Computer Science</t>
  </si>
  <si>
    <t>BX2FG</t>
  </si>
  <si>
    <t>WOS:001259355800022</t>
  </si>
  <si>
    <t>Guhathakurta, S</t>
  </si>
  <si>
    <t>Andris, C; Bouros, P; Kanza, Y; Renz, M; Sacharidis, D</t>
  </si>
  <si>
    <t>Guhathakurta, Subhrajit</t>
  </si>
  <si>
    <t>Beyond Smart Cities: The Role of Technology in Resilient Urban Futures</t>
  </si>
  <si>
    <t>PROCEEDINGS OF THE 8TH ACM SIGSPATIAL INTERNATIONAL WORKSHOP ON LOCATION-BASED RECOMMENDATIONS, GEOSOCIAL NETWORKS AND GEOADVERTISING, LOCALREC 2024</t>
  </si>
  <si>
    <t>8th International Workshop on Location Based Recommendations Geosocial Networks and Geoadvertising-LOCALREC</t>
  </si>
  <si>
    <t>OCT 29-NOV 01, 2024</t>
  </si>
  <si>
    <t>Atlanta, GA</t>
  </si>
  <si>
    <t>smart city; urban technology; resilience; urban futures</t>
  </si>
  <si>
    <t>PERCEIVED NEIGHBORHOOD ENVIRONMENT; WALKING</t>
  </si>
  <si>
    <t>A smart city is a term commonly used to describe iconic and often futuristic urban areas that utilize advanced information and communication technologies to ensure sustainable management of the city's infrastructure and services. However, an important question often overlooked is whether smart cities can also enhance human aspirations and creativity. The evolution of cities over the past five thousand years sheds light on the key factors that make a city vibrant, creative, beautiful, just, and inspiring. City planning has been a profession for more than a century, and while technology can significantly contribute to effective city management, it alone is not enough to ensure a high quality of life. A city encompasses much more than its technological aspects; its character is shaped by history, culture, and the unique social practices that separate one city from another. This talk will examine the role of technology in effective city management while acknowledging its limitations. It will also showcase some of our research that makes cities smarter and more resilient.</t>
  </si>
  <si>
    <t>[Guhathakurta, Subhrajit] Georgia Tech, Atlanta, GA 30332 USA</t>
  </si>
  <si>
    <t>University System of Georgia; Georgia Institute of Technology</t>
  </si>
  <si>
    <t>Guhathakurta, S (corresponding author), Georgia Tech, Atlanta, GA 30332 USA.</t>
  </si>
  <si>
    <t>subhro.guha@design.gatech.edu</t>
  </si>
  <si>
    <t>Guhathakurta, Subhrajit/L-4568-2019</t>
  </si>
  <si>
    <t>Guhathakurta, Subhrajit/0000-0002-2456-3284</t>
  </si>
  <si>
    <t>ASSOC COMPUTING MACHINERY</t>
  </si>
  <si>
    <t>1601 Broadway, 10th Floor, NEW YORK, NY, UNITED STATES</t>
  </si>
  <si>
    <t>979-8-4007-1152-7</t>
  </si>
  <si>
    <t>10.1145/3681773.3701010</t>
  </si>
  <si>
    <t>Computer Science, Information Systems; Computer Science, Interdisciplinary Applications; Geography; Geography, Physical</t>
  </si>
  <si>
    <t>Computer Science; Geography; Physical Geography</t>
  </si>
  <si>
    <t>BY6DU</t>
  </si>
  <si>
    <t>WOS:001476916400001</t>
  </si>
  <si>
    <t>dos Santos, MJPL</t>
  </si>
  <si>
    <t>Palma Lampreia dos Santos, Maria Jose</t>
  </si>
  <si>
    <t>Smart cities and urban areas-Aquaponics as innovative urban agriculture</t>
  </si>
  <si>
    <t>URBAN FORESTRY &amp; URBAN GREENING</t>
  </si>
  <si>
    <t>Data envelopment analysis; Efficiency; Smart sustainability; Typologies of aquaponics; Urban innovative agriculture</t>
  </si>
  <si>
    <t>PLANNED BEHAVIOR; SEGMENTING FARMS; EFFICIENCY; INTENTION; CONSUMPTION; TYPOLOGIES; MANAGEMENT; ATTITUDES; POLICY; REGION</t>
  </si>
  <si>
    <t>Aquaponics is an innovative smart and sustainable production system for integrating aquaculture with hydroponic vegetable crops, that can play a crucial role in the future of environmental and socio-economic sustainability in smart cities. These cities aim mobilize all knowledge centers and Information and Communication Technologies (ICT) into innovation hubs in order to strengthen the socio-economic progress. Nowadays the production, transport and logistics of food requires high costs and transport and harvest from other parts of the planet to the cities, associated to intensive polluting technologies. Aquaponics can play a key role enabling local production, fresh, free of pesticides and healthy with short supply chains in the cities. Despite the technical developments in aquaponics there is still no integrated approach to analyze their potential as urban agriculture. This paper aims to contextualize the aquaponics as urban farming and analyze the necessary developments in that field, namely, the need of an integrated approach from producers to consumers on smart cities. So, this paper analyzes the importance of Theory of Planned Behavior on aquaponics stakeholder's decision making process and the efficiency analysis in aquaponics systems by parametric (Data Envelopment Analysis), and non-parametric methods (stochastic frontier production) as an integrated and innovative approach. (C) 2016 Elsevier GmbH. All rights reserved.</t>
  </si>
  <si>
    <t>[Palma Lampreia dos Santos, Maria Jose] Univ Lisbon, Sch Commun &amp; Media Studies, ESCS, IPL, Campus Benfica IPL, P-1549014 Lisbon, Portugal; [Palma Lampreia dos Santos, Maria Jose] Univ Lisbon, Sch Commun &amp; Media Studies, ISCTE, CET, Campus Benfica IPL, P-1549014 Lisbon, Portugal</t>
  </si>
  <si>
    <t>Polytechnic Institute of Lisbon; Universidade de Lisboa; Instituto Universitario de Lisboa; Universidade de Lisboa</t>
  </si>
  <si>
    <t>dos Santos, MJPL (corresponding author), Univ Lisbon, Sch Commun &amp; Media Studies, ESCS, IPL, Campus Benfica IPL, P-1549014 Lisbon, Portugal.;dos Santos, MJPL (corresponding author), Univ Lisbon, Sch Commun &amp; Media Studies, ISCTE, CET, Campus Benfica IPL, P-1549014 Lisbon, Portugal.</t>
  </si>
  <si>
    <t>mjpls@iscte.pt</t>
  </si>
  <si>
    <t>Dos-Santos, Maria/I-6292-2019</t>
  </si>
  <si>
    <t>Dos-Santos, Maria/0000-0002-1992-0419</t>
  </si>
  <si>
    <t>ELSEVIER GMBH</t>
  </si>
  <si>
    <t>MUNICH</t>
  </si>
  <si>
    <t>HACKERBRUCKE 6, 80335 MUNICH, GERMANY</t>
  </si>
  <si>
    <t>1618-8667</t>
  </si>
  <si>
    <t>URBAN FOR URBAN GREE</t>
  </si>
  <si>
    <t>Urban For. Urban Green.</t>
  </si>
  <si>
    <t>DEC 1</t>
  </si>
  <si>
    <t>10.1016/j.ufug.2016.10.004</t>
  </si>
  <si>
    <t>Plant Sciences; Environmental Studies; Forestry; Urban Studies</t>
  </si>
  <si>
    <t>Plant Sciences; Environmental Sciences &amp; Ecology; Forestry; Urban Studies</t>
  </si>
  <si>
    <t>EH0RI</t>
  </si>
  <si>
    <t>WOS:000391471000044</t>
  </si>
  <si>
    <t>Fatorachian, H; Kazemi, H; Pawar, K</t>
  </si>
  <si>
    <t>Fatorachian, Hajar; Kazemi, Hadi; Pawar, Kulwant</t>
  </si>
  <si>
    <t>Enhancing Smart City Logistics Through IoT-Enabled Predictive Analytics: A Digital Twin and Cybernetic Feedback Approach</t>
  </si>
  <si>
    <t>predictive analytics; digital twin technology; IoT in logistics; supply chain adaptability; machine learning</t>
  </si>
  <si>
    <t>BIG DATA; CITIES</t>
  </si>
  <si>
    <t>Highlights What are the main findings? Integrating digital twins, AI, and IoT enables real-time, adaptive logistics that improve delivery accuracy and reduce congestion.AI Predictive Models boost delivery accuracy and reduce urban congestion. Cybernetic feedback loops support self-regulating logistics systems that optimise routes and minimise environmental impact. What is the implication of the main finding? IoT-enabled predictive analytics integrated with digital twins and cybernetic feedback loops can significantly improve the responsiveness, efficiency, and sustainability of smart city logistics. The proposed framework enables adaptive, real-time optimisation of last-mile deliveries, helping logistics managers and city planners reduce congestion and environmental impact in urban freight operations.Highlights What are the main findings? Integrating digital twins, AI, and IoT enables real-time, adaptive logistics that improve delivery accuracy and reduce congestion.AI Predictive Models boost delivery accuracy and reduce urban congestion. Cybernetic feedback loops support self-regulating logistics systems that optimise routes and minimise environmental impact. What is the implication of the main finding? IoT-enabled predictive analytics integrated with digital twins and cybernetic feedback loops can significantly improve the responsiveness, efficiency, and sustainability of smart city logistics. The proposed framework enables adaptive, real-time optimisation of last-mile deliveries, helping logistics managers and city planners reduce congestion and environmental impact in urban freight operations.Abstract The increasing complexity of urban logistics in smart cities requires innovative solutions that leverage real-time data, predictive analytics, and adaptive learning to enhance efficiency. This study presents a predictive analytics framework integrating digital twin technology, IoT-enabled logistics data, and cybernetic feedback loops to improve last-mile delivery accuracy, congestion management, and sustainability in smart cities. Grounded in Systems Theory and Cybernetic Theory, the framework models urban logistics as an interconnected network, where real-time IoT data enable dynamic routing, demand forecasting, and self-regulating logistics operations. By incorporating machine learning-driven predictive analytics, the study demonstrates how AI-powered logistics optimization can enhance urban freight mobility. The cybernetic feedback mechanism further improves adaptive decision-making and operational resilience, allowing logistics networks to respond dynamically to changing urban conditions. The findings provide valuable insights for logistics managers, smart city policymakers, and urban planners, highlighting how AI-driven logistics strategies can reduce congestion, enhance sustainability, and optimize delivery performance. The study also contributes to logistics and smart city research by integrating digital twins with adaptive analytics, addressing gaps in dynamic, feedback-driven logistics models.</t>
  </si>
  <si>
    <t>[Fatorachian, Hajar; Kazemi, Hadi] Leeds Beckett Univ, Leeds Business Sch, Leeds LS1 3HB, England; [Pawar, Kulwant] Univ Nottingham, Nottingham Univ, Business Sch, Nottingham NG8 1BB, England</t>
  </si>
  <si>
    <t>Leeds Beckett University; University of Nottingham</t>
  </si>
  <si>
    <t>Fatorachian, H (corresponding author), Leeds Beckett Univ, Leeds Business Sch, Leeds LS1 3HB, England.</t>
  </si>
  <si>
    <t>h.fatorachian@leedsbeckett.ac.uk; hadikzm@gmail.com; kul.pawar@nottingham.ac.uk</t>
  </si>
  <si>
    <t>Pawar, Kulwant/AAL-5027-2021</t>
  </si>
  <si>
    <t>Kazemi, Hadi/0000-0001-5982-2605; Pawar, Kulwant/0000-0001-8830-1024; Fatorachian, Hajar/0000-0002-2569-7882</t>
  </si>
  <si>
    <t>MAR 26</t>
  </si>
  <si>
    <t>10.3390/smartcities8020056</t>
  </si>
  <si>
    <t>1XF7K</t>
  </si>
  <si>
    <t>Green Accepted, gold</t>
  </si>
  <si>
    <t>WOS:001475808600001</t>
  </si>
  <si>
    <t>Özer, NC; Tuzkaya, UR</t>
  </si>
  <si>
    <t>Ozer, N. Ceyda; Tuzkaya, U. Rifat</t>
  </si>
  <si>
    <t>A methodology for the strategic design of city logistics networks and its application in Turkish automotive spare parts industry</t>
  </si>
  <si>
    <t>JOURNAL OF INTELLIGENT &amp; FUZZY SYSTEMS</t>
  </si>
  <si>
    <t>Fuzzy Choquet integral; electric vehicles; multi-criteria decision making; city logistics; mathematical modeling</t>
  </si>
  <si>
    <t>SUPPLY CHAIN NETWORK; INTEGRATED PRODUCTION; FREIGHT TRANSPORT; FRAMEWORK; SELECTION; MODEL</t>
  </si>
  <si>
    <t>City logistics approaches and modeling struggles have a significant role in urban areas in increasing the efficiency of logistics operations and reducing traffic jams and their environmental effects. By developing an effective distribution network for cities, it is possible to compete with the changing world and satisfy flexible customer requirements. In this study, as a real-world case, a city logistics model for Istanbul metropolitan area is designed using multi-objective linear programming that considers the different objectives of the stakeholders in cities by integrating the fuzzy Choquet integral technique in a multi-level distribution network for the automotive spare part industry. This paper makes decisions regarding the amount of product flowing among the echelons, the amount of stock to be kept in the warehouses, and the product delays allowed. While minimizing the transportation cost, holding cost and emission levels during these decisions, the study also aims to maximize the service quality in the warehouses. The model is applied to a logistics network of fifty demand points and thirty time periods which can be considered a middle or large-scale problem. In the model, it is also decided to transport the products with electric or fuel vehicles. In the transport sector, electric vehicles are the key to meet future needs for social, health and other human services. The results are discussed under different scenarios. This research allows the use of such a model in making strategic decisions for the distribution network design in big cities.</t>
  </si>
  <si>
    <t>[Ozer, N. Ceyda; Tuzkaya, U. Rifat] Yildiz Tech Univ, Dept Ind Engn, Barbaros Blvd, Istanbul, Turkiye</t>
  </si>
  <si>
    <t>Yildiz Technical University</t>
  </si>
  <si>
    <t>Özer, NC (corresponding author), Yildiz Tech Univ, Dept Ind Engn, Barbaros Blvd, TR-34349 Istanbul, Turkiye.</t>
  </si>
  <si>
    <t>nilozer4@hotmail.com</t>
  </si>
  <si>
    <t>tuzkaya, umut/AAY-2553-2020</t>
  </si>
  <si>
    <t>IOS PRESS</t>
  </si>
  <si>
    <t>NIEUWE HEMWEG 6B, 1013 BG AMSTERDAM, NETHERLANDS</t>
  </si>
  <si>
    <t>1064-1246</t>
  </si>
  <si>
    <t>1875-8967</t>
  </si>
  <si>
    <t>J INTELL FUZZY SYST</t>
  </si>
  <si>
    <t>J. Intell. Fuzzy Syst.</t>
  </si>
  <si>
    <t>10.3233/JIFS-223282</t>
  </si>
  <si>
    <t>O7HK6</t>
  </si>
  <si>
    <t>WOS:001045474700059</t>
  </si>
  <si>
    <t>Tumminello, ML; Macioszek, E; Granà, A; Giuffrè, T</t>
  </si>
  <si>
    <t>Tumminello, Maria Luisa; Macioszek, Elzbieta; Grana, Anna; Giuffre, Tullio</t>
  </si>
  <si>
    <t>Evaluating Traffic-Calming-Based Urban Road Design Solutions Featuring Cooperative Driving Technologies in Energy Efficiency Transition for Smart Cities</t>
  </si>
  <si>
    <t>traffic-calming measures; connected and autonomous vehicles; roundabouts; limited traffic zone; Aimsun Next; urban metabolism; energy efficiency; surrogate measures of safety; smart cities</t>
  </si>
  <si>
    <t>SCHEMES; MICROSIMULATION; SIMULATOR; IMPACT</t>
  </si>
  <si>
    <t>Traffic-calming measures (TCMs) are non-invasive devices designed to improve road mobility and urban areas on a human scale. Despite their potential, they have been in use for a long time and now have to deal with the latest technological innovations in the automotive field, such as cooperative driving technologies (CDTs), to improve energy efficiency in cities. The goal of this study is to explore the safety and operational performances of TCMs featuring CDTs in urban areas. An urban-scale road network close to a seaside area in the City of Mazara del Vallo, Italy, was properly redesigned and simulated in AIMSUN to assess several design solutions, where connected and automated vehicles (CAVs) have been employed as a more energy-efficient public transportation system. Preliminarily, the fine-tuning process of model parameters included CAVs and human-operated vehicles (HOVs) flowing through the network up to saturation conditions. The safety of the planned solutions was tested by using surrogate measures. The micro-simulation approach allowed us to know in advance and compare the operational and safety performances of environmentally friendly solutions involving TCMs and CDTs. These results can also support urban road decision makers in pivoting urban-traffic-calming-based design solutions featuring cooperative driving technologies toward energy efficiency transitions for smart cities.</t>
  </si>
  <si>
    <t>[Tumminello, Maria Luisa; Grana, Anna] Univ Palermo, Dept Engn, Viale Sci 8, I-90128 Palermo, Italy; [Macioszek, Elzbieta] Silesian Tech Univ, Fac Transport &amp; Aviat Engn, Dept Transport Syst Traff Engn &amp; Logist, Krasinskiego 8 St, PL-40019 Katowice, Poland; [Grana, Anna] Ctr Nazl Mobil Sostenibile CNMS, Sustainable Mobil Ctr, Via Giovanni Durando 39, I-20158 Milan, Italy; [Giuffre, Tullio] Univ Enna Kore, Fac Engn &amp; Architecture, Viale Cooperaz, I-94100 Enna, Italy</t>
  </si>
  <si>
    <t>University of Palermo; Silesian University of Technology; Universita Kore di ENNA</t>
  </si>
  <si>
    <t>Tumminello, ML (corresponding author), Univ Palermo, Dept Engn, Viale Sci 8, I-90128 Palermo, Italy.;Macioszek, E (corresponding author), Silesian Tech Univ, Fac Transport &amp; Aviat Engn, Dept Transport Syst Traff Engn &amp; Logist, Krasinskiego 8 St, PL-40019 Katowice, Poland.</t>
  </si>
  <si>
    <t>marialuisa.tumminello01@unipa.it; elzbieta.macioszek@polsl.pl; anna.grana@unipa.it; tullio.giuffre@unikore.it</t>
  </si>
  <si>
    <t>Tumminello, Maria Luisa/KVX-8575-2024; Granà, Anna/R-1468-2016; Giuffre', Tullio/R-2004-2016; Macioszek, Elżbieta/AAH-5949-2020</t>
  </si>
  <si>
    <t>Granà, Anna/0000-0001-6976-0807; Giuffre', Tullio/0000-0002-8880-5932; Macioszek, Elżbieta/0000-0002-1345-0022</t>
  </si>
  <si>
    <t>Sustainable Mobility Center (Centro Nazionale per la Mobilita Sostenibile-CNMS) [CN00000023 CUP B73C22000760001]</t>
  </si>
  <si>
    <t>Sustainable Mobility Center (Centro Nazionale per la Mobilita Sostenibile-CNMS)</t>
  </si>
  <si>
    <t>Sustainable Mobility Center (Centro Nazionale per la Mobilita Sostenibile-CNMS) under Grant CN00000023 CUP B73C22000760001.</t>
  </si>
  <si>
    <t>NOV</t>
  </si>
  <si>
    <t>10.3390/en16217325</t>
  </si>
  <si>
    <t>X7OC0</t>
  </si>
  <si>
    <t>WOS:001100288800001</t>
  </si>
  <si>
    <t>Ali, J; Khan, MF</t>
  </si>
  <si>
    <t>Ali, Javed; Khan, Mohammad Faisal</t>
  </si>
  <si>
    <t>A Trust-Based Secure Parking Allocation for IoT-Enabled Sustainable Smart Cities</t>
  </si>
  <si>
    <t>Internet of things; smart parking; sustainable smart cities; security; trust management; privacy preservation; trustworthiness</t>
  </si>
  <si>
    <t>SYSTEM</t>
  </si>
  <si>
    <t>Smart parking is a crucial component of smart cities that aims to enhance the efficiency and sustainability of urban environments. It employs technology such as sensors and IoT devices to optimize the use of parking resources and improve drivers' experiences. By reducing traffic congestion, decreasing air pollution, and enhancing accessibility, smart parking systems can contribute to the overall well-being of urban areas. IoT-enabled smart parking refers to the application of IoT technology to optimize and improve parking efficiency in smart cities. However, security and privacy challenges in IoT-enabled smart parking pose risks and concerns related to the collection and use of data by parking systems, such as unauthorized access or misuse of data, potential data breaches, and the need to ensure responsible data collection and usage to maintain user trust and confidence. To address these challenges, we propose a novel hybrid approach to trust management using machine learning algorithms to enhance the security and privacy of the system. Our approach consists of SVM and ANNs, taking into account credibility, availability, and honesty as key parameters. Furthermore, we use ensemble machine learning to select the best-predicted model from different trained models, leading to efficient performance and a trustworthy environment. Our results show that the proposed hybrid SVM classifier with a trust parameters approach achieved an accuracy of 96.43% in predicting and eliminating malicious or compromised nodes.</t>
  </si>
  <si>
    <t>[Ali, Javed] Saudi Elect Univ, Coll Comp &amp; Informat, Riyadh 11673, Saudi Arabia; [Khan, Mohammad Faisal] Saudi Elect Univ, Coll Sci &amp; Theoret Studies, Dept Basic Sci, Riyadh 11673, Saudi Arabia</t>
  </si>
  <si>
    <t>Saudi Electronic University; Saudi Electronic University</t>
  </si>
  <si>
    <t>Khan, MF (corresponding author), Saudi Elect Univ, Coll Sci &amp; Theoret Studies, Dept Basic Sci, Riyadh 11673, Saudi Arabia.</t>
  </si>
  <si>
    <t>j.ali@seu.edu.sa; f.khan@seu.edu.sa</t>
  </si>
  <si>
    <t>; Ali, Javed/ABH-1485-2020</t>
  </si>
  <si>
    <t>Khan, Mohammad Faisal/0000-0001-5053-5028;</t>
  </si>
  <si>
    <t>APR</t>
  </si>
  <si>
    <t>10.3390/su15086916</t>
  </si>
  <si>
    <t>E8EZ9</t>
  </si>
  <si>
    <t>WOS:000977823800001</t>
  </si>
  <si>
    <t>Chang, CM; Salinas, GT; Gamero, TS; Schroeder, S; Canchanya, MAV; Mahnaz, SL</t>
  </si>
  <si>
    <t>Chang, Carlos M.; Salinas, Gianine Tejada; Gamero, Teresa Salinas; Schroeder, Stella; Canchanya, Mario A. Velez; Mahnaz, Syeda Lamiya</t>
  </si>
  <si>
    <t>An Infrastructure Management Humanistic Approach for Smart Cities Development, Evolution, and Sustainability</t>
  </si>
  <si>
    <t>INFRASTRUCTURES</t>
  </si>
  <si>
    <t>civil infrastructure systems; management humanistic approach; smart city; sustainability; 5-dimensional model; BIM-CIM; digital twin; Peru</t>
  </si>
  <si>
    <t>Over the next decades, people will continue moving to urban areas all over the world, increasing infrastructure needs to satisfy economic, environmental, and social demands. The connection between civil urban infrastructure and smart cities is strong due to the common goal of fulfilling public service demands. Infrastructure management contributes to the development, evolution, and sustainability of smart cities. The main problem with traditional approaches to the development, evolution, and sustainability of smart cities is the lack of a holistic, integrated vision of infrastructure management. The main objective of this research is to introduce an infrastructure management humanistic approach with a smart city conceptual model that also considers an educational perspective. A mixed research methodology that combines quantitative and qualitative approaches was used, applying inductive-deductive tools. The paper concludes with the development of an infrastructure management framework for smart cities with five dimensions: (1) Environmental, (2) financial-economic, (3) political-governance, (4) social-people, and (5) technological. Two case studies for the cities of Lima and Piura in Peru illustrate how to incorporate this framework into practice. The research products are relevant because they foster an inclusive better quality of life for all citizens by preserving civil infrastructure systems.</t>
  </si>
  <si>
    <t>[Chang, Carlos M.; Mahnaz, Syeda Lamiya] Florida Int Univ, Coll Engn &amp; Comp, Engn Ctr, Dept Civil &amp; Environm Engn, Miami, FL 33174 USA; [Salinas, Gianine Tejada] Univ Ricardo Palma, Coll Engn, Lima 15039, Peru; [Gamero, Teresa Salinas] Univ Ricardo Palma, Inst Pensamiento Complejo Edgar Morin, Lima 15039, Peru; [Schroeder, Stella] Univ Piura, Coll Engn, Dept Architecture &amp; Terr, Piura 20009, Peru; [Schroeder, Stella] Univ Bio Bio, Coll Architecture, Dept Construct &amp; Design, Concepcion 4130000, Chile; [Canchanya, Mario A. Velez] Contratistas Gen EIRL, MAVC, Lima 15084, Peru</t>
  </si>
  <si>
    <t>State University System of Florida; Florida International University; Universidad Ricardo Palma; Universidad Ricardo Palma; Universidad de Piura; Universidad del Bio-Bio</t>
  </si>
  <si>
    <t>Chang, CM (corresponding author), Florida Int Univ, Coll Engn &amp; Comp, Engn Ctr, Dept Civil &amp; Environm Engn, Miami, FL 33174 USA.</t>
  </si>
  <si>
    <t>cachang@fiu.edu; gianine.tejada@urp.edu.pe; teresa.salinas@urp.edu.pe; stella.schroeder@gmx.de; mariovelez@mavcproyectos.com; smahn002@fiu.edu</t>
  </si>
  <si>
    <t>; Schroeder, Stella/HMV-2409-2023</t>
  </si>
  <si>
    <t>Schroeder, Stella/0000-0001-8591-2719; Vélez, Mario/0000-0002-9943-5586</t>
  </si>
  <si>
    <t>Universidad Ricardo Palma in Lima, Peru; International Climate Initiative (IKI) of the German Federal Ministry for Economic Affairs and Climate Action (BMWK)</t>
  </si>
  <si>
    <t>The work presented in this paper was supported by the Universidad Ricardo Palma in Lima, Peru as part of the research project titled: Smart Cities, Sustainable and Resilient. The case study in Piura, Peril was conducted in collaboration with the Universidad de Piura as part of the Morgenstadt Global Smart Cities Initiative (MGI) project funded by the International Climate Initiative (IKI) of the German Federal Ministry for Economic Affairs and Climate Action (BMWK). Partners of the project: University of Stuttgart, Fraunhofer IAO, University of Piura, Municipalidad Provincial de Piura.</t>
  </si>
  <si>
    <t>2412-3811</t>
  </si>
  <si>
    <t>INFRASTRUCTURES-BASE</t>
  </si>
  <si>
    <t>Infrastructures-Basel</t>
  </si>
  <si>
    <t>10.3390/infrastructures8090127</t>
  </si>
  <si>
    <t>Construction &amp; Building Technology; Engineering, Civil; Transportation Science &amp; Technology</t>
  </si>
  <si>
    <t>Construction &amp; Building Technology; Engineering; Transportation</t>
  </si>
  <si>
    <t>T1IH3</t>
  </si>
  <si>
    <t>WOS:001075587300001</t>
  </si>
  <si>
    <t>Dondjio, I</t>
  </si>
  <si>
    <t>Papadaki, M; DaCunha, PR; Themistocleous, M; Christodoulou, K</t>
  </si>
  <si>
    <t>Dondjio, Irenee</t>
  </si>
  <si>
    <t>The Importance of Blockchain for Ecomobility in Smart Cities: A Systematic Literature Review</t>
  </si>
  <si>
    <t>INFORMATION SYSTEMS, EMCIS 2022</t>
  </si>
  <si>
    <t>Lecture Notes in Business Information Processing</t>
  </si>
  <si>
    <t>19th European, Mediterranean, and Middle Eastern Conference (EMCIS)</t>
  </si>
  <si>
    <t>DEC 21-22, 2022</t>
  </si>
  <si>
    <t>ELECTR NETWORK</t>
  </si>
  <si>
    <t>Ecomobility; Smart Mobility; Blockchain; Smart Cities; Smart Contracts</t>
  </si>
  <si>
    <t>TECHNOLOGY; MANAGEMENT; SECURITY</t>
  </si>
  <si>
    <t>By 2050, cities will house at least 70% of the world's population. Already, metropolitan areas are responsible for 70% of all greenhouse gas emissions caused by energy usage. The expanding population of city dwellers has presented new challenges to contemporary urban areas. Congestion and other kinds of inefficient urban movement irritate city people and reduce their quality of life. Cities are reducing carbon dioxide emissions in an attempt to prevent global warming, which necessitates innovative new modes of transportation. Smart cities are innovative problem-solving projects for difficulties that have evolved as a consequence of increasing urbanization and changing environmental circumstances. Today's cities depend largely on people's capacity to travel freely and easily in order to minimize traffic congestion, provide a high quality of life for residents and tourists, and reduce carbon emissions and environmental deterioration. Everything is dependent on an effective and sustainable transportation infrastructure. Blockchain technology is being researched for smart city applications and is used in smart mobility for ridesharing, electric charging, platoon member interactions, and vehicle communication. Although exploratory research on this issue exists, it is spread over different use-cases and applications. This research conducts a thorough analysis of the literature on the implications of blockchain for smart city mobility and transportation, as well as its potential to boost efficiency in these sectors. The goal of this article is to synthesize and summarize existing information on the issue and contribute to closing the knowledge gap by researching how blockchain technology might improve ecomobility by reducing pollution, travel time, and congestion. The results of the literature review are divided into six use-case categories.</t>
  </si>
  <si>
    <t>[Dondjio, Irenee] Univ Nicosia, Nicosia, Cyprus</t>
  </si>
  <si>
    <t>University of Nicosia</t>
  </si>
  <si>
    <t>Dondjio, I (corresponding author), Univ Nicosia, Nicosia, Cyprus.</t>
  </si>
  <si>
    <t>dondjio.i@unic.ac.cy</t>
  </si>
  <si>
    <t>1865-1348</t>
  </si>
  <si>
    <t>1865-1356</t>
  </si>
  <si>
    <t>978-3-031-30693-8; 978-3-031-30694-5</t>
  </si>
  <si>
    <t>LECT NOTES BUS INF P</t>
  </si>
  <si>
    <t>10.1007/978-3-031-30694-5_13</t>
  </si>
  <si>
    <t>Computer Science, Artificial Intelligence; Computer Science, Information Systems; Computer Science, Interdisciplinary Applications</t>
  </si>
  <si>
    <t>BX6FB</t>
  </si>
  <si>
    <t>WOS:001308340700013</t>
  </si>
  <si>
    <t>Alvi, M; Dutta, H; Minerva, R; Crespi, N; Raza, SM; Herath, M</t>
  </si>
  <si>
    <t>Alvi, Maira; Dutta, Hrishikesh; Minerva, Roberto; Crespi, Noel; Raza, Syed Mohsan; Herath, Manoj</t>
  </si>
  <si>
    <t>Global perspectives on digital twin smart cities: Innovations, challenges, and pathways to a sustainable urban future</t>
  </si>
  <si>
    <t>SUSTAINABLE CITIES AND SOCIETY</t>
  </si>
  <si>
    <t>Digital twin; Smart city; Urban planning; Internet of Things (ioT); DT applications</t>
  </si>
  <si>
    <t>PREDICTION; MANAGEMENT; FRAMEWORK; SECURITY; PRIVACY; HEALTH</t>
  </si>
  <si>
    <t>The integration of digital twin (DT) technology within smart city frameworks is becoming increasingly significant in today's digital age. As urban areas evolve into smart ecosystems characterized by interconnected devices and data-driven management systems, digital twins provide a dynamic approach to managing these smart cities. This paper delivers an in-depth exploration of the role of digital twins in advancing smart city frameworks, surveying recent research, methodologies, and case studies that highlight their applicability in urban management, including sectors like mobility, healthcare, energy management, and environmental monitoring. Additionally, the paper delves into the foundational concepts of digital twins and digital twin smart cities, presenting a multilayered structure that emphasizes the role of each layer in creating a comprehensive urban digital twin platform. We also examine the ongoing global digital twin projects based on their development maturity, discuss the challenges of deploying these systems, and explores emerging tools such as synthetic sensing for areas with limited sensor infrastructure. By summarizing the state of the art, identifying research gaps, and discussing future directions, this review serves as a foundational reference for researchers and practitioners seeking to harness digital twin technology for more sustainable, efficient, and resilient smart cities.</t>
  </si>
  <si>
    <t>[Alvi, Maira; Dutta, Hrishikesh; Minerva, Roberto; Crespi, Noel; Raza, Syed Mohsan; Herath, Manoj] Inst Polytech Paris, SAMOVAR, Telecom SudParis, F-91000 Palaiseau, France</t>
  </si>
  <si>
    <t>IMT - Institut Mines-Telecom; Institut Polytechnique de Paris; Telecom SudParis</t>
  </si>
  <si>
    <t>Alvi, M (corresponding author), Evry Courcouronnes FR, 9 Rue Charles Fourier, F-91000 Palaiseau, France.</t>
  </si>
  <si>
    <t>maira.alvi@telecom-sudparis.eu</t>
  </si>
  <si>
    <t>; Alvi, Maira/AAP-1824-2021; Minerva, Roberto/ABF-1322-2020; Dutta, Hrishikesh/HTT-4658-2023; Crespi, Noel/ABE-7052-2020</t>
  </si>
  <si>
    <t>Herath, Hemawanshage Chethinga Manoj/0000-0001-5256-8552; ALVI, MAIRA/0009-0006-6077-8326; Crespi, Noel/0000-0003-2962-192X</t>
  </si>
  <si>
    <t>ELSEVIER</t>
  </si>
  <si>
    <t>RADARWEG 29, 1043 NX AMSTERDAM, NETHERLANDS</t>
  </si>
  <si>
    <t>2210-6707</t>
  </si>
  <si>
    <t>2210-6715</t>
  </si>
  <si>
    <t>SUSTAIN CITIES SOC</t>
  </si>
  <si>
    <t>Sust. Cities Soc.</t>
  </si>
  <si>
    <t>MAY 15</t>
  </si>
  <si>
    <t>10.1016/j.scs.2025.106356</t>
  </si>
  <si>
    <t>APR 2025</t>
  </si>
  <si>
    <t>Construction &amp; Building Technology; Green &amp; Sustainable Science &amp; Technology; Energy &amp; Fuels</t>
  </si>
  <si>
    <t>Construction &amp; Building Technology; Science &amp; Technology - Other Topics; Energy &amp; Fuels</t>
  </si>
  <si>
    <t>1XR9K</t>
  </si>
  <si>
    <t>Green Submitted</t>
  </si>
  <si>
    <t>WOS:001476125800001</t>
  </si>
  <si>
    <t>Derlukiewicz, N; Szalata, L; Mankowska, D</t>
  </si>
  <si>
    <t>Derlukiewicz, Niki; Szalata, Lukasz; Mankowska, Dominika</t>
  </si>
  <si>
    <t>Scaling Up Innovation - Exemplary Initiatives for Sustainable Development in European Smart Cities with a Focus on Smart Mobility</t>
  </si>
  <si>
    <t>EUROPEAN JOURNAL OF SUSTAINABLE DEVELOPMENT</t>
  </si>
  <si>
    <t>smart city; innovation; sustainable development; urban development; smart mobility</t>
  </si>
  <si>
    <t>The development of a sustainable economy is the goal of the whole society in the European Union. With over half of the global population residing in urban areas, the significance of building resilient cities cannot be overstated. Cities are at the forefront of driving adaptation and building resilience implementing ambitious strategies and activities to effectively cope, adapt, and transform, considering three pillars of sustainable development: economic growth, environmental management and social inclusion. This study explores the toolbox of best practices - activities and innovations that European cities are implementing to achieve sustainable development goals. In the article, the best practices and innovative approaches that cities are taking toward sustainability were identified. This article explores the key aspects of smart mobility and its potential to reshape urban transportation systems for a more sustainable future. The findings in the paper indicate that European cities are making significant efforts to adopt sustainable practices, including investments in renewable energy, green infrastructure, public transportation, waste management, and sustainable urban planning. The study highlights the importance of the need for inter-sectoral collaborations to achieve SD goals. The insights gained from this study can inform policy-making and assist cities in developing effective strategies for sustainable development</t>
  </si>
  <si>
    <t>[Derlukiewicz, Niki] Wroclaw Univ Econ &amp; Business, Wroclaw, Poland; [Szalata, Lukasz] Wroclaw Univ Sci &amp; Technol, Wroclaw, Poland; [Mankowska, Dominika] Eko Biegly Assoc, PL-50155 Wroclaw, Poland</t>
  </si>
  <si>
    <t>Wroclaw University of Economics &amp; Business; Wroclaw University of Science &amp; Technology</t>
  </si>
  <si>
    <t>Derlukiewicz, N (corresponding author), Wroclaw Univ Econ &amp; Business, Wroclaw, Poland.</t>
  </si>
  <si>
    <t>Derlukiewicz, Niki/S-7820-2018; Szałata, Łukasz/IQT-6163-2023</t>
  </si>
  <si>
    <t>Derlukiewicz, Niki/0000-0002-3967-3048; Szalata, Lukasz/0000-0001-8307-6331;</t>
  </si>
  <si>
    <t>EUROPEAN CENTER SUSTAINABLE DEVELOPMENT</t>
  </si>
  <si>
    <t>ROME</t>
  </si>
  <si>
    <t>VIA DEI FIORI 34, ROME, 00172, ITALY</t>
  </si>
  <si>
    <t>2239-5938</t>
  </si>
  <si>
    <t>2239-6101</t>
  </si>
  <si>
    <t>EUR J SUSTAIN DEV</t>
  </si>
  <si>
    <t>Eur. J. Sustain. Dev.</t>
  </si>
  <si>
    <t>10.14207/ejsd.2023.v12n3p229</t>
  </si>
  <si>
    <t>Environmental Sciences</t>
  </si>
  <si>
    <t>Environmental Sciences &amp; Ecology</t>
  </si>
  <si>
    <t>Z9DL2</t>
  </si>
  <si>
    <t>WOS:001115004400013</t>
  </si>
  <si>
    <t>Cenci, DR; Beck, CAMR; Boff, MM</t>
  </si>
  <si>
    <t>Cenci, Daniel Rubens; Beck, Cesar Augusto Moacyr Rutowitsch; Boff, Murilo Manzoni</t>
  </si>
  <si>
    <t>Smart cities, artificial intelligence and the challenges in the covid-19 pandemic: the creation of big data for surveillance, control and socio-spatial segregation of the marginalized population</t>
  </si>
  <si>
    <t>REVISTA DE DIREITO DA CIDADE-CITY LAW</t>
  </si>
  <si>
    <t>Smart Cities; Artificial intelligence; Communication and Information Technologies; Socio spatial segregation; Sustainability</t>
  </si>
  <si>
    <t>This art.icle aims to analyze smart cities, from their meaning to their requirements, analyzing the application of Information and Communication Technologies in urban development so that public services in cities are able to offer better quality of life to their inhabitants, through intelligent management based on limited use of data. In this regard, it is also investigated how cities made use of technologies, notably Artificial Intelligence, and dealt with data processing during the CoVid-19 pandemic, pointing out the challenges facing the adverse targeting of technologies for discriminatory purposes. , surveillance and exclusion of socially marginalized groups in urban areas. This research was carried out with an interdisciplinary methodology, based on the bibliographic review of books, articles and other infographic publications available on the Internet.</t>
  </si>
  <si>
    <t>[Cenci, Daniel Rubens] Univ Reg Noroeste Estado Rio Grande do Sul UNIJUI, Ijui, RS, Brazil; [Beck, Cesar Augusto Moacyr Rutowitsch; Boff, Murilo Manzoni] Univ Reg Noroeste Estado Rio Grande do Sul UNIJUI, Direitos Humanos, Ijui, RS, Brazil</t>
  </si>
  <si>
    <t>Universidade Regional do Noroeste do Estado do Rio Grande do Sul - UNIJUI; Universidade Regional do Noroeste do Estado do Rio Grande do Sul - UNIJUI</t>
  </si>
  <si>
    <t>Cenci, DR (corresponding author), Univ Reg Noroeste Estado Rio Grande do Sul UNIJUI, Ijui, RS, Brazil.</t>
  </si>
  <si>
    <t>danielr@unijui.edu.br; cesar.rutowitsch@gmail.com; murilo_boff@hotmail.com</t>
  </si>
  <si>
    <t>Manzoni Boff, Murilo/0000-0002-7715-3916; Beck, Cesar/0000-0002-8625-6503</t>
  </si>
  <si>
    <t>UNIV ESTADO RIO JANEIRO</t>
  </si>
  <si>
    <t>RIO DE JANEIRO RJ</t>
  </si>
  <si>
    <t>RUA SAO FRANCISCO XAVIER, 524-BLOCO F, RIO DE JANEIRO RJ, 20559-900, BRAZIL</t>
  </si>
  <si>
    <t>2317-7721</t>
  </si>
  <si>
    <t>REV DIREITO CID</t>
  </si>
  <si>
    <t>Rev. Direito Cid.</t>
  </si>
  <si>
    <t>10.12957/rdc.2023.65722</t>
  </si>
  <si>
    <t>GZ9M0</t>
  </si>
  <si>
    <t>WOS:001156621000001</t>
  </si>
  <si>
    <t>Gaglione, F</t>
  </si>
  <si>
    <t>Gaglione, Federica</t>
  </si>
  <si>
    <t>Policies and practices of transition towards climate-neutral and smart cities</t>
  </si>
  <si>
    <t>TEMA-JOURNAL OF LAND USE MOBILITY AND ENVIRONMENT</t>
  </si>
  <si>
    <t>Urban sustainability; Smart city; Climate neutrality; Urban Agenda</t>
  </si>
  <si>
    <t>SUSTAINABLE CITIES; CITY; OPTIMIZATION; TOOLS</t>
  </si>
  <si>
    <t>Starting from the relationship between urban planning and mobility management, TeMA has gradually expanded the view of the covered topics, always following a rigorous scientific in-depth analysis. This section of the Journal, Review Notes, is a continuous update about emerging topics concerning relationships among urban planning, mobility, and environment, thanks to a collection of short scientific papers written by young researchers. The Review Notes are made up of five parts. Each section examines a specific aspect of the broader information storage within the main interests of the TeMA Journal. In particular: the Town Planning International Rules and Legislation. Section aims at presenting the latest updates in the territorial and urban legislative sphere. The current challenges of the city can be enclosed under a single umbrella called Smart city which can be a useful approach to define new forms of organizing the complexity of urban life and in turn implement solutions in urban areas ranging from energy consumption to climate change to achieve environmental sustainability goals. In this direction, this review focuses on the involvement of local authorities in the development of urban strategies that focus on smart city objectives within of the Europe2020 strategy and the climate neutral &amp; smart cities mission.</t>
  </si>
  <si>
    <t>[Gaglione, Federica] Univ Sannio, Dept Engn, Benevento, Italy</t>
  </si>
  <si>
    <t>University of Sannio</t>
  </si>
  <si>
    <t>Gaglione, F (corresponding author), Univ Sannio, Dept Engn, Benevento, Italy.</t>
  </si>
  <si>
    <t>fgaglione@unisannio.it</t>
  </si>
  <si>
    <t>Gaglione, Federica/AAV-8736-2021</t>
  </si>
  <si>
    <t>UNIV STUDI NAPOLI FEDERICO II, DIPT PIANIFICAZIONE &amp; SCIENZA TERRITORIO</t>
  </si>
  <si>
    <t>NAPLES</t>
  </si>
  <si>
    <t>PIAZZALE TECCHIO 80, NAPLES, 80125, ITALY</t>
  </si>
  <si>
    <t>1970-9889</t>
  </si>
  <si>
    <t>1970-9870</t>
  </si>
  <si>
    <t>TEMA</t>
  </si>
  <si>
    <t>TeMA</t>
  </si>
  <si>
    <t>10.6093/1970-9870/9822</t>
  </si>
  <si>
    <t>F6FA3</t>
  </si>
  <si>
    <t>WOS:000983269600014</t>
  </si>
  <si>
    <t>Leyerer, M; Sonneberg, MO; Heumann, M; Breitner, MH</t>
  </si>
  <si>
    <t>Leyerer, Max; Sonneberg, Marc-Oliver; Heumann, Maximilian; Breitner, Michael H.</t>
  </si>
  <si>
    <t>Shortening the Last Mile in Urban Areas: Optimizing a Smart Logistics Concept for E-Grocery Operations</t>
  </si>
  <si>
    <t>e-grocery; last mile delivery; city logistics; sustainability; location routing problem; vehicle routing problem; multi-echelon optimization; smart city</t>
  </si>
  <si>
    <t>LARGE NEIGHBORHOOD SEARCH; DELIVERY; OPTIMIZATION; EFFICIENCY; ISSUES</t>
  </si>
  <si>
    <t>Urbanization, the corresponding road traffic, and increasing e-grocery markets require efficient and at the same time eco-friendly transport solutions. In contrast to traditional food procurement at local grocery stores, e-grocery, i.e., online ordered goods, are transported directly to end customers. We develop and discuss an optimization approach to assist the planning of e-grocery deliveries in smart cities introducing a new last mile concept for the urban food supply chain. To supply city dwellers with their ordered products, a network of refrigerated grocery lockers is optimized to temporarily store the corresponding goods within urban areas. Customers either collect their orders by themselves or the products are delivered with electric cargo bicycles (ECBs). We propose a multi-echelon optimization model that minimizes the overall costs while consecutively determining optimal grocery locker locations, van routes from a depot to opened lockers, and ECB routes from lockers to customers. With our approach, we present an advanced concept for grocery deliveries in urban areas to shorten last mile distances, enhancing sustainable transportation by avoiding road traffic and emissions. Therefore, the concept is described as a smart transport system.</t>
  </si>
  <si>
    <t>[Leyerer, Max; Sonneberg, Marc-Oliver; Heumann, Maximilian; Breitner, Michael H.] Leibniz Univ Hannover, Sch Econ &amp; Management, D-30167 Hannover, Germany</t>
  </si>
  <si>
    <t>Leibniz University Hannover</t>
  </si>
  <si>
    <t>Leyerer, M (corresponding author), Leibniz Univ Hannover, Sch Econ &amp; Management, D-30167 Hannover, Germany.</t>
  </si>
  <si>
    <t>leyerer@iwi.uni-hannover.de; sonneberg@iwi.uni-hannover.de; heumann@iwi.uni-hannover.de; breitner@iwi.uni-hannover.de</t>
  </si>
  <si>
    <t>Heumann, Maximilian/JVN-5695-2024</t>
  </si>
  <si>
    <t>Heumann, Maximilian/0000-0002-3765-7423; Breitner, Michael/0000-0001-7315-3022</t>
  </si>
  <si>
    <t>10.3390/smartcities3030031</t>
  </si>
  <si>
    <t>TX0NA</t>
  </si>
  <si>
    <t>WOS:000682786300003</t>
  </si>
  <si>
    <t>Bouhouras, E; Kikeni, K; Siginos, A; Vouitsis, A; Voulgari, K; Basbas, S</t>
  </si>
  <si>
    <t>Nathanail, EG; Gavanas, N; Adamos, G</t>
  </si>
  <si>
    <t>Bouhouras, Efstathios; Kikeni, Konstantina; Siginos, Athanasios; Vouitsis, Apostolos; Voulgari, Konstantina; Basbas, Socrates</t>
  </si>
  <si>
    <t>Is It Necessary to Calculate Passenger Car Equivalent Value for Commercial Vehicles in Urban Areas?</t>
  </si>
  <si>
    <t>SMART ENERGY FOR SMART TRANSPORT, CSUM2022</t>
  </si>
  <si>
    <t>Lecture Notes in Intelligent Transportation and Infrastructure</t>
  </si>
  <si>
    <t>6th Conference on Sustainable Urban Mobility (CSUM) - Smart Energy for Smart Transport</t>
  </si>
  <si>
    <t>AUG 31-SEP 02, 2022</t>
  </si>
  <si>
    <t>GREECE</t>
  </si>
  <si>
    <t>Passenger Car Equivalent value; Urban road freight transport; Commercial vehicles</t>
  </si>
  <si>
    <t>FREEWAYS</t>
  </si>
  <si>
    <t>Covid-19 pandemic has set and unfortunately continues to set a new reality for human societies. Inevitably, city logistics and urban road freight transport in general were affected change as well as the decision of many national governments to promote electricity over the old-fashioned internal combustion engines by setting a milestone for this objective by 2030, intensify the necessity of radical and innovative solutions through which urban road freight transport will become sustainable. Although that for many years, many policies, strategies, and measures are implemented world widely, urban road freight transport remains as one of the significant reasons for congestion phenomena and air pollution. It is without question that the local urban road freight transport systems will be examined as part of transportation surveys firstly to identify the current situation and secondly to test possible solutions. In this aspect, the present paper presents the calculation of the passenger equivalent value for commercial vehicles in the city of Thessaloniki based on the Highway Capacity Manual 2010 equations applied on data collected with a recently developed methodology, simpler and without requiring heavy equipment in situ.</t>
  </si>
  <si>
    <t>[Bouhouras, Efstathios; Kikeni, Konstantina; Siginos, Athanasios; Vouitsis, Apostolos; Voulgari, Konstantina; Basbas, Socrates] Aristotle Univ Thessaloniki, Sch Rural &amp; Surveying Engn, Fac Engn, Thessaloniki 54124, Greece</t>
  </si>
  <si>
    <t>Aristotle University of Thessaloniki</t>
  </si>
  <si>
    <t>Bouhouras, E (corresponding author), Aristotle Univ Thessaloniki, Sch Rural &amp; Surveying Engn, Fac Engn, Thessaloniki 54124, Greece.</t>
  </si>
  <si>
    <t>stbouch@hotmail.com</t>
  </si>
  <si>
    <t>Basbas, Socrates/ABG-1454-2021; Bouhouras, Efstathios/JPA-0779-2023</t>
  </si>
  <si>
    <t>Basbas, Socrates/0000-0002-3706-8530; Bouhouras, Efstathios/0000-0002-0762-249X</t>
  </si>
  <si>
    <t>2523-3440</t>
  </si>
  <si>
    <t>2523-3459</t>
  </si>
  <si>
    <t>978-3-031-23720-1; 978-3-031-23721-8</t>
  </si>
  <si>
    <t>LECT N INTELL TRANS</t>
  </si>
  <si>
    <t>10.1007/978-3-031-23721-8_102</t>
  </si>
  <si>
    <t>Green &amp; Sustainable Science &amp; Technology; Transportation Science &amp; Technology</t>
  </si>
  <si>
    <t>Science &amp; Technology - Other Topics; Transportation</t>
  </si>
  <si>
    <t>BV1XY</t>
  </si>
  <si>
    <t>WOS:001000789400102</t>
  </si>
  <si>
    <t>de Sá, CP; Pagani, RN; Przybysz, AL; de Souza, FF; Resende, DN; Kovaleski, JL</t>
  </si>
  <si>
    <t>de Sa, Clayton Pereira; Pagani, Regina Negri; Przybysz, Andre Luiz; de Souza, Fabiane Florencio; Resende, David Nunes; Kovaleski, Joao Luiz</t>
  </si>
  <si>
    <t>Towards the Concept of Smart Municipality: Agribusiness Model Integrating Rural and Urban Areas for Organic Food Production: A Review</t>
  </si>
  <si>
    <t>smart cities; organic food production certification; SDG; family farming; sustainable development</t>
  </si>
  <si>
    <t>SUSTAINABLE DEVELOPMENT; PURCHASE INTENTION; CITIES; ANTECEDENTS; IMPACTS; TRENDS; TRUST</t>
  </si>
  <si>
    <t>Smart cities leverage information and communication technologies to enhance urban life quality, essential in densely populated environments requiring comprehensive planning. A critical area in urban settings is food production and delivery, where effective management becomes vital. New technologies can assist, but require models that support innovative production and commercialization methods. This study proposes an integration model between family farming-producers of organic food-and urban areas-consumers of these products. The model focuses on the management of organic food production and delivery to meet urban demands, serving as a tool in the transformation of these areas into smart municipalities. Additionally, this study suggests an alternative certification method for organic food production within family farming. A systematic literature review was conducted using the Methodi Ordinatio methodology. Content analysis of the selected articles identified strategies cities can adopt to promote organic certification, emphasizing transparent governance, public food procurement policies, and participatory certification systems. The proposed model aims to reduce bureaucracy and improve family farmers' income, aligning with several Sustainable Development Goals: SDG 2 (Zero Hunger), SDG 8 (Decent Work and Economic Growth), SDG 11 (Sustainable Cities and Communities), SDG 12 (Responsible Consumption and Production), SDG 15 (Life on Land), and SDG 17 (Partnerships for the Goals).</t>
  </si>
  <si>
    <t>[de Sa, Clayton Pereira; Pagani, Regina Negri; Przybysz, Andre Luiz; de Souza, Fabiane Florencio; Kovaleski, Joao Luiz] Fed Univ Technol Parana UTFPR, Postgrad Program Prod Engn PPGEP, BR-84017220 Ponta Grossa, PR, Brazil; [de Sa, Clayton Pereira] Inst Fed Parana IFPR, Dept Adm, BR-85200000 Pitanga, PR, Brazil; [Pagani, Regina Negri] Univ Aveiro, Res Unit Governance Competitiveness &amp; Publ Pol GOV, P-3810193 Aveiro, Portugal; [Resende, David Nunes] Univ Aveiro, Res Unit Governance Competitiveness &amp; Publ Pol GOV, Escola Super Tecnol &amp; Gestao Agueda ESTGA, P-3810193 Aveiro, Portugal</t>
  </si>
  <si>
    <t>Universidade Tecnologica Federal do Parana; Instituto Federal do Parana; Universidade de Aveiro; Universidade de Aveiro</t>
  </si>
  <si>
    <t>de Sá, CP (corresponding author), Fed Univ Technol Parana UTFPR, Postgrad Program Prod Engn PPGEP, BR-84017220 Ponta Grossa, PR, Brazil.;de Sá, CP (corresponding author), Inst Fed Parana IFPR, Dept Adm, BR-85200000 Pitanga, PR, Brazil.</t>
  </si>
  <si>
    <t>clayton.sa@ifpr.edu.br</t>
  </si>
  <si>
    <t>; Pagani, Regina/M-2306-2013; Przybysz, André Luiz/W-8358-2019; KOVALESKI, JOAO/H-4858-2013; Przybysz, André/W-8358-2019; Resende, David/W-4715-2017</t>
  </si>
  <si>
    <t>Florencio de Souza, Fabiane/0000-0003-0415-590X; Pagani, Regina/0000-0002-2655-6424; Przybysz, André Luiz/0000-0003-1172-5982; KOVALESKI, JOAO/0000-0003-4232-8883; pereira de sá, clayton/0000-0002-6997-5469;</t>
  </si>
  <si>
    <t>Research Unit on Governance, Competitiveness and Public Policies - national funds through FCT-Fundacao para a Ciencia e a Tecnologia [UIDB/04058/2020, UIDP/04058/2020]</t>
  </si>
  <si>
    <t>Research Unit on Governance, Competitiveness and Public Policies - national funds through FCT-Fundacao para a Ciencia e a Tecnologia</t>
  </si>
  <si>
    <t>This work was funded by the Research Unit on Governance, Competitiveness and Public Policies (GOVCOPP, University of Aveiro, Portugal) (UIDB/04058/2020) + (UIDP/04058/2020), funded by national funds through FCT-Fundacao para a Ciencia e a Tecnologia.</t>
  </si>
  <si>
    <t>FEB</t>
  </si>
  <si>
    <t>10.3390/su17031015</t>
  </si>
  <si>
    <t>W5Z9Z</t>
  </si>
  <si>
    <t>WOS:001419365300001</t>
  </si>
  <si>
    <t>Ahmed, RBH; Benammou, S</t>
  </si>
  <si>
    <t>Jawab, F</t>
  </si>
  <si>
    <t>Ahmed, Rihab Ben Haj; Benammou, Saloua</t>
  </si>
  <si>
    <t>Urban Logistics and Smart Cities: A Bibliometric Analysis of Research Trends</t>
  </si>
  <si>
    <t>2025 16TH INTERNATIONAL CONFERENCE ON LOGISTICS AND SUPPLY CHAIN MANAGEMENT, LOGISTIQUA</t>
  </si>
  <si>
    <t>16th International Conference on Logistics and Supply Chain Management-LOGISTIQUA</t>
  </si>
  <si>
    <t>MAY 28-30, 2025</t>
  </si>
  <si>
    <t>MOROCCO</t>
  </si>
  <si>
    <t>Urban logistics; Urbanfreight transport; Smart cities; Bibliometric analysis; Visualization</t>
  </si>
  <si>
    <t>VEHICLE-ROUTING PROBLEM; LARGE NEIGHBORHOOD SEARCH</t>
  </si>
  <si>
    <t>Research in urban logistics has evolved significantly toward smart and sustainable solutions, incorporating emerging technologies such as autonomous vehicles, IoT, and intelligent transportation systems. These advancements primarily aim to optimize goods flows, reduce carbon emissions, and enhance urban quality of life. This study highlights the evolution of academic trends in this emerging field. It presents a bibliometric analysis of scientific publications exploring the intersections between urban logistics, smart cities, and metropolitan logistics dynamics. Based on a systematic review of the Web of Science database between 2010 and 2024, a total of 639 documents were analyzed to visualize keyword co-occurrence and examine citations related to authors, sources, publications, and countries.</t>
  </si>
  <si>
    <t>[Ahmed, Rihab Ben Haj] Univ Sfax, Fac Econ Sci &amp; Management Sfax, Sfax, Tunisia; [Benammou, Saloua] Univ Sousse, LaREMFiQ Res Lab, Fac Econ Sci &amp; Management Sousse, Sousse, Tunisia</t>
  </si>
  <si>
    <t>Universite de Sfax; Universite de Sousse</t>
  </si>
  <si>
    <t>Ahmed, RBH (corresponding author), Univ Sfax, Fac Econ Sci &amp; Management Sfax, Sfax, Tunisia.</t>
  </si>
  <si>
    <t>belhajahmed.rihab11@yahoo.com; saloua.benammou@yahoo.fr</t>
  </si>
  <si>
    <t>979-8-3315-5313-5; 979-8-3315-5312-8</t>
  </si>
  <si>
    <t>10.1109/LOGISTIQUA66323.2025.11122774</t>
  </si>
  <si>
    <t>Engineering, Industrial; Management; Operations Research &amp; Management Science</t>
  </si>
  <si>
    <t>Engineering; Business &amp; Economics; Operations Research &amp; Management Science</t>
  </si>
  <si>
    <t>BZ4QU</t>
  </si>
  <si>
    <t>WOS:001586065100079</t>
  </si>
  <si>
    <t>Miao, ZN; Liao, QL</t>
  </si>
  <si>
    <t>Miao, Zhinong; Liao, Qilong</t>
  </si>
  <si>
    <t>IoT-Based Traffic Prediction for Smart Cities</t>
  </si>
  <si>
    <t>IEEE ACCESS</t>
  </si>
  <si>
    <t>Smart cities; Accuracy; Real-time systems; Predictive models; Internet of Things; Adaptation models; Convolutional neural networks; Computational modeling; Feature extraction; Optimization; Convolutional neural networks (CNNs); particle swarm optimization (PSO); traffic prediction; smart cities; real-time traffic management; IoT sensors; machine learning</t>
  </si>
  <si>
    <t>CLASSIFICATION; SYSTEM</t>
  </si>
  <si>
    <t>This study explores the integration of Convolutional Neural Networks (CNNs) with Particle Swarm Optimization (PSO) to enhance traffic management in smart cities. The primary objective was to develop a predictive model that improves traffic forecasting accuracy, reduces congestion, and optimizes real-time traffic management. The methodology involved combining CNNs' powerful spatial feature extraction capabilities with PSO's optimization strengths. Traffic data collected from IoT sensors were processed to extract relevant spatial features using CNNs, and PSO was employed to fine-tune the CNN hyperparameters and feature selection. Key findings indicate that the CNN-PSO model significantly improves traffic prediction accuracy, with an average increase from 76.5% to 92.0% across various urban areas. The model demonstrated a 20.0% reduction in average traffic delay and a 25.0% enhancement in traffic flow efficiency. Real-time metrics revealed high prediction accuracy and low processing times, indicating the model's effectiveness in timely traffic forecasting. These results underscore the model's potential for optimizing traffic management systems, reducing congestion, and improving urban mobility. The implications for smart city development are substantial, as the model offers a robust solution for managing complex traffic patterns and enhancing real-time decision-making. The study suggests that integrating advanced machine learning techniques like CNNs and PSO can lead to more efficient and adaptive traffic management solutions, contributing to the development of smarter, more resilient urban environments. Future research could expand on these findings by incorporating additional data sources and testing the model's scalability and real-world applicability.</t>
  </si>
  <si>
    <t>[Miao, Zhinong] Fuzhou Polytech, Sch Transportat Engn, Fuzhou 350000, Peoples R China; [Liao, Qilong] Panzhihua Univ, Elect &amp; Informat Engn Sch, Panzhihua 617000, Peoples R China</t>
  </si>
  <si>
    <t>Panzhihua University</t>
  </si>
  <si>
    <t>Miao, ZN (corresponding author), Fuzhou Polytech, Sch Transportat Engn, Fuzhou 350000, Peoples R China.</t>
  </si>
  <si>
    <t>fvtimiao@163.com</t>
  </si>
  <si>
    <t>Fuzhou Science and Technology, Research on Vehicle Attitude Monitoring Device and Its Application [2021-SG-024]; Fuzhou Polytechnic Research on the Construction and Application of Traffic Conflict Field for Autonomous Driving [FZYKJRCQD202102]</t>
  </si>
  <si>
    <t>Fuzhou Science and Technology, Research on Vehicle Attitude Monitoring Device and Its Application; Fuzhou Polytechnic Research on the Construction and Application of Traffic Conflict Field for Autonomous Driving</t>
  </si>
  <si>
    <t>This work was supported in part by Fuzhou Science and Technology, Research on Vehicle Attitude Monitoring Device and Its Application under Grant 2021-SG-024; and in part by Fuzhou Polytechnic Research on the Construction and Application of Traffic Conflict Field for Autonomous Driving under Grant FZYKJRCQD202102</t>
  </si>
  <si>
    <t>IEEE-INST ELECTRICAL ELECTRONICS ENGINEERS INC</t>
  </si>
  <si>
    <t>PISCATAWAY</t>
  </si>
  <si>
    <t>445 HOES LANE, PISCATAWAY, NJ 08855-4141 USA</t>
  </si>
  <si>
    <t>2169-3536</t>
  </si>
  <si>
    <t>IEEE Access</t>
  </si>
  <si>
    <t>10.1109/ACCESS.2025.3552276</t>
  </si>
  <si>
    <t>Computer Science, Information Systems; Engineering, Electrical &amp; Electronic; Telecommunications</t>
  </si>
  <si>
    <t>Computer Science; Engineering; Telecommunications</t>
  </si>
  <si>
    <t>0TK4K</t>
  </si>
  <si>
    <t>WOS:001455585800032</t>
  </si>
  <si>
    <t>Correia, D; Vagos, C; Marques, JL; Teixeira, L</t>
  </si>
  <si>
    <t>Correia, Diogo; Vagos, Cristiano; Marques, Joao Lourenco; Teixeira, Leonor</t>
  </si>
  <si>
    <t>Fulfilment of last-mile urban logistics for sustainable and inclusive smart cities: a case study conducted in Portugal</t>
  </si>
  <si>
    <t>INTERNATIONAL JOURNAL OF LOGISTICS-RESEARCH AND APPLICATIONS</t>
  </si>
  <si>
    <t>Real-time fulfilment; instant deliveries; stakeholders collaboration; resources sharing; city management</t>
  </si>
  <si>
    <t>REAL-TIME CITY; FREIGHT TRANSPORT; BIG DATA; LOCATION; CHALLENGES; DELIVERIES; NETWORKS; SPRAWL; PICKUP</t>
  </si>
  <si>
    <t>While industry tends towards mass personalisation and instant deliveries, the last mile of urban logistics is being challenged to decrease the number of vehicles in circulation and the distances they travel in city centres. The COVID-19 pandemic helped expose the inefficiency of cities in fulfilling citizens' real-time needs. Moreover, the first aim of this paper is to understand the barriers which policymakers face in providing a personalised response to citizens' needs and the second to ascertain how they can proactively serve their communities. In line with these concerns, empirical evidence was collected through a questionnaire to Portuguese policymakers, and the results were discussed in a focus group with experts. The results suggest a lack of tools to enable real-time visualisation and study of scenarios for implementing and organising means of delivery and storage. Moreover, although policymakers feel confident in their capacity to manage the last mile, they would struggle to operate autonomously. Therefore, this paper conceptualises an initial algorithm based on the dynamic collaboration of stakeholders and sharing of resources to guarantee fulfilment of citizens' necessities. Furthermore, future discussions shall emerge about the relationships and technical standards between stakeholders to provide the necessary logistical means for city management and operations.</t>
  </si>
  <si>
    <t>[Correia, Diogo; Teixeira, Leonor] Univ Aveiro, Dept Econ Management Ind Engn &amp; Tourism DEGEIT, Aveiro, Portugal; [Correia, Diogo] Univ Aveiro, North Aveiro Sch ESAN, Sch Design Management &amp; Prod Technol, Aveiro, Portugal; [Correia, Diogo; Marques, Joao Lourenco] Univ Aveiro, Governance Competitiveness &amp; Publ Policies GOVCOP, Aveiro, Portugal; [Vagos, Cristiano] Univ Aveiro, Dept Elect Telecommun &amp; Informat DETI, Aveiro, Portugal; [Marques, Joao Lourenco] Univ Aveiro, Dept Social Polit &amp; Terr Sci DCSPT, Aveiro, Portugal; [Teixeira, Leonor] Univ Aveiro, Inst Elect &amp; Informat Engn Aveiro IEETA, Aveiro, Portugal</t>
  </si>
  <si>
    <t>Universidade de Aveiro; Universidade de Aveiro; Universidade de Aveiro; Universidade de Aveiro; Universidade de Aveiro; Universidade de Aveiro</t>
  </si>
  <si>
    <t>Correia, D (corresponding author), Univ Aveiro, Dept Econ Management Ind Engn &amp; Tourism DEGEIT, Aveiro, Portugal.;Correia, D (corresponding author), Univ Aveiro, North Aveiro Sch ESAN, Sch Design Management &amp; Prod Technol, Aveiro, Portugal.;Correia, D (corresponding author), Univ Aveiro, Governance Competitiveness &amp; Publ Policies GOVCOP, Aveiro, Portugal.</t>
  </si>
  <si>
    <t>diogo.correia@ua.pt</t>
  </si>
  <si>
    <t>; Teixeira, Leonor/G-4567-2012; marques, joao/GQQ-9339-2022; Correia, Diogo/AFR-6700-2022</t>
  </si>
  <si>
    <t>Correia, Diogo/0000-0001-6053-0976; Teixeira, Leonor/0000-0002-7791-1932; Lourenço Marques, João/0000-0003-0472-2767; Vagos, Cristiano/0000-0002-4534-1648</t>
  </si>
  <si>
    <t>Fundacao para a Ciencia e a Tecnologia [UIDB/00127/2020, UIDB/04058/2020]; project SOLFI -Urban logistics optimization system with integrated freight and passenger flows [POCI01-0247-FEDER-039870]; European Regional Development Fund (FEDER) through COMPETE 2020 (Operational Program for Competitiveness and Internationalization)</t>
  </si>
  <si>
    <t>Fundacao para a Ciencia e a Tecnologia(Fundacao para a Ciencia e a Tecnologia (FCT)); project SOLFI -Urban logistics optimization system with integrated freight and passenger flows; European Regional Development Fund (FEDER) through COMPETE 2020 (Operational Program for Competitiveness and Internationalization)(Marie Curie ActionsEuropean Union (EU))</t>
  </si>
  <si>
    <t>This work was supported by Fundacao para a Ciencia e a Tecnologia [grant numbers:UIDB/00127/2020,UIDB/04058/2020]; The present work was developed in the scope of project SOLFI -Urban logistics optimization system with integrated freight and passenger flows [gant number: POCI01-0247-FEDER-039870], co-financed by the European Regional Development Fund (FEDER) through COMPETE 2020 (Operational Program for Competitiveness and Internationalization).</t>
  </si>
  <si>
    <t>TAYLOR &amp; FRANCIS LTD</t>
  </si>
  <si>
    <t>ABINGDON</t>
  </si>
  <si>
    <t>2-4 PARK SQUARE, MILTON PARK, ABINGDON OR14 4RN, OXON, ENGLAND</t>
  </si>
  <si>
    <t>1367-5567</t>
  </si>
  <si>
    <t>1469-848X</t>
  </si>
  <si>
    <t>INT J LOGIST-RES APP</t>
  </si>
  <si>
    <t>Int. J. Logist.-Res. Appl.</t>
  </si>
  <si>
    <t>JUN 2</t>
  </si>
  <si>
    <t>SI</t>
  </si>
  <si>
    <t>10.1080/13675567.2022.2130211</t>
  </si>
  <si>
    <t>OCT 2022</t>
  </si>
  <si>
    <t>OQ0Y6</t>
  </si>
  <si>
    <t>hybrid</t>
  </si>
  <si>
    <t>WOS:000863368900001</t>
  </si>
  <si>
    <t>Kumar, H; Tanweer, S; Agarwal, P; Rao, NS</t>
  </si>
  <si>
    <t>Kumar, Hemant; Tanweer, Safdar; Agarwal, Parul; Rao, Naseem</t>
  </si>
  <si>
    <t>Machine learning and artificial intelligence based energy efficient smart cities : A concise survey</t>
  </si>
  <si>
    <t>JOURNAL OF INFORMATION &amp; OPTIMIZATION SCIENCES</t>
  </si>
  <si>
    <t>Smart cities (SC); Energy efficiency; Artificial neural networks (ANN); Convolutional neural networks (CNN); Recurrent neural networks (RNN)</t>
  </si>
  <si>
    <t>ANOMALY DETECTION; CONSUMPTION; LOAD</t>
  </si>
  <si>
    <t>The concept of smart cities has always been influential and impactful for development in urban areas in the twenty-first century. These communities use innovative technologies and data analytics to enhance citizens' well-being, optimize infrastructure and utilities, and foster long-term economic development. Smart cities strive to create a unified and intelligent urban environment by integrating several areas such as transportation, energy, health, education, and governance. Our research included a structured literature assessment using Web of Science and Google Scholar, as well as answering particular smart city research questions. With the growing urban areas and the development of energy efficient smart cities, it is really challenging to incorporate cutting-edge technologies and AI driven solution to have resilient sustainability.</t>
  </si>
  <si>
    <t>[Kumar, Hemant; Tanweer, Safdar; Agarwal, Parul; Rao, Naseem] Jamia Hamdard, Dept Comp Sci &amp; Engn, Delhi 110062, India</t>
  </si>
  <si>
    <t>Jamia Hamdard University</t>
  </si>
  <si>
    <t>Agarwal, P (corresponding author), Jamia Hamdard, Dept Comp Sci &amp; Engn, Delhi 110062, India.</t>
  </si>
  <si>
    <t>hemantkumar_sch@jamiahamdard.ac.in; safdartanweer@jamiahamdard.ac.in; pagarwal@jamiahamdard.ac.in; naseemrao@jamiahamdard.ac.in</t>
  </si>
  <si>
    <t>TARU PUBLICATIONS</t>
  </si>
  <si>
    <t>NEW DELHI</t>
  </si>
  <si>
    <t>G-159, PUSHKAR ENCLAVE, PASHCHIM VIHAR, NEW DELHI, 110 063, INDIA</t>
  </si>
  <si>
    <t>0252-2667</t>
  </si>
  <si>
    <t>2169-0103</t>
  </si>
  <si>
    <t>J INFORM OPTIM SCI</t>
  </si>
  <si>
    <t>J. Inform. Optim. Science</t>
  </si>
  <si>
    <t>10.47974/JIOS-1678</t>
  </si>
  <si>
    <t>Information Science &amp; Library Science</t>
  </si>
  <si>
    <t>2JQ8M</t>
  </si>
  <si>
    <t>WOS:001484246200006</t>
  </si>
  <si>
    <t>Caruso, A; Galluccio, L; Grasso, C; Ignaccolo, M; Inturri, G; Leonardi, P; Schembra, G; Torrisi, V</t>
  </si>
  <si>
    <t>Caruso, A.; Galluccio, L.; Grasso, C.; Ignaccolo, M.; Inturri, G.; Leonardi, P.; Schembra, G.; Torrisi, V.</t>
  </si>
  <si>
    <t>Advancing Urban Traffic Monitoring in Smart Cities: A Field Experiment with UAV-Based System for Transport Planning and Intelligent Traffic Management</t>
  </si>
  <si>
    <t>2025 INTEGRATED COMMUNICATIONS, NAVIGATION AND SURVEILLANCE CONFERENCE, ICNS</t>
  </si>
  <si>
    <t>Integrated Communications Navigation and Surveillance Conference</t>
  </si>
  <si>
    <t>2025 Integrated Communications Navigation and Surveillance Conference-ICNS</t>
  </si>
  <si>
    <t>APR 08-10, 2025</t>
  </si>
  <si>
    <t>Brussels, BELGIUM</t>
  </si>
  <si>
    <t>Traffic Monitoring; Unmanned Aerial Vehicles (UAVs); Smart Cities (SCs); Digital Twin of Mobility (DTmob); Microsimulation Models</t>
  </si>
  <si>
    <t>In Smart Cities (SCs), efficient traffic flow management in congested urban areas is crucial to promote sustainability, liveability, and accessibility. Big data can potentially provide valuable information to be used for mobility management; accordingly, integrating traditional traffic data collection methods to enrich the type of available data is to be pursued. In this perspective, recently the idea of using Unmanned Aerial Vehicles (UAVs) for traffic monitoring due to their flexibility, cost-efficiency, and reliability, emerged. This paper explores the potential of using UAV collected data - such as the one related to vehicle detection, tracking, and trajectory analysis - in the aim of calibrating microsimulation models for transport planning. A case study conducted in Catania, Italy, involved exploiting UAVs for deployment of various traffic detection technologies. The results highlighted the effectiveness of using UAVs, achieving high accuracy and efficiency in monitoring traffic conditions where traditional sensors often face limitations. Use of UAVs also allows continuous trajectory analysis, so enabling for example the detection of prohibited manoeuvres and identifying design strategies to improve road safety. Furthermore, the study demonstrated that a single UAV can effectively monitor large intersection areas, reducing the need for use of multiple more traditional sensors. This research lays the groundwork for a prototype that integrates diverse data sources to create harmonized traffic datasets, contributing to the development of a Digital Twin of Mobility (DTmob). The latter will be a valuable tool to improve traffic monitoring and control systems, supporting resilience, efficiency, and better service provision in SCs.</t>
  </si>
  <si>
    <t>[Caruso, A.; Galluccio, L.; Grasso, C.; Schembra, G.] Univ Catania, Dept Elect Elect &amp; Informat Engn DIEEI, Via Santa Sofia 64, I-95123 Catania, Italy; [Caruso, A.; Galluccio, L.; Grasso, C.; Schembra, G.] Univ Catania, CNIT Res Unit, Via Santa Sofia 64, I-95123 Catania, Italy; [Ignaccolo, M.; Inturri, G.; Leonardi, P.; Torrisi, V.] Univ Catania, Dept Civil Engn &amp; Architecture, Via Santa Sofia 64, I-95123 Catania, Italy</t>
  </si>
  <si>
    <t>University of Catania; University of Catania; University of Catania</t>
  </si>
  <si>
    <t>Caruso, A (corresponding author), Univ Catania, Dept Elect Elect &amp; Informat Engn DIEEI, Via Santa Sofia 64, I-95123 Catania, Italy.;Caruso, A (corresponding author), Univ Catania, CNIT Res Unit, Via Santa Sofia 64, I-95123 Catania, Italy.</t>
  </si>
  <si>
    <t>Galluccio, Laura/AGN-8954-2022; grasso, christian/AGI-9001-2022; Schembra, Giovanni/AAA-3947-2021; Inturri, Giuseppe/AAC-2682-2020; Caruso, Andrea/OGO-9940-2025; ignaccolo, matteo/A-7445-2011</t>
  </si>
  <si>
    <t>Caruso, Anea/0009-0004-6486-2184;</t>
  </si>
  <si>
    <t>European Union Next Generation EU under the Italian National Recovery and Resilience Plan (NRRP), Mission 4, Component 2, Investment 1.3 [CUP J33C22002880001, CUP E63C22002070006, PE00000001]; NextGenerationEU PRIN 2022 [2022MWBFEE, CUP E53D23000770006]; Project UNICT PIACERI Sicuri: Strade Intelligenti per CondUcenti che impiegano smaRt vehIcles; European Union (NextGeneration EU), through the MUR-PNRR project SAMOTHRACE [ECS00000022]</t>
  </si>
  <si>
    <t>European Union Next Generation EU under the Italian National Recovery and Resilience Plan (NRRP), Mission 4, Component 2, Investment 1.3; NextGenerationEU PRIN 2022(Ministry of Education, Universities and Research (MIUR)); Project UNICT PIACERI Sicuri: Strade Intelligenti per CondUcenti che impiegano smaRt vehIcles; European Union (NextGeneration EU), through the MUR-PNRR project SAMOTHRACE(European Union (EU)Marie Curie Actions)</t>
  </si>
  <si>
    <t>This work was partially supported by the European Union Next Generation EU under the Italian National Recovery and Resilience Plan (NRRP), Mission 4, Component 2, Investment 1.3, CUP J33C22002880001 and CUP E63C22002070006, partnership on Telecommunications of the Future (PE00000001 - program RESTART). The research activity of G. Schembra was partially supported by the NextGenerationEU PRIN 2022 Prot. n. 2022MWBFEE 6GTWIN, CUP E53D23000770006. The activity by L. Galluccio was supported by Project UNICT PIACERI Sicuri: Strade Intelligenti per CondUcenti che impiegano smaRt vehIcles. C. Grasso and V. Torrisi were supported by European Union (NextGeneration EU), through the MUR-PNRR project SAMOTHRACE (ECS00000022). Sensor data were provided by the Laboratory of Sustainable Mobility of the University of Catania. Specifically, the laboratory created within the project RE.S.E.T, is a traffic monitoring, estimation and short-term forecasting system, equipped with radar sensor and a central control station for traffic data elaborations.</t>
  </si>
  <si>
    <t>2155-4943</t>
  </si>
  <si>
    <t>979-8-3315-3474-5; 979-8-3315-3473-8</t>
  </si>
  <si>
    <t>INTEG COMMUN NAVIG</t>
  </si>
  <si>
    <t>10.1109/ICNS65417.2025.10976747</t>
  </si>
  <si>
    <t>Engineering, Aerospace; Engineering, Electrical &amp; Electronic; Instruments &amp; Instrumentation; Telecommunications</t>
  </si>
  <si>
    <t>Engineering; Instruments &amp; Instrumentation; Telecommunications</t>
  </si>
  <si>
    <t>BY9PD</t>
  </si>
  <si>
    <t>WOS:001516425900001</t>
  </si>
  <si>
    <t>Klodawski, M; Jachimowski, R; Chamier-Gliszczynski, N</t>
  </si>
  <si>
    <t>Klodawski, Michal; Jachimowski, Roland; Chamier-Gliszczynski, Norbert</t>
  </si>
  <si>
    <t>Analysis of the Overhead Crane Energy Consumption Using Different Container Loading Strategies in Urban Logistics Hubs</t>
  </si>
  <si>
    <t>crane energy consumption; intermodal terminal; container handling; smart city; intermodal train loading; logistics hubs</t>
  </si>
  <si>
    <t>OPERATIONS-RESEARCH; ALLOCATION; STORAGE; PORT; TERMINALS; EVALUATE; MODEL</t>
  </si>
  <si>
    <t>This study addresses the critical gap in the literature regarding the energy efficiency of intermodal terminals in smart cities, mainly focusing on crane operations during train loading processes. Novelty's contribution lies in developing a comprehensive simulation model in FlexSim, where quantitative analysis of crane energy consumption, factoring in container location in the storage yard, rehandling operations, and crane movement strategies were performed. Moreover, the analysis of hoist, trolley, and gantry movements was performed to evaluate their impact on overall container loading process energy efficiency. The findings reveal that the choice of train loading method significantly influences crane energy consumption, thereby affecting the operational costs, environmental footprint, and energy efficiency of the logistics hub in the form of an intermodal terminal. This research provides a methodology for assessing and enhancing the energy efficiency of intermodal terminals and highlights the broader implications for smart city sustainability goals, including reduced greenhouse gas emissions, lower operating costs, and improved transportation infrastructure. The outcomes of this research can possibly support smart city planners and logistics managers in making informed decisions to optimise intermodal terminal operations, contributing to urban areas' sustainable development and economic resilience.</t>
  </si>
  <si>
    <t>[Klodawski, Michal; Jachimowski, Roland] Warsaw Univ Technol, Fac Transport, PL-00661 Warsaw, Poland; [Chamier-Gliszczynski, Norbert] Koszalin Univ Technol, Fac Technol &amp; Educ, Koszalin, Poland</t>
  </si>
  <si>
    <t>Warsaw University of Technology; Koszalin University of Technology</t>
  </si>
  <si>
    <t>Klodawski, M (corresponding author), Warsaw Univ Technol, Fac Transport, PL-00661 Warsaw, Poland.</t>
  </si>
  <si>
    <t>michal.klodawski@pw.edu.pl; roland.jachimowski@pw.edu.pl; norbert.chamier-gliszczynski@tu.koszalin.pl</t>
  </si>
  <si>
    <t>Chamier-Gliszczyński, Norbert/AAM-4798-2021; Kłodawski, Michał/MSY-5381-2025; Jachimowski, Roland/AAP-8328-2021; Kłodawski, Michał/R-9400-2018</t>
  </si>
  <si>
    <t>Jachimowski, Roland/0000-0001-5921-2436; Kłodawski, Michał/0000-0002-4256-2189; Chamier-Gliszczyński, Norbert/0000-0001-7919-0158</t>
  </si>
  <si>
    <t>National Science Centre, Poland [2022/04/Y/ST8/00134]; National Natural Science Foundation of China (NSFC); European Union [875022]</t>
  </si>
  <si>
    <t>National Science Centre, Poland(National Science Centre, Poland); National Natural Science Foundation of China (NSFC)(National Natural Science Foundation of China (NSFC)); European Union(European Union (EU))</t>
  </si>
  <si>
    <t>This research is a result of a project funded by the National Science Centre, Poland (project no. 2022/04/Y/ST8/00134). Project title: Energy optimal urban logistics as a service (E-Laas). Project implemented as part of the call ERA-NET Cofund Urban Accessibility and Connectivity (EN-UAC China Call) organised by JPI Urban Europe and the National Natural Science Foundation of China (NSFC) funded from the European Union's Horizon 2020 research and innovation programme under grant agreement No 875022.</t>
  </si>
  <si>
    <t>MAR</t>
  </si>
  <si>
    <t>10.3390/en17050985</t>
  </si>
  <si>
    <t>KV9I4</t>
  </si>
  <si>
    <t>WOS:001182851400001</t>
  </si>
  <si>
    <t>Mutambik, I</t>
  </si>
  <si>
    <t>Mutambik, Ibrahim</t>
  </si>
  <si>
    <t>Foresight for Sustainable Last-Mile Delivery: A Delphi-Based Scenario Study for Smart Cities in 2030</t>
  </si>
  <si>
    <t>Delphi study; e-commerce; healthcare service optimization; last-mile delivery; smart city planning; technology acceptance model</t>
  </si>
  <si>
    <t>MANAGEMENT-PRACTICES; SUPPLY CHAIN; FUTURE; IMPACT; TECHNOLOGY; ACCEPTANCE; INNOVATION; COMMERCE; MODEL</t>
  </si>
  <si>
    <t>This study aimed to investigate the future trajectories of last-mile delivery (LMD), and their implications for sustainable urban logistics and smart city planning. Through a Delphi-based scenario analysis targeting the year 2030, this research draws on inputs from a two-round Delphi study with 52 experts representing logistics, academia, and government. Four key thematic areas were explored: consumer demand and behavior, emerging delivery technologies, innovative delivery services, and regulatory frameworks. The projections were structured using fuzzy c-means clustering, and analyzed through the Technology Acceptance Model (TAM) and Innovation Diffusion Theory (IDT), supporting a systemic understanding of innovation adoption in urban logistics systems. The findings offer strategic insights for municipal planners, policymakers, logistics service providers, and e-commerce stakeholders, helping align infrastructure development and regulatory planning with the evolving needs of last-mile logistics. This approach contributes to advancing resilient, low-emission, and inclusive smart city ecosystems that align with global sustainability goals, particularly those outlined in the UN 2030 Agenda for Sustainable Development.</t>
  </si>
  <si>
    <t>[Mutambik, Ibrahim] King Saud Univ, Coll Humanities &amp; Social Sci, Dept Informat Sci, POB 11451, Riyadh, Saudi Arabia</t>
  </si>
  <si>
    <t>King Saud University</t>
  </si>
  <si>
    <t>Mutambik, I (corresponding author), King Saud Univ, Coll Humanities &amp; Social Sci, Dept Informat Sci, POB 11451, Riyadh, Saudi Arabia.</t>
  </si>
  <si>
    <t>imutambik@ksu.edu.sa</t>
  </si>
  <si>
    <t>Mutambik, Ibrahim/HKM-4060-2023</t>
  </si>
  <si>
    <t>Ongoing Research Funding program; King Saud University, Riyadh, Saudi Arabia; [ORF-2025-233]</t>
  </si>
  <si>
    <t>Ongoing Research Funding program; King Saud University, Riyadh, Saudi Arabia(King Saud University);</t>
  </si>
  <si>
    <t>This research was funded by Ongoing Research Funding program (ORF-2025-233), King Saud University, Riyadh, Saudi Arabia.</t>
  </si>
  <si>
    <t>JUL 22</t>
  </si>
  <si>
    <t>10.3390/su17156660</t>
  </si>
  <si>
    <t>6BZ2X</t>
  </si>
  <si>
    <t>WOS:001549734200001</t>
  </si>
  <si>
    <t>An, J; Hong, J; Kang, H; Yeom, S; Jung, D; Hong, T; Jeong, K; Lee, J</t>
  </si>
  <si>
    <t>An, Jongbaek; Hong, Juwon; Kang, Hyuna; Yeom, Seungkeun; Jung, Dahyun; Hong, Taehoon; Jeong, Kwangbok; Lee, Jaewook</t>
  </si>
  <si>
    <t>The first step towards energy self-sufficiency in smart cities: The present and future of virtual power plant technology</t>
  </si>
  <si>
    <t>BUILDING AND ENVIRONMENT</t>
  </si>
  <si>
    <t>Virtual power plant; Dispersed renewable energy source; BERTopic algorithm; Smart city; Vehicle to grid; Energy storage system; Systematic review</t>
  </si>
  <si>
    <t>SCHEDULING OPTIMIZATION MODEL; DEMAND RESPONSE; DISTRIBUTED GENERATION; DISTRIBUTION NETWORKS; ELECTRIC VEHICLES; OPTIMAL OPERATION; STORAGE-SYSTEM; WIND; UNCERTAINTIES; MARKET</t>
  </si>
  <si>
    <t>Distributed renewable energy sources offer solutions to the global energy crisis, but their limitations in volatility and efficiency necessitate virtual power plants for optimal management. In this study, the BERTopic algorithm was used to objectively and systematically review research trends related to virtual power plants based on data. A total of 336 papers were classified using natural language processing, resulting in the identification of four research topics: Technology integration in the energy sector (82.6 %), Short-term demand prediction (6.4 %), Storage of renewable energy (6.0 %), and Vehicle-to-grid (5.4 %). From 2011 to 2023, the number of studies increased approximately 14-fold compared to 1997 to 2010, when the concept of VPP first emerged. Based on this, a quantitative review was conducted to identify the current barriers to the implementation of commercial and technical virtual power plants. Furthermore, future research directions were suggested to overcome these barriers and implement virtual power plants in urban areas. Proposed strategies include improving energy harvesting to predict energy generation more accurately, optimizing energy storage systems, and validating economic, environmental, and social feasibility, along with technical issues for multiple virtual power plants. This research offers insights into overcoming virtual power plant implementation barriers, contributing to energy self-reliance in smart cities.</t>
  </si>
  <si>
    <t>[An, Jongbaek; Hong, Juwon; Kang, Hyuna; Yeom, Seungkeun; Jung, Dahyun] Yonsei Univ, Dept Architecture &amp; Architectural Engn, Seoul 03722, South Korea; [Hong, Taehoon] Yonsei Univ, Dept Architecture &amp; Architectural Engn, Seoul 03722, South Korea; [Jeong, Kwangbok; Lee, Jaewook] Sejong Univ, Deep Learning Architecture Res Ctr, Dept Architectural Engn, 209,Neungdong Ro, Seoul 05006, South Korea</t>
  </si>
  <si>
    <t>Yonsei University; Yonsei University; Sejong University</t>
  </si>
  <si>
    <t>Hong, T (corresponding author), Yonsei Univ, 50 Yonsei Ro, Seoul 03722, South Korea.</t>
  </si>
  <si>
    <t>ajb2577@yonsei.ac.kr; juwonae@yonsei.ac.kr; hyuna_kang@yonsei.ac.kr; kevinysk@yonsei.ac.kr; danna23@yonsei.ac.kr; hong7@yonsei.ac.kr; kbjeong7@sejong.ac.kr; jaewook@sejong.ac.kr</t>
  </si>
  <si>
    <t>Jeong, Kwangbok/ABA-6814-2020</t>
  </si>
  <si>
    <t>National Research Foundation of Korea (NRF) - Korea government (MIST; Ministry of Science and ICT) [NRF-2021R1A3B1076769]</t>
  </si>
  <si>
    <t>National Research Foundation of Korea (NRF) - Korea government (MIST; Ministry of Science and ICT)(National Research Foundation of Korea)</t>
  </si>
  <si>
    <t>This work was supported by the National Research Foundation of Korea (NRF) grant funded by the Korea government (MIST; Ministry of Science and ICT) (NRF-2021R1A3B1076769) .</t>
  </si>
  <si>
    <t>0360-1323</t>
  </si>
  <si>
    <t>1873-684X</t>
  </si>
  <si>
    <t>BUILD ENVIRON</t>
  </si>
  <si>
    <t>Build. Environ.</t>
  </si>
  <si>
    <t>JUN 1</t>
  </si>
  <si>
    <t>10.1016/j.buildenv.2025.112920</t>
  </si>
  <si>
    <t>MAR 2025</t>
  </si>
  <si>
    <t>Construction &amp; Building Technology; Engineering, Environmental; Engineering, Civil</t>
  </si>
  <si>
    <t>Construction &amp; Building Technology; Engineering</t>
  </si>
  <si>
    <t>2QO7O</t>
  </si>
  <si>
    <t>WOS:001488946300001</t>
  </si>
  <si>
    <t>Li, JL; Huang, JY; Zhong, PX</t>
  </si>
  <si>
    <t>Li, Jialing; Huang, Jiayi; Zhong, Pengxiang</t>
  </si>
  <si>
    <t>Intelligent energy management systems for buildings in smart cities using PSO-driven optimization and penalty function constraints</t>
  </si>
  <si>
    <t>INTERNATIONAL JOURNAL OF ARCHITECTURAL COMPUTING</t>
  </si>
  <si>
    <t>particle swarm optimization; intelligent building management; energy saving; penalty function; building automation; optimization algorithm</t>
  </si>
  <si>
    <t>ALGORITHMS</t>
  </si>
  <si>
    <t>The growing need for energy conservation and sustainable development in smart urban areas demands the implementation of sophisticated Energy Management Systems (EMS) in modern buildings. This study presents a design for an intelligent EMS that merges Particle Swarm Optimization (PSO) with constraint-driven penalty functions to dynamically optimize energy consumption while maintaining both operational effectiveness and occupant comfort. The system efficiently oversees diverse energy consuming subsystems, including lighting, HVAC, and ventilation, by utilizing real-time data from environmental conditions and human presence, using a distributed wireless sensor network. The hardware setup features smart sensors and controllable nodes that monitor occupancy, temperature, ambient light, and air quality, enabling the coordinated management of energy-demanding systems. Central to the software architecture is a PSO-based control algorithm, augmented with penalty functions to impose crucial constraints, such as thermal comfort, minimum light levels, and ventilation standards. This hybrid optimization structure ensures that every control decision supports both energy conservation goals and human-centered needs. The novelty of the proposed EMS lies in its low-cost deployment, simplified integration with existing infrastructures, and enhanced interoperability across building systems, addressing key limitations of current solutions such as high complexity, inflexible architectures, and poor scalability. Experimental assessments in a simulated smart building setting reveal the system's adaptability, reliability, and prompt responses in real-time. The EMS successfully detected varying occupancy and environmental patterns, finely tuning energy allocation across subsystems. Numerical analyses indicate up to 30% overall energy savings, confirming the efficacy of the PSO-penalty optimization method. The proposed EMS provides a scalable, interoperable, and cost-effective solution, making it apt for integration into current infrastructures and supportive of future-ready smart city environments.</t>
  </si>
  <si>
    <t>[Li, Jialing; Zhong, Pengxiang] Hunan City Univ, Coll Architecture &amp; Urban Planning, 518 Yingbin East Rd, Yiyang 413000, Hunan, Peoples R China; [Li, Jialing] Hunan City Univ, Key Lab Digital Urban &amp; Rural Spatial Planning Hun, Yiyang, Peoples R China; [Li, Jialing] Hunan City Univ, Key Lab Urban Planning Informat Technol Hunan Prov, Yiyang, Peoples R China; [Huang, Jiayi] Univ Auckland, Fac Engn &amp; Design, Auckland, New Zealand</t>
  </si>
  <si>
    <t>Hunan City University; Hunan City University; Hunan City University; University of Auckland</t>
  </si>
  <si>
    <t>Li, JL (corresponding author), Hunan City Univ, Coll Architecture &amp; Urban Planning, 518 Yingbin East Rd, Yiyang 413000, Hunan, Peoples R China.</t>
  </si>
  <si>
    <t>jialing_li410@163.com</t>
  </si>
  <si>
    <t>SAGE PUBLICATIONS LTD</t>
  </si>
  <si>
    <t>LONDON</t>
  </si>
  <si>
    <t>1 OLIVERS YARD, 55 CITY ROAD, LONDON EC1Y 1SP, ENGLAND</t>
  </si>
  <si>
    <t>1478-0771</t>
  </si>
  <si>
    <t>2048-3988</t>
  </si>
  <si>
    <t>INT J ARCHIT COMPUT</t>
  </si>
  <si>
    <t>Int. J. Archit. Comput.</t>
  </si>
  <si>
    <t>10.1177/14780771251362414</t>
  </si>
  <si>
    <t>JUL 2025</t>
  </si>
  <si>
    <t>Architecture</t>
  </si>
  <si>
    <t>7EG7C</t>
  </si>
  <si>
    <t>WOS:001539330500001</t>
  </si>
  <si>
    <t>Costa, DG; Peixoto, JPJ; Jesus, TC; Portugal, P; Vasques, F; Rangel, E; Peixoto, M</t>
  </si>
  <si>
    <t>Costa, Daniel G.; Peixoto, Joao Paulo J.; Jesus, Thiago C.; Portugal, Paulo; Vasques, Francisco; Rangel, Elivelton; Peixoto, Maycon</t>
  </si>
  <si>
    <t>A Survey of Emergencies Management Systems in Smart Cities</t>
  </si>
  <si>
    <t>Emergency services; Smart cities; Licenses; Crisis management; Internet of Things; Indexing; Hazards; Smart cities; emergencies management; Internet of Things; sustainable cities; resilient cities</t>
  </si>
  <si>
    <t>WIRELESS SENSOR NETWORKS; SOCIAL MEDIA; ARTIFICIAL-INTELLIGENCE; FIRE DETECTION; BIG DATA; NEURAL-NETWORK; EXPERT-SYSTEM; CITY; IOT; DISASTER</t>
  </si>
  <si>
    <t>The rapid urbanization process in the last century has deeply changed the way we live and interact with each other. As most people now live in urban areas, cities are experiencing growing demands for more efficient and sustainable public services that may improve the perceived quality of life, specially with the anticipated impacts of climatic changes. In this already complex scenario with increasingly overcrowded urban areas, different types of emergency situations may happen anywhere and anytime, with unpredictable costs in human lives and economic losses. In order to cope with unexpected and potentially dangerous emergencies, smart cities initiatives have been developed in different cities, addressing multiple aspects of emergencies detection, alerting, and mitigation. In this context, this article surveys recent smart city solutions for crisis management, proposing definitions for emergencies-oriented systems and classifying them according to the employed technologies and provided services. Additionally, recent developments in the domains of Internet of Things, Artificial Intelligence and Big Data are also highlighted when associated to the management of urban emergencies, potentially paving the way for new developments while classifying and organizing them according to different criteria. Finally, open research challenges will be identified, indicating promising trends and research directions for the coming years.</t>
  </si>
  <si>
    <t>[Costa, Daniel G.; Vasques, Francisco] Univ Porto, INEGI, Fac Engn, P-4200465 Porto, Portugal; [Peixoto, Joao Paulo J.] State Univ Feira De Santana, PPGM, BR-44036900 Feira De Santana, BA, Brazil; [Jesus, Thiago C.] State Univ Feira De Santana, Dept Technol, BR-44036900 Feira De Santana, BA, Brazil; [Portugal, Paulo] Univ Porto, INESC TEC, Fac Engn, P-4200465 Porto, Portugal; [Rangel, Elivelton; Peixoto, Maycon] Univ Fed Bahia, Comp Sci Dept, BR-40170110 Salvador, BA, Brazil</t>
  </si>
  <si>
    <t>Universidade do Porto; Universidade Estadual de Feira de Santana; Universidade Estadual de Feira de Santana; Universidade do Porto; INESC TEC; Universidade Federal da Bahia</t>
  </si>
  <si>
    <t>Costa, DG (corresponding author), Univ Porto, INEGI, Fac Engn, P-4200465 Porto, Portugal.</t>
  </si>
  <si>
    <t>danielgcosta@fe.up.pt</t>
  </si>
  <si>
    <t>Portugal, Paulo/H-3286-2013; Jesus, Thiago/AAC-9588-2021; Vasques, Francisco/B-2494-2013; Peixoto, Maycon/V-4167-2018; Peixoto, Maycon/V-4167-2018; Peixoto, João Paulo/KDN-4851-2024; Costa, Daniel/I-4928-2013</t>
  </si>
  <si>
    <t>Portugal, Paulo/0000-0002-6386-9753; Just Peixoto, João Paulo/0000-0003-3507-8249; C Jesus, Thiago/0000-0001-5299-6856; Vasques, Francisco/0000-0003-3115-0901; Peixoto, Maycon/0000-0002-4851-5228; Peixoto, Maycon/0000-0002-4851-5228; Oliveira Rangel, Elivelton/0000-0003-3155-7023; Costa, Daniel/0000-0003-3988-8476</t>
  </si>
  <si>
    <t>FCT (Portuguese Foundation for Science and Technology) [EXPL/EEI-COM/1089/2021]; INEGI-LAETA under FCT [UIDB/50022/2020]; Fundação para a Ciência e a Tecnologia [EXPL/EEI-COM/1089/2021] Funding Source: FCT</t>
  </si>
  <si>
    <t>FCT (Portuguese Foundation for Science and Technology)(Fundacao para a Ciencia e a Tecnologia (FCT)); INEGI-LAETA under FCT; Fundação para a Ciência e a Tecnologia</t>
  </si>
  <si>
    <t>This work was supported in part by the FCT (Portuguese Foundation for Science and Technology) under Grant EXPL/EEI-COM/1089/2021, and in part by INEGI-LAETA under FCT Project UIDB/50022/2020.</t>
  </si>
  <si>
    <t>10.1109/ACCESS.2022.3180033</t>
  </si>
  <si>
    <t>2D4UF</t>
  </si>
  <si>
    <t>WOS:000811543500001</t>
  </si>
  <si>
    <t>Gayialis, SP; Kechagias, EP; Konstantakopoulos, GD</t>
  </si>
  <si>
    <t>Gayialis, Sotiris P.; Kechagias, Evripidis P.; Konstantakopoulos, Grigorios D.</t>
  </si>
  <si>
    <t>A city logistics system for freight transportation: integrating information technology and operational research</t>
  </si>
  <si>
    <t>OPERATIONAL RESEARCH</t>
  </si>
  <si>
    <t>Distribution; Logistics; City logistics; Cloud-based information system; Urban freight transportation; Vehicle routing and scheduling</t>
  </si>
  <si>
    <t>VEHICLE-ROUTING PROBLEM; TIME WINDOW; ALGORITHM; ARCHITECTURE</t>
  </si>
  <si>
    <t>City logistics comprise the delivery and picking of goods in urban areas, affecting the performance of businesses and quality of life in cities. The systems that support city logistics for freight transportation have a great research interest for academics, and it is a hot topic for businesses. Research issues like delivery with time windows, traffic congestion, route optimization, and dynamic routing are of great importance in the literature of city logistics. However, that research activity often does not meet practical solutions, and there is a gap between operational research (OR) and business practices in freight transportation. This article presents the development of an information system that supports the efficient delivery of goods within urban areas. The system utilizes a set of OR algorithms enabled by information technologies (IT) to support logistics operations effectively. It mainly deals with optimizing vehicle routes and schedules, while considering the delivery time windows, the specific requirements of customers, the characteristics of the street network, the need for dynamic routing and rerouting, and traffic congestion issues in cities. The article presents the system's architecture, its development methodology, its basic functionality, the developed algorithms, as well as the adopted information technologies. It concludes with validating the system with real-life business data and the conclusions from the entire effort.</t>
  </si>
  <si>
    <t>[Gayialis, Sotiris P.; Kechagias, Evripidis P.; Konstantakopoulos, Grigorios D.] Natl Tech Univ Athens, Sch Mech Engn, Sect Ind Management &amp; Operat Res, Athens 15780, Greece</t>
  </si>
  <si>
    <t>National Technical University of Athens</t>
  </si>
  <si>
    <t>Gayialis, SP (corresponding author), Natl Tech Univ Athens, Sch Mech Engn, Sect Ind Management &amp; Operat Res, Athens 15780, Greece.</t>
  </si>
  <si>
    <t>sotga@mail.ntua.gr; eurikechagias@mail.ntua.gr; gkonpoulos@mail.ntua.gr</t>
  </si>
  <si>
    <t>Konstantakopoulos, Grigorios/AAS-1612-2020; Kechagias, Evripidis/JDW-1728-2023; Gayialis, Sotiris/AAE-2814-2019</t>
  </si>
  <si>
    <t>Gayialis, Sotiris/0000-0002-7524-0215;</t>
  </si>
  <si>
    <t>SPRINGER HEIDELBERG</t>
  </si>
  <si>
    <t>HEIDELBERG</t>
  </si>
  <si>
    <t>TIERGARTENSTRASSE 17, D-69121 HEIDELBERG, GERMANY</t>
  </si>
  <si>
    <t>1109-2858</t>
  </si>
  <si>
    <t>1866-1505</t>
  </si>
  <si>
    <t>OPER RES-GER</t>
  </si>
  <si>
    <t>Oper. Res.</t>
  </si>
  <si>
    <t>10.1007/s12351-022-00695-0</t>
  </si>
  <si>
    <t>MAR 2022</t>
  </si>
  <si>
    <t>Operations Research &amp; Management Science</t>
  </si>
  <si>
    <t>5M4ZU</t>
  </si>
  <si>
    <t>WOS:000762867500001</t>
  </si>
  <si>
    <t>Yereseme, AK; Surendra, HJ; Kuntoji, G</t>
  </si>
  <si>
    <t>Yereseme, Archana K.; Surendra, H. J.; Kuntoji, Geetha</t>
  </si>
  <si>
    <t>Sustainable integrated urban flood management strategies for planning of smart cities: a review</t>
  </si>
  <si>
    <t>SUSTAINABLE WATER RESOURCES MANAGEMENT</t>
  </si>
  <si>
    <t>Urban flood management; Climate change; Water sensitive city; Water-smart city; Water stress</t>
  </si>
  <si>
    <t>MODEL; CITY</t>
  </si>
  <si>
    <t>Accelerated urbanization, changes in climate and rapid increase in urban population have several impacts on the urban hydrological cycle. Severe water stress and urban flooding are evident in urban cities and hence, smart cities, which are water-sensitive are the need of the hour. Extreme climate events and frequent urban flash floods, effect the performance and development of smart cities. Sustainable integrated urban flood management strategies are considered to be crucial in planning and development of smart cities. High rainfall intensity-short duration flash floods occur frequently in high-density-core urban areas causing disruption of social life, economic activities and infrastructural damages. Urban floods have become disastrous, due to random and unplanned urbanization, inefficient drainage systems and lack of real-time monitoring technologies. Urban floods are also accompanied with huge flood runoff which can be routed, stored and used for other smart city applications. This study highlights the various sustainable integrated urban flood management strategies and technologies in development of water-smart city. Framework for managing urban floods and planning of smart cities using smart source control systems, digital automations, remote-sensing applications and real-time technologies are reviewed. As a part of case study, current urban flood management strategies in Indian smart cities are discussed.</t>
  </si>
  <si>
    <t>[Yereseme, Archana K.] BMS Inst Technol &amp; Management, Dept Civil Engn, Bengaluru, India; [Surendra, H. J.] ATRIA Inst Technol, Dept Civil Engn, Bengaluru, India; [Kuntoji, Geetha] BMS Coll Engn, Dept Civil Engn, Bengaluru, India</t>
  </si>
  <si>
    <t>BMS College of Engineering</t>
  </si>
  <si>
    <t>Surendra, HJ (corresponding author), ATRIA Inst Technol, Dept Civil Engn, Bengaluru, India.</t>
  </si>
  <si>
    <t>archanak@bmsit.in; surendra@atria.edu; geetha.civ@bmsce.ac.in</t>
  </si>
  <si>
    <t>; SURENDRA, H/K-1858-2019; Kumar, Archana/AAD-1688-2022</t>
  </si>
  <si>
    <t>Kumar, Archana/0000-0003-3619-6570; KUNTOJI, GEETHA/0000-0003-1293-6052</t>
  </si>
  <si>
    <t>SPRINGER INT PUBL AG</t>
  </si>
  <si>
    <t>2363-5037</t>
  </si>
  <si>
    <t>2363-5045</t>
  </si>
  <si>
    <t>SUST WAT RESOUR MAN</t>
  </si>
  <si>
    <t>Sustain. Wat. Resour. Manag.</t>
  </si>
  <si>
    <t>10.1007/s40899-022-00666-5</t>
  </si>
  <si>
    <t>Water Resources</t>
  </si>
  <si>
    <t>0Z0UG</t>
  </si>
  <si>
    <t>WOS:000790795500002</t>
  </si>
  <si>
    <t>Ramana, K; Srivastava, G; Kumar, MR; Gadekallu, TR; Lin, JCW; Alazab, M; Iwendi, C</t>
  </si>
  <si>
    <t>Ramana, Kadiyala; Srivastava, Gautam; Kumar, Madapuri Rudra; Gadekallu, Thippa Reddy; Lin, Jerry Chun-Wei; Alazab, Mamoun; Iwendi, Celestine</t>
  </si>
  <si>
    <t>A Vision Transformer Approach for Traffic Congestion Prediction in Urban Areas</t>
  </si>
  <si>
    <t>IEEE TRANSACTIONS ON INTELLIGENT TRANSPORTATION SYSTEMS</t>
  </si>
  <si>
    <t>Convolutional neural networks; Transformers; Transportation; Roads; Feature extraction; Deep learning; Computational modeling; Vision transformers; deep learning; intelligent transportation system; long-short-term-memory (LSTM); traffic congestion prediction</t>
  </si>
  <si>
    <t>MODEL</t>
  </si>
  <si>
    <t>Traffic problems continue to deteriorate because of increasing population in urban areas that rely on many modes of transportation, the transportation infrastructure has achieved considerable strides in the last several decades. This has led to an increase in congestion control difficulties, which directly affect citizens through air pollution, fuel consumption, traffic law breaches, noise pollution, accidents, and loss of time. Traffic prediction is an essential aspect of an intelligent transportation system in smart cities because it helps reduce overall traffic congestion. This article aims to design and enforce a traffic prediction scheme that is efficient and accurate in forecasting traffic flow. Available traffic flow prediction methods are still unsuitable for real-world applications. This fact motivated us to work on a traffic flow forecasting issue using Vision Transformers (VTs). In this work, VTs were used in conjunction with Convolutional neural networks (CNN) to predict traffic congestion in urban spaces on a city-wide scale. In our proposed architecture, a traffic image is fed to a CNN, which generates feature maps. These feature maps are then fed to the VT, which employs the dual techniques of tokenization and projection. Tokenization is used to convert features into tokens containing Vision information, which are then sent to projection, where they are transformed into feature maps and ultimately delivered to LSTM. The experimental results demonstrate that the vision transformer prediction method based on Spatio-temporal characteristics is an excellent way of predicting traffic flow, particularly during anomalous traffic situations. The proposed technology surpasses traditional methods in terms of precision, accuracy and recall and aids in energy conservation. Through rerouting, the proposed work will benefit travellers and reduce fuel use.</t>
  </si>
  <si>
    <t>[Ramana, Kadiyala] Chaitanya Bharathi Inst Technol, Hyderabad 500075, India; [Srivastava, Gautam] Brandon Univ, Dept Math &amp; Comp Sci, Brandon, MB R7A 6A9, Canada; [Srivastava, Gautam] China Med Univ, Res Ctr Interneural Comp, Taichung 40402, Taiwan; [Srivastava, Gautam; Gadekallu, Thippa Reddy] Lebanese Amer Univ, Dept Comp Sci &amp; Math, Beirut 1102, Lebanon; [Kumar, Madapuri Rudra] G Pullaiah Coll Engn &amp; Technol, Kurnool 518002, India; [Gadekallu, Thippa Reddy] Vellore Inst Technol, Sch Informat Technol &amp; Engn, Vellore 632014, India; [Lin, Jerry Chun-Wei] Silesian Tech Univ, PL-44100 Gliwice, Poland; [Lin, Jerry Chun-Wei] Western Norway Univ Appl Sci, Dept Comp Sci Elect Engn &amp; Math Sci, N-5063 Bergen, Norway; [Alazab, Mamoun] Charles Darwin Univ, Coll Engn IT &amp; Environm, Casuarina, NT 0810, Australia; [Iwendi, Celestine] Univ Bolton, Sch Creat Technol, Bolton BL3 5AB, England</t>
  </si>
  <si>
    <t>Chaitanya Bharathi Institute of Technology; Brandon University; China Medical University Taiwan; Lebanese American University; G. Pullaiah College of Engineering &amp; Technology; Vellore Institute of Technology (VIT); VIT Vellore; Silesian University of Technology; Western Norway University of Applied Sciences; Charles Darwin University; University of Greater Manchester</t>
  </si>
  <si>
    <t>Srivastava, G (corresponding author), Brandon Univ, Dept Math &amp; Comp Sci, Brandon, MB R7A 6A9, Canada.</t>
  </si>
  <si>
    <t>ramana.it01@gmail.com; srivastavag@brandonu.ca; mrudrakumar@gmail.com; thippareddy.g@vit.ac.in; jerrylin@ieee.org; alazab.m@ieee.org; celestine.iwendi@ieee.org</t>
  </si>
  <si>
    <t>Kumar, M/AGH-6416-2022; Kadiyala, Ramana/AAF-4301-2020; Srivastava, Gautam/N-5668-2019; Lin, Jerry/C-1514-2011; Alazab, Mamoun/AAG-6684-2021; Iwendi, Celestine/I-1989-2018; Gadekallu, Thippa Reddy/T-4254-2019</t>
  </si>
  <si>
    <t>Lin, Jerry Chun-Wei/0000-0001-8768-9709; Kadiyala, Ramana/0000-0002-4604-846X; Alazab, Mamoun/0000-0002-1928-3704; Iwendi, Celestine/0000-0003-4350-3911; Srivastava, Gautam/0000-0001-9851-4103; Gadekallu, Thippa Reddy/0000-0003-0097-801X</t>
  </si>
  <si>
    <t>1524-9050</t>
  </si>
  <si>
    <t>1558-0016</t>
  </si>
  <si>
    <t>IEEE T INTELL TRANSP</t>
  </si>
  <si>
    <t>IEEE Trans. Intell. Transp. Syst.</t>
  </si>
  <si>
    <t>10.1109/TITS.2022.3233801</t>
  </si>
  <si>
    <t>JAN 2023</t>
  </si>
  <si>
    <t>Engineering, Civil; Engineering, Electrical &amp; Electronic; Transportation Science &amp; Technology</t>
  </si>
  <si>
    <t>J7HI1</t>
  </si>
  <si>
    <t>WOS:000915546600001</t>
  </si>
  <si>
    <t>Xidias, E; Zacharia, P; Nearchou, A</t>
  </si>
  <si>
    <t>Xidias, Elias; Zacharia, Paraskevi; Nearchou, Andreas</t>
  </si>
  <si>
    <t>Intelligent fleet management of autonomous vehicles for city logistics</t>
  </si>
  <si>
    <t>APPLIED INTELLIGENCE</t>
  </si>
  <si>
    <t>Transportation; Fuzziness; Evolutionary systems; Motion planning; Vehicle routing; Logistics</t>
  </si>
  <si>
    <t>ROUTING PROBLEM; DELIVERY; IMPACT; DEPOT</t>
  </si>
  <si>
    <t>Consideration is given to the management of a fleet of autonomous vehicles (AVs) designed to support freight delivery in urban areas. The fleet of AVs is assumed operating within the general framework of an Intelligent Transportation System (ITS). Creating the technologies necessary for such ITS raises many important and complex problems related to research areas such as automated reasoning, perception, and control among others. Two of them, namely, AVs' routing and AVs' motion planning, are the main themes of this work. In this paper, we propose a novel approach for their formation and composition in the context of an ITS. Routing and motion planning decisions for AVs are assessed considering the latest traffic conditions existing on the road network. Since these conditions are usually vague and therefore difficult to be measured accurately, fuzzy logic concepts are incorporated into ITS to simulate the uncertainty in traffic networks. Solutions to the fuzzy routing and fuzzy motion planning for AVs are finally derived from a hybrid approach that combines the A-star algorithm with two modified genetic algorithms. Simulated experiments over the city of Patras (Greece) show the efficiency of the developed approach.</t>
  </si>
  <si>
    <t>[Xidias, Elias] Univ Aegean, Dept Prod &amp; Syst Design Engn, Mitilini, Greece; [Zacharia, Paraskevi] Univ West Attica, Dept Ind Design &amp; Prod Engn, Aigaleo, Greece; [Nearchou, Andreas] Univ Patras, Dept Business Adm, Patras, Greece</t>
  </si>
  <si>
    <t>University of Aegean; University of West Attica; University of Patras</t>
  </si>
  <si>
    <t>Xidias, E (corresponding author), Univ Aegean, Dept Prod &amp; Syst Design Engn, Mitilini, Greece.</t>
  </si>
  <si>
    <t>xidias@aegean.gr</t>
  </si>
  <si>
    <t>Nearchou, Andreas/B-9059-2014; Xidias, Elias/AAS-2876-2021</t>
  </si>
  <si>
    <t>Xidias, Elias/0000-0002-6228-4577;</t>
  </si>
  <si>
    <t>SPRINGER</t>
  </si>
  <si>
    <t>DORDRECHT</t>
  </si>
  <si>
    <t>VAN GODEWIJCKSTRAAT 30, 3311 GZ DORDRECHT, NETHERLANDS</t>
  </si>
  <si>
    <t>0924-669X</t>
  </si>
  <si>
    <t>1573-7497</t>
  </si>
  <si>
    <t>APPL INTELL</t>
  </si>
  <si>
    <t>Appl. Intell.</t>
  </si>
  <si>
    <t>10.1007/s10489-022-03535-y</t>
  </si>
  <si>
    <t>APR 2022</t>
  </si>
  <si>
    <t>6I5WN</t>
  </si>
  <si>
    <t>WOS:000779613400005</t>
  </si>
  <si>
    <t>Kristiadi, Y; Sari, RF; Herdiansyah, H; Hasibuan, HS; Lim, TH</t>
  </si>
  <si>
    <t>Kristiadi, Yusuf; Sari, Riri Fitri; Herdiansyah, Herdis; Hasibuan, Hayati Sari; Lim, Tiong Hoo</t>
  </si>
  <si>
    <t>Developing DPSIR Framework for Managing Climate Change in Urban Areas: A Case Study in Jakarta, Indonesia</t>
  </si>
  <si>
    <t>framework strategy managing climate change; smart city; DPSIR; entropy; PLS-SEM</t>
  </si>
  <si>
    <t>PATTERN; CITIES</t>
  </si>
  <si>
    <t>From an environmentally conscious and ecological perspective, the sustainability of cities within the effects of climate change are closely related to the wise use of resources and modifications in the ecological status of the environment. In terms of the ecological environment, the sustainability of smart cities entails meeting present and future societal demands for the environment of the water, land, and air, among others. Environmental and the ecological concerns that arise from rapid climate change and monetary developments are shown in the inconsistency between ecological assets, environmental pollution, and the destruction of nature. In this study, the authors aim to develop a strategy to deal with climate change in urban areas using Remote Sensing and the Driver-Pressure-State-Impact-Response (DPSIR) Framework with a case study in Jakarta Smart City. The DPSIR framework, which will be developed and implemented in the city of Jakarta, is a smarter and more sustainable framework that is evaluated through a systematic evaluation of sustainability with quantitative research using the entropy weight method and Partial Least Square-Structural Equation Modeling (PLS-SEM). These methods evaluate 58 representative elements of environments at the urban level, including the shortcomings of earlier research such as data availability, spatial and temporal constraints, and several related ecological indicators, such as soil pH, wind speed, air quality index as well as land changes in the spatial (spatiotemporal) time series. The results of the study show that in the metropolitan city of Jakarta, the Drivers that are related to climate change are the rate of population growth and the rate of industrial growth which, although increases people's income and GRDP in Jakarta; it also creates Pressures, namely an increase in the amount of water consumption and in the amount of wastewater. Based on these pressures, the environmental conditions (State) of Jakarta city have undergone several environmental changes, such as loss of water supply, changes in wind speed, changes in rainfall, and increasing concentrations of the Air Pollutant Standard Index. The Impact of these three elements resulted in the increase in household and industrial water consumption, an increase in annual electricity consumption, and deteriorating air quality. Hence, the Response to these four interrelated causal variables is that the Jakarta Provincial Government must increase annual funds for the construction of urban community facilities, increase the production capacity of clean water supply, build environment-friendly wastewater treatment facilities, increase the capacity of waste processing infrastructure and transportation fleets, and educate people to use water wisely to reduce the level of water use.</t>
  </si>
  <si>
    <t>[Kristiadi, Yusuf; Herdiansyah, Herdis; Hasibuan, Hayati Sari] Univ Indonesia, Sch Environm Sci, Central Jakarta 10430, Indonesia; [Sari, Riri Fitri] Univ Indonesia, Fac Engn, Depok 16424, Indonesia; [Lim, Tiong Hoo] Univ Teknol Brunei, Fac Engn, Tungku Highway, BE-1410 Bandar Seri Begawan, Brunei</t>
  </si>
  <si>
    <t>University of Indonesia; University of Indonesia; University of Technology Brunei</t>
  </si>
  <si>
    <t>Kristiadi, Y (corresponding author), Univ Indonesia, Sch Environm Sci, Central Jakarta 10430, Indonesia.</t>
  </si>
  <si>
    <t>yusuf.kristiadi@ui.ac.id</t>
  </si>
  <si>
    <t>; Sari, Riri/P-6792-2019; Herdiansyah, Herdis/K-3075-2019</t>
  </si>
  <si>
    <t>Kristiadi, Yusuf/0000-0002-8308-2165; Hasibuan, Hayati/0000-0002-5728-2120; Sari, Riri Fitri/0000-0002-8841-8078; Herdiansyah, Herdis/0000-0003-2684-3551; Lim, Tiong Hoo/0000-0002-2170-2111</t>
  </si>
  <si>
    <t>Universitas Indonesia [NKB-340/UN2.RST/HKP.05.00/2022]</t>
  </si>
  <si>
    <t>Universitas Indonesia(Ministry of Research and Technology of the Republic of Indonesia (RISTEK))</t>
  </si>
  <si>
    <t>This work is supported by Universitas Indonesia under PUTI Pascasarjana Grant with contract number NKB-340/UN2.RST/HKP.05.00/2022.</t>
  </si>
  <si>
    <t>10.3390/su142315773</t>
  </si>
  <si>
    <t>6Y7HW</t>
  </si>
  <si>
    <t>WOS:000897262800001</t>
  </si>
  <si>
    <t>Papastefanopoulos, V; Linardatos, P; Panagiotakopoulos, T; Kotsiantis, S</t>
  </si>
  <si>
    <t>Papastefanopoulos, Vasilis; Linardatos, Pantelis; Panagiotakopoulos, Theodor; Kotsiantis, Sotiris</t>
  </si>
  <si>
    <t>Multivariate Time-Series Forecasting: A Review of Deep Learning Methods in Internet of Things Applications to Smart Cities</t>
  </si>
  <si>
    <t>machine learning; deep learning; IoT; smart cities; time series; forecasting; multivariate</t>
  </si>
  <si>
    <t>SHORT-TERM-MEMORY; PARKING OCCUPANCY PREDICTION; TRAFFIC FLOW; ENERGY-CONSUMPTION; NEURAL-NETWORKS; LSTM; SECURITY; ENCODER; TRENDS</t>
  </si>
  <si>
    <t>Smart cities are urban areas that utilize digital solutions to enhance the efficiency of conventional networks and services for sustainable growth, optimized resource management, and the well-being of its residents. Today, with the increase in urban populations worldwide, their importance is greater than ever before and, as a result, they are being rapidly developed to meet the varying needs of their inhabitants. The Internet of Things (IoT) lies at the heart of such efforts, as it allows for large amounts of data to be collected and subsequently used in intelligent ways that contribute to smart city goals. Time-series forecasting using deep learning has been a major research focus due to its significance in many real-world applications in key sectors, such as medicine, climate, retail, finance, and more. This review focuses on describing the most prominent deep learning time-series forecasting methods and their application to six smart city domains, and more specifically, on problems of a multivariate nature, where more than one IoT time series is involved.</t>
  </si>
  <si>
    <t>[Papastefanopoulos, Vasilis; Linardatos, Pantelis; Kotsiantis, Sotiris] Univ Patras, Dept Math, Patras 26504, Greece; [Panagiotakopoulos, Theodor] Hellen Open Univ, Sch Sci &amp; Technol, Patras 26335, Greece; [Panagiotakopoulos, Theodor] Univ Nicosia, Sch Business, CY-2417 Nicosia, Cyprus</t>
  </si>
  <si>
    <t>University of Patras; Hellenic Open University; University of Nicosia</t>
  </si>
  <si>
    <t>Papastefanopoulos, V (corresponding author), Univ Patras, Dept Math, Patras 26504, Greece.</t>
  </si>
  <si>
    <t>vasileios.papastefanopoulos@upatras.gr; p.linardatos@upnet.gr; panagiotakopoulos@eap.gr; sotos@math.upatras.gr</t>
  </si>
  <si>
    <t>Kotsiantis, Sotiris/A-8308-2016; kotsiantis, sotiris/C-5640-2009; Panagiotakopoulos, Theodor/ABC-2417-2020; Papastefanopoulos, Vasileios/ABI-3803-2020</t>
  </si>
  <si>
    <t>kotsiantis, sotiris/0000-0002-2247-3082; Linardatos, Pantelis/0000-0003-1132-4724; Papastefanopoulos, Vasilis/0000-0001-8169-1373; Panagiotakopoulos, Theodor/0000-0003-4044-6018</t>
  </si>
  <si>
    <t>OpenDCO, (Erasmus+ KA2: KA220-HED-Cooperation partnerships in higher education) [22022-1-CY01-KA220-HED-000089196]</t>
  </si>
  <si>
    <t>OpenDCO, (Erasmus+ KA2: KA220-HED-Cooperation partnerships in higher education)</t>
  </si>
  <si>
    <t>This work was supported by the research project OpenDCO, Open Data City Officer(Project No.: 22022-1-CY01-KA220-HED-000089196, Erasmus+ KA2: KA220-HED-Cooperation partnerships in higher education).</t>
  </si>
  <si>
    <t>OCT</t>
  </si>
  <si>
    <t>10.3390/smartcities6050114</t>
  </si>
  <si>
    <t>W2MS6</t>
  </si>
  <si>
    <t>WOS:001090029400001</t>
  </si>
  <si>
    <t>Zenezini, G; Mangano, G; De Marco, A</t>
  </si>
  <si>
    <t>Zenezini, Giovanni; Mangano, Giulio; De Marco, Alberto</t>
  </si>
  <si>
    <t>Experts? opinions about lasting innovative technologies in City Logistics</t>
  </si>
  <si>
    <t>RESEARCH IN TRANSPORTATION BUSINESS AND MANAGEMENT</t>
  </si>
  <si>
    <t>Technology forecast; City Logistics; Delphi survey; Statistical analysis</t>
  </si>
  <si>
    <t>SUPPLY CHAIN MANAGEMENT; DELPHI METHOD; ELECTRIC VEHICLES; MODELING APPROACH; NONRESPONSE BIAS; URBAN LOGISTICS; FUTURE; INTERNET; QUALITY; SYSTEM</t>
  </si>
  <si>
    <t>The COVID-19 pandemic has highlighted the relevance of goods delivery in urban areas. However, this activity often generates negative environmental impact and several technologies have been proposed in recent years to reduce it, thus forming a complex innovation landscape characterized by different levels of maturity and effects on the City Logistics (CL) system. This complexity causes a deep uncertainty over the future of CL. This paper aims to tackle this uncertainty by forecasting the future of a set of CL technologies. A Delphi survey has been submitted to experts of this field to achieve a stable consensus over 33 projections related to 7 CL technologies for the year 2030. Results show that real-time data collection will help the coordination process between stake-holders, engendering an increased awareness over the value of using logistics data as well as its potential drawbacks. Moreover, experts share a positive attitude towards the expansion of Parcel Lockers, which should be monitored by public authorities to avoid a negative impact on land use. Finally, technologies such as drones and crowd-logistics have drawn the lowest level of consensus due to their lower level of maturity, which arouse the necessity to further explore several issues such as legal and technical barriers.</t>
  </si>
  <si>
    <t>[Zenezini, Giovanni; Mangano, Giulio; De Marco, Alberto] Politecn Torino, Dept Management &amp; Prod Engn, Corso Duca Abruzzi 24, I-10129 Turin, TO, Italy</t>
  </si>
  <si>
    <t>Polytechnic University of Turin</t>
  </si>
  <si>
    <t>Mangano, G (corresponding author), Politecn Torino, Dept Management &amp; Prod Engn, Corso Duca Abruzzi 24, I-10129 Turin, TO, Italy.</t>
  </si>
  <si>
    <t>giovanni.zenezini@polito.it; giulio.mangano@polito.it; alberto.demarco@polito.it</t>
  </si>
  <si>
    <t>De Marco, Alberto/A-4115-2011; Zenezini, Giovanni/ABD-6318-2020</t>
  </si>
  <si>
    <t>De Marco, Alberto/0000-0002-4145-2287;</t>
  </si>
  <si>
    <t>2210-5395</t>
  </si>
  <si>
    <t>2210-5409</t>
  </si>
  <si>
    <t>RES TRANSP BUS MANAG</t>
  </si>
  <si>
    <t>Res. Transp. Bus. Manag.</t>
  </si>
  <si>
    <t>10.1016/j.rtbm.2022.100865</t>
  </si>
  <si>
    <t>Business; Management; Transportation</t>
  </si>
  <si>
    <t>Business &amp; Economics; Transportation</t>
  </si>
  <si>
    <t>7I6NC</t>
  </si>
  <si>
    <t>WOS:000904001100009</t>
  </si>
  <si>
    <t>Kim, SC; Hong, P; Lee, T; Lee, A; Park, SH</t>
  </si>
  <si>
    <t>Kim, Seung-Chul; Hong, Paul; Lee, Taewon; Lee, Ayeon; Park, So-Hyun</t>
  </si>
  <si>
    <t>Determining Strategic Priorities for Smart City Development: Case Studies of South Korean and International Smart Cities</t>
  </si>
  <si>
    <t>sustainable innovation; case studies; smart city development; strategic framework; strategic priorities; Europe; Korea; USA</t>
  </si>
  <si>
    <t>IMPLEMENTATION; LESSONS; TECHNOLOGY; MANAGEMENT; FRAMEWORK</t>
  </si>
  <si>
    <t>Increasingly, nations are engaging in smart city development projects. Smart city development aims to build urban areas with a wholesome quality of life with modern infrastructure capabilities (e.g., economic opportunities, cultural richness, and demographic-geographical balance), technological benefits (e.g., healthcare, education, government) and sustainability goals (e.g., clean, green, safe, and secure environments). This requires huge investments of resources and participation of diverse stakeholders, whose goals are often ambiguous and conflicting. It is not unusual that many of these projects are delayed because of a lack of consensus, which further adds unnecessary social costs and a waste of time and efforts. In this sense, determining strategic priorities for smart city development is crucial for achieving a set of integrative purposes in terms of resource allocation and social benefits goals. This paper aims to determine strategic priorities by examining multiple cases of smart city projects in Korea, Europe, and the U.S. A hierarchical strategic framework, which shows the vision, core values and strategic goals, is developed and proposed from the case studies. Lessons and practical implications are discussed for future study.</t>
  </si>
  <si>
    <t>[Kim, Seung-Chul; Lee, Taewon] Hanyang Univ, Sch Business, Seoul 04763, South Korea; [Hong, Paul] Univ Toledo, John B &amp; Lillian E Neff Coll Business &amp; Innovat, Toledo, OH 43606 USA; [Lee, Ayeon] Seongnam Ind Promot Agcy, Seongnam City 13558, South Korea; [Park, So-Hyun] Konkuk Univ, Coll Business Adm, Seoul 05029, South Korea</t>
  </si>
  <si>
    <t>Hanyang University; University System of Ohio; University of Toledo; Konkuk University</t>
  </si>
  <si>
    <t>Park, SH (corresponding author), Konkuk Univ, Coll Business Adm, Seoul 05029, South Korea.</t>
  </si>
  <si>
    <t>shpark@konkuk.ac.kr</t>
  </si>
  <si>
    <t>Hong, Paul/C-2591-2013; Kim, Seung-Chul/P-5408-2015</t>
  </si>
  <si>
    <t>Kim, Seung-Chul/0000-0003-4653-975X; Lee, Taewon/0000-0002-0417-891X; Park, SoHyun/0000-0001-9489-679X</t>
  </si>
  <si>
    <t>Korea Agency for Infrastructure Technology Advancement(KAIA) - Ministry of Land, Infrastructure and Transport [22DEAPB158906-03]</t>
  </si>
  <si>
    <t>Korea Agency for Infrastructure Technology Advancement(KAIA) - Ministry of Land, Infrastructure and Transport(Korea Agency for Infrastructure Technology Advancement (KAIA)Ministry of Land, Infrastructure &amp; Transport (MOLIT), Republic of Korea)</t>
  </si>
  <si>
    <t>This work is supported by the Korea Agency for Infrastructure Technology Advancement(KAIA) grant funded by the Ministry of Land, Infrastructure and Transport (Grant 22DEAPB158906-03).</t>
  </si>
  <si>
    <t>10.3390/su141610001</t>
  </si>
  <si>
    <t>4C7DH</t>
  </si>
  <si>
    <t>WOS:000846608600001</t>
  </si>
  <si>
    <t>Mukherjee, A; Vohnout, R; Gandomi, AH</t>
  </si>
  <si>
    <t>Mukherjee, Amrit; Vohnout, Rudolf; Gandomi, Amir H.</t>
  </si>
  <si>
    <t>Guest Editorial Split Learning in Consumer Electronics for Smart Cities: Theories, Tools, Applications and Challenges</t>
  </si>
  <si>
    <t>IEEE TRANSACTIONS ON CONSUMER ELECTRONICS</t>
  </si>
  <si>
    <t>Industries; Training; Smart cities; Data security; Transportation; Medical services; User experience; Threat assessment; Internet of Things; Consumer electronics; Split learning; consumer electronics; artificial intelligence; smart cities</t>
  </si>
  <si>
    <t>In the present fast-moving society, the Internet of Things (IoT) is transforming the way services are used in different industries. While it has many benefits, there are also considerable obstacles, especially in the areas of computing power, safety, and handling data. With the continuous evolution and importance of consumer electronics (CE) in smart cities, there is an increasing demand for sustainable and effective solutions to deal with challenges such as widespread sensing, advanced computing, prediction, monitoring, and data sharing. The artificial intelligence (AI) has emerged as a crucial component in the IoT environment, highlighting the need for energy-efficient CE in urban areas. The state of art methods are required to maximize resource usage and maintain high-quality services for smart systems in healthcare, transportation, AI-powered sensing (AIeS), and sustainable networks. The split learning is a technique for distributed deep learning, shows great potential as a solution for these CE applications. It can greatly reduce numerous obstacles linked with intelligent services in smart cities. The split learning enables the training of deep neural networks or split neural networks (SplitNN) using AIeS on various data sources. This method enables the secure and efficient processing of data without the requirement of directly sharing raw labeled data, which is crucial in industries like healthcare, finance, security, and surveillance where data privacy and security are vital. This guest editorial discusses and presents split learning methods in CE applications for smart cities. Using split learning, researchers and developers can develop creative solutions to address resource efficiency, data security, and service quality issues across different smart city sectors as presented further. As the IoT grows and changes, incorporating split learning into CE applications influences the platform for future smart cities.</t>
  </si>
  <si>
    <t>[Mukherjee, Amrit; Vohnout, Rudolf] Univ South Bohemia, Dept Comp Sci, Ceske Budejovice 37005, Czech Republic; [Mukherjee, Amrit; Vohnout, Rudolf] Univ South Bohemia, Fac Sci, Ceske Budejovice 37005, Czech Republic; [Gandomi, Amir H.] Univ Technol Sydney, Fac Engn &amp; Informat Technol, Sydney, NSW 2007, Australia</t>
  </si>
  <si>
    <t>University of South Bohemia Ceske Budejovice; University of South Bohemia Ceske Budejovice; University of Technology Sydney</t>
  </si>
  <si>
    <t>Mukherjee, A (corresponding author), Univ South Bohemia, Dept Comp Sci, Ceske Budejovice 37005, Czech Republic.;Mukherjee, A (corresponding author), Univ South Bohemia, Fac Sci, Ceske Budejovice 37005, Czech Republic.</t>
  </si>
  <si>
    <t>amukherjee@jcu.cz; rvohnout@jcu.cz; amirhossein.Gandomi@uts.edu.au</t>
  </si>
  <si>
    <t>Vohnout, Rudolf/C-9039-2013; Gandomi, Amir H/J-7595-2013; Gandomi, Amir/J-7595-2013; Mukherjee, Amrit/Q-3174-2016</t>
  </si>
  <si>
    <t>Vohnout, Rudolf/0000-0002-6809-7377; Gandomi, Amir H/0000-0002-2798-0104; Mukherjee, Amrit/0000-0002-6714-5568</t>
  </si>
  <si>
    <t>0098-3063</t>
  </si>
  <si>
    <t>1558-4127</t>
  </si>
  <si>
    <t>IEEE T CONSUM ELECTR</t>
  </si>
  <si>
    <t>IEEE Trans. Consum. Electron.</t>
  </si>
  <si>
    <t>10.1109/TCE.2024.3422617</t>
  </si>
  <si>
    <t>Engineering, Electrical &amp; Electronic; Telecommunications</t>
  </si>
  <si>
    <t>Engineering; Telecommunications</t>
  </si>
  <si>
    <t>P5D9J</t>
  </si>
  <si>
    <t>WOS:001378122400021</t>
  </si>
  <si>
    <t>Xenou, E; Madas, M; Ayfandopoulou, G</t>
  </si>
  <si>
    <t>Xenou, Elpida; Madas, Michael; Ayfandopoulou, Georgia</t>
  </si>
  <si>
    <t>Developing a Smart City Logistics Assessment Framework (SCLAF): A Conceptual Tool for Identifying the Level of Smartness of a City Logistics System</t>
  </si>
  <si>
    <t>assessment framework; smart city logistics; city logistics planning</t>
  </si>
  <si>
    <t>CITIES; TRANSPORT; IMPACT; GOODS</t>
  </si>
  <si>
    <t>One of the main building blocks for sustainable cities is the development and efficient operation of a viable and sustainable city logistics system. City logistics exhibit several practical complications due to the conflicting interests of multiple actors involved, as well as the vague role or reluctant involvement of the public sector. Despite the plethora of innovative city logistics initiatives developed in European cities and European policy priorities towards the promotion of smart cities, little is known about the level of smartness of city logistics systems in Europe. In response to that, this paper proposes a conceptual multi-criteria and multi-assessment framework as a guidance tool for city planners, aiming to support the in-depth understanding of the main components of a smart city logistics ecosystem and facilitate the self-assessment of a city's level of smartness. The proposed framework represents a four-level hierarchical assessment pyramid involving four main impact areas: (i) smart governance, (ii) smart economy, (iii) smart actors, and (iv) smart environment. A more in-depth analysis of each impact area is separately conducted by deconstructing the impact areas in specific criteria, sub-criteria, and KPIs. This paper presents in detail the methodology followed and the main components of this tool.</t>
  </si>
  <si>
    <t>[Xenou, Elpida; Madas, Michael] Univ Macedonia, Sch Informat Sci Informat Syst &amp; E Business Lab I, Dept Appl Informat, Egnatia 156 Str, Thessaloniki 54636, Greece; [Ayfandopoulou, Georgia] Ctr Res &amp; Technol Hellas, Hellen Inst Transport, 6th Km Charilaou Thermi, Thessaloniki 57001, Greece</t>
  </si>
  <si>
    <t>University of Macedonia; Centre for Research &amp; Technology Hellas</t>
  </si>
  <si>
    <t>Xenou, E (corresponding author), Univ Macedonia, Sch Informat Sci Informat Syst &amp; E Business Lab I, Dept Appl Informat, Egnatia 156 Str, Thessaloniki 54636, Greece.</t>
  </si>
  <si>
    <t>elpixenou@uom.edu.gr; mmadas@uom.gr; gea@certh.gr</t>
  </si>
  <si>
    <t>Madas, Michael/0000-0002-9809-8485; Xenou, Elpida/0000-0003-2455-5214</t>
  </si>
  <si>
    <t>MAY</t>
  </si>
  <si>
    <t>10.3390/su14106039</t>
  </si>
  <si>
    <t>1P3LO</t>
  </si>
  <si>
    <t>WOS:000801914700001</t>
  </si>
  <si>
    <t>Boulanger, SOM</t>
  </si>
  <si>
    <t>Boulanger, Saveria Olga Murielle</t>
  </si>
  <si>
    <t>The Roadmap to Smart Cities: A Bibliometric Literature Review on Smart Cities' Trends before and after the COVID-19 Pandemic</t>
  </si>
  <si>
    <t>smart city; COVID-19; climate change; transition roadmap; pandemic; bibliometric; drivers; trends</t>
  </si>
  <si>
    <t>TECHNOLOGY ROADMAP; CITY; SUSTAINABILITY; CHALLENGES; MANAGEMENT; SYSTEMS; TOOLS</t>
  </si>
  <si>
    <t>The smart city has been a growing utopia, a brilliant image of a city of the future, in the past twenty years. Since its birth, at the end of the previous century, several changes have been seen in urban areas, both aligned and detached from this concept. On the one side, digital implementation seems to be growing in all the major cities, especially in the service sector, which are experiencing a proliferation of new solutions, tools and modalities of interactions. On the other side, new concepts are rising such as the digital twin, the 15-minute city, and the metaverse city, evidencing both the necessity to continuously innovate and reach higher levels of digitalization but also the need to focus on people's life. This paper aims to provide a contribution to the understanding of the concept's evolution at the forefront of climate change with the aim to detect the elements of innovation, focusing on implementation roadmaps and trends but also searching for evolutions in research due to the COVID-19 pandemic. The hypothesis is that some changes of direction could have been triggered by the pandemic due to the urgency of finding concrete solutions. The conclusions will show that it is possible to detect some of them, especially in the technological domain.</t>
  </si>
  <si>
    <t>[Boulanger, Saveria Olga Murielle] Univ Bologna, Dept Architecture, I-40136 Bologna, Italy</t>
  </si>
  <si>
    <t>University of Bologna</t>
  </si>
  <si>
    <t>Boulanger, SOM (corresponding author), Univ Bologna, Dept Architecture, I-40136 Bologna, Italy.</t>
  </si>
  <si>
    <t>; Boulanger, Saveria/AAS-4208-2020</t>
  </si>
  <si>
    <t>BOULANGER, SAVERIA OLGA MURIELLE/0000-0003-2147-3192;</t>
  </si>
  <si>
    <t>10.3390/en15249326</t>
  </si>
  <si>
    <t>7E3YT</t>
  </si>
  <si>
    <t>WOS:000901108600001</t>
  </si>
  <si>
    <t>Ghorbanioskalaei, E; Herrera, EM; Ammouriova, M; Juan, AA</t>
  </si>
  <si>
    <t>Ghorbanioskalaei, Elnaz; Herrera, Erika M.; Ammouriova, Majsa; Juan, Angel A.</t>
  </si>
  <si>
    <t>On the Use of Agile Optimization for Efficient Energy Consumption in Smart Cities's Transportation and Mobility</t>
  </si>
  <si>
    <t>FUTURE TRANSPORTATION</t>
  </si>
  <si>
    <t>smart cities; carsharing; ridesharing; last-mile delivery; efficient energy consumption; sustainability</t>
  </si>
  <si>
    <t>VEHICLE-ROUTING PROBLEM; LAST-MILE DELIVERY; ELECTRIC VEHICLES; LOGISTICS PERFORMANCE; SUSTAINABILITY; PICKUP; MANAGEMENT; OPERATIONS; ALGORITHM; DEMAND</t>
  </si>
  <si>
    <t>Urban logistics consumes a large portion of energy resources worldwide. Thus, optimization algorithms are used to define mobility modes, vehicle fleets, routing plans, and last-mile delivery operations to reduce energy consumption such as metaheuristics. With the emergence of smart cities, new opportunities were defined, such as carsharing and ridesharing. In addition to last-mile delivery, these opportunities form a challenging problem because of the dynamism they possess. New orders or ride requests could be placed or canceled at any time. Further, transportation times might evolve due to traffic conditions. These dynamic changes challenge traditional optimization methods to propose solutions in real-time to large-scale energy-optimization problems. Thus, a more `agile optimization' approach is required to provide fast solutions to optimization problems when these changes occur. Agile optimization combines biased randomization and parallelism. It provides `good' solutions compared to solutions found by traditional optimization methods, such as in-team orienteering problems. Additionally, these solutions are found in short wall clock, real-time.</t>
  </si>
  <si>
    <t>[Ghorbanioskalaei, Elnaz; Herrera, Erika M.; Ammouriova, Majsa] Univ Oberta Catalunya, Comp Sci Dept, Barcelona 08018, Spain; [Juan, Angel A.] Univ Politecn Valencia, Dept Appl Stat &amp; Operat Res, Alcoy 03801, Spain</t>
  </si>
  <si>
    <t>UOC Universitat Oberta de Catalunya; Universitat Politecnica de Valencia</t>
  </si>
  <si>
    <t>Juan, AA (corresponding author), Univ Politecn Valencia, Dept Appl Stat &amp; Operat Res, Alcoy 03801, Spain.</t>
  </si>
  <si>
    <t>ajuanp@upv.es</t>
  </si>
  <si>
    <t>Ammouriova, Majsa/AAI-8442-2021; Juan, Angel/GWZ-7540-2022</t>
  </si>
  <si>
    <t>Ghorbani, Elnaz/0000-0001-7498-1030; Juan, Angel A/0000-0003-1392-1776; Herrera Machado, Erika Magdalena/0000-0001-9905-2203;</t>
  </si>
  <si>
    <t>Spanish Ministry of Science [PID2019-111100RB-C21-C22]; Barcelona City Council [21S09355-001]; Fundacio la Caixa [21S09355-001]</t>
  </si>
  <si>
    <t>Spanish Ministry of Science(Spanish GovernmentMinistry of Science &amp; Innovation, Spain (MICINN)); Barcelona City Council; Fundacio la Caixa(La Caixa Foundation)</t>
  </si>
  <si>
    <t>This work has been partially funded by the Spanish Ministry of Science (PID2019-111100RB-C21-C22 /AEI/ 10.13039/501100011033), as well as by the Barcelona City Council and Fundacio la Caixa under the framework of the Barcelona Science Plan 2020-2023 (grant 21S09355-001).</t>
  </si>
  <si>
    <t>2673-7590</t>
  </si>
  <si>
    <t>FUTURE TRANSP-BASEL</t>
  </si>
  <si>
    <t>Future Transp.</t>
  </si>
  <si>
    <t>10.3390/futuretransp2040048</t>
  </si>
  <si>
    <t>ZG9L2</t>
  </si>
  <si>
    <t>WOS:001274260600001</t>
  </si>
  <si>
    <t>Masoumi, Z; van Genderen, J</t>
  </si>
  <si>
    <t>Masoumi, Zohreh; van Genderen, John</t>
  </si>
  <si>
    <t>Artificial intelligence for sustainable development of smart cities and urban land-use management</t>
  </si>
  <si>
    <t>GEO-SPATIAL INFORMATION SCIENCE</t>
  </si>
  <si>
    <t>Urban land-use management; geo-spatial information sciences; multi-objective optimization algorithm; smart cities; artificial intelligence</t>
  </si>
  <si>
    <t>PARTICLE SWARM OPTIMIZATION; GENETIC ALGORITHM; SPATIAL OPTIMIZATION; ALLOCATION</t>
  </si>
  <si>
    <t>The urban land-use allocation problem is a spatial optimization problem that allocates optimum land-uses to specific land units in urban areas. This problem is an NP (nondeterministic polynomial time)-hard problem because of involving many objective functions, many constraints, and complex search space. Moreover, this subject is an important issue in smart cities and newly developed areas of cities to achieve a sustainable arrangement of land-uses. Different types ofMulti-Objective Optimization Algorithms (MOOAs) based on Artificial Intelligence (AI) have been frequently employed, but their ability and performance have not been evaluated and compared properly. This paper aims to employ and compare three commonly used MOOAs i.e. NSGA-II, MOPSO, and MOEA/D in urban land-use allocation problems. Selected algorithms belong to different categories of MOOAs family to investigate their advantage and disadvantages. The objective functions of this study are compatibility, dependency, suitability, and compactness of land-uses and the constraint is compensating of Per-Capita demand in the urban environment. Evaluation of results is based on the dispersion of the solutions, diversity of the solutions' space, and comparing the number of dominant solutions in Pareto-Fronts. The results showed that all three algorithms improved the objective functions related to the current arrangement of the land-uses. However, the run time of NSGA-II is the worst, related to the Diversity Metric (DM) which represents the regularity of the distance between solutions at the highest degree. Moreover, MOPSO provides the best Scattering Diversity Metric (SDM) which shows the diversity of solutions in the solution space. Furthermore, In terms of algorithm execution time, MOEA/D performed better than the other two. So, Decision-makers should consider different aspects in choosing the appropriate MOOA for land-use management problems.</t>
  </si>
  <si>
    <t>[Masoumi, Zohreh] Inst Adv Studies Basic Sci IASBS, Dept Earth Sci, Zanjan, Iran; [Masoumi, Zohreh] Inst Adv Studies Basic Sci IASBS, Ctr Res Climate Change &amp; Global Warming CRCC, Zanjan, Iran; [van Genderen, John] Univ Twente, Fac Geoinformat Sci &amp; Earth Observat ITC, Dept Earth Observat Sci, Enschede, Netherlands</t>
  </si>
  <si>
    <t>Institute for Advanced Studies in Basic Sciences (IASBS); Institute for Advanced Studies in Basic Sciences (IASBS); University of Twente</t>
  </si>
  <si>
    <t>Masoumi, Z (corresponding author), Inst Adv Studies Basic Sci IASBS, Dept Earth Sci, Zanjan, Iran.;Masoumi, Z (corresponding author), Inst Adv Studies Basic Sci IASBS, Ctr Res Climate Change &amp; Global Warming CRCC, Zanjan, Iran.</t>
  </si>
  <si>
    <t>z.masoumi@iasbs.ac.ir</t>
  </si>
  <si>
    <t>; Masoumi, Zohreh/AAA-7448-2022</t>
  </si>
  <si>
    <t>Masoumi, Zohreh/0000-0001-6875-8748;</t>
  </si>
  <si>
    <t>1009-5020</t>
  </si>
  <si>
    <t>1993-5153</t>
  </si>
  <si>
    <t>GEO-SPAT INF SCI</t>
  </si>
  <si>
    <t>Geo-Spat. Inf. Sci.</t>
  </si>
  <si>
    <t>JUL 3</t>
  </si>
  <si>
    <t>10.1080/10095020.2023.2184729</t>
  </si>
  <si>
    <t>APR 2023</t>
  </si>
  <si>
    <t>Remote Sensing</t>
  </si>
  <si>
    <t>F6H0D</t>
  </si>
  <si>
    <t>WOS:000972793300001</t>
  </si>
  <si>
    <t>Mavlutova, I; Atstaja, D; Grasis, J; Kuzmina, J; Uvarova, I; Roga, D</t>
  </si>
  <si>
    <t>Mavlutova, Inese; Atstaja, Dzintra; Grasis, Janis; Kuzmina, Jekaterina; Uvarova, Inga; Roga, Dagnija</t>
  </si>
  <si>
    <t>Urban Transportation Concept and Sustainable Urban Mobility in Smart Cities: A Review</t>
  </si>
  <si>
    <t>urban transportation concept; sustainable urban mobility; individual transport vehicles; smart mobility; car sharing; urban transportation models; low carbon transport means</t>
  </si>
  <si>
    <t>VEHICLE; SYSTEMS; OPTIMIZATION; CITY</t>
  </si>
  <si>
    <t>In order to create a sustainable future for the urban environment in s=Smart cities, it is necessary to develop a concept of urban transport, partially reduce the use of traditional transport, primarily cars, as well as the environmental pressure on society, which is essential to move to a sustainable urban future. In the latest discussions on the future of the urban transport system, the quality of the environment, and the possibility of its improvement are discussed, this issue became especially relevant with the onset of the pandemic, when the lockdowns were introduced. The problem of sustainable transport in urban areas has been recognized in academic studies, searching for appropriate models and solutions. The article presents the latest literature review and illustrates the newest trends with several examples. VOS Viewer software has been used to classify the different keywords, according to their co-citation, following clustering techniques. By analyzing the research conducted by other researchers, it has been possible to structure the ecosystem and trends in the Urban Transportation Concept, also mentioning likely future trends. Based on the literature analysis of the Sustainable Urban Transport, the authors of the study found that a large group of researchers deal with technical solutions and innovative business models, while the essential behavioral aspects are examined in less detail. Extensive literature analysis allowed the authors to select several solutions to achieve the transformation towards sustainable transportation in urban areas: new vehicle technologies and their environmental factors' analysis, geographic information systems, the analytic hierarchy process method, the time series analysis of road traffic accidents using multiplicative models, electrification and use of Friedman Analysis of Variance by Ranks, as well as innovations in sharing mobility.</t>
  </si>
  <si>
    <t>[Mavlutova, Inese; Kuzmina, Jekaterina] BA Sch Business &amp; Finance, Dept Econ &amp; Finance, Kr Valdemara 161, LV-1013 Riga, Latvia; [Atstaja, Dzintra; Uvarova, Inga; Roga, Dagnija] BA Sch Business &amp; Finance, Management Dept, Kr Valdemara 161, LV-1013 Riga, Latvia; [Atstaja, Dzintra; Grasis, Janis] Riga Stradins Univ, Fac Law, Dzirciema 16, LV-1007 Riga, Latvia</t>
  </si>
  <si>
    <t>Riga Stradins University</t>
  </si>
  <si>
    <t>Mavlutova, I (corresponding author), BA Sch Business &amp; Finance, Dept Econ &amp; Finance, Kr Valdemara 161, LV-1013 Riga, Latvia.</t>
  </si>
  <si>
    <t>inese.mavlutova@ba.lv; janis.grasis@rsu.lv; jekaterina.kuzmina@ba.lv</t>
  </si>
  <si>
    <t>ATSTAJA, Dzintra/A-6576-2010; Uvarova, Inga/GQQ-0536-2022; Mavlutova, Inese/AAY-5805-2020; Kuzmina, Jekaterina/KHX-9966-2024</t>
  </si>
  <si>
    <t>Uvarova, Inga/0000-0002-2403-3814; Atstaja, Dzintra/0000-0002-9411-7212; Mavlutova, Inese/0000-0002-3245-9540</t>
  </si>
  <si>
    <t>Dzintra Atstaja and Fundamentally applied research project Quadruple Helix Concept as base of the next generation PPP model [lzp-2020/1-0062]</t>
  </si>
  <si>
    <t>Dzintra Atstaja and Fundamentally applied research project Quadruple Helix Concept as base of the next generation PPP model</t>
  </si>
  <si>
    <t>Dzintra Atstaja and Fundamentally applied research project Quadruple Helix Concept as base of the next generation PPP model (No.lzp-2020/1-0062).</t>
  </si>
  <si>
    <t>10.3390/en16083585</t>
  </si>
  <si>
    <t>E9YU6</t>
  </si>
  <si>
    <t>WOS:000979018000001</t>
  </si>
  <si>
    <t>Pellegrino, SF</t>
  </si>
  <si>
    <t>Gervasi, O; Murgante, B; Misra, S; Rocha, AMAC; Garau, C</t>
  </si>
  <si>
    <t>Pellegrino, Sabrina Francesca</t>
  </si>
  <si>
    <t>A Traffic Model with Junction Constraints for Smart Cities Development</t>
  </si>
  <si>
    <t>COMPUTATIONAL SCIENCE AND ITS APPLICATIONS, ICCSA 2022 WORKSHOPS, PT VI</t>
  </si>
  <si>
    <t>Lecture Notes in Computer Science</t>
  </si>
  <si>
    <t>22nd International Conference on Computational Science and its Applications (ICCSA)</t>
  </si>
  <si>
    <t>JUL 04-07, 2022</t>
  </si>
  <si>
    <t>Malaga, SPAIN</t>
  </si>
  <si>
    <t>Non-local point constraints; Traffic jam; Capacity drop; Smart cities; Sustainability</t>
  </si>
  <si>
    <t>WAVES</t>
  </si>
  <si>
    <t>Good environmental quality is the foundation for a good quality of life. Technologies of Smart Cities can adequately support the path of sustainability in urban areas and thus compete to raise the quality of life of citizens. In particular, sustainable urban development concept can be characterized in terms of CO2 emissions. In order to address sustainable urban development, management and modeling traffic jam is a primary issue. We propose a mathematical model based on hyperbolic scalar conservation laws with non-local point constraint at the interface and a finite volume scheme to reproduce the capacity drop phenomenon at a road merge. We call capacity drop the situation in which the outflow through the junction is lower than the receiving capacity of the outgoing road, as too many vehicles trying to access the junction from the incoming roads hinder each other. The capability of representing such phenomenon by means of a non-local model allow us to obtain more accurate and detailed information by traffic data provided by sensors which can be used to propose a strategy to manage traffic flow near crossroads and to reduce the congestion in urban setting.</t>
  </si>
  <si>
    <t>[Pellegrino, Sabrina Francesca] Univ LUM Giuseppe Degennaro, Dipartimento Management Finanza &amp; Tecnol, SS 100 Km 18, I-70010 Bari, Italy</t>
  </si>
  <si>
    <t>Pellegrino, SF (corresponding author), Univ LUM Giuseppe Degennaro, Dipartimento Management Finanza &amp; Tecnol, SS 100 Km 18, I-70010 Bari, Italy.</t>
  </si>
  <si>
    <t>pellegrino@lum.it</t>
  </si>
  <si>
    <t>Pellegrino, Sabrina Francesca/0000-0002-6482-1938</t>
  </si>
  <si>
    <t>GNCS of Istituto Nazionale di Alta Matematica; PRIN 2017; Regione Puglia, Programma POR Puglia [D1AB726C]</t>
  </si>
  <si>
    <t>GNCS of Istituto Nazionale di Alta Matematica; PRIN 2017(Ministry of Education, Universities and Research (MIUR)Research Projects of National Relevance (PRIN)); Regione Puglia, Programma POR Puglia</t>
  </si>
  <si>
    <t>Supported by GNCS of Istituto Nazionale di Alta Matematica, by PRIN 2017 Discontinuous dynamical systems: theory, numerics and applications and by Regione Puglia, Programma POR Puglia 2014/2020-Asse X-Azione 10.4 Research for InnovationREFIN -(D1AB726C).</t>
  </si>
  <si>
    <t>0302-9743</t>
  </si>
  <si>
    <t>1611-3349</t>
  </si>
  <si>
    <t>978-3-031-10592-0; 978-3-031-10591-3</t>
  </si>
  <si>
    <t>LECT NOTES COMPUT SC</t>
  </si>
  <si>
    <t>10.1007/978-3-031-10592-0_13</t>
  </si>
  <si>
    <t>Computer Science, Software Engineering; Green &amp; Sustainable Science &amp; Technology</t>
  </si>
  <si>
    <t>Computer Science; Science &amp; Technology - Other Topics</t>
  </si>
  <si>
    <t>BU5NH</t>
  </si>
  <si>
    <t>WOS:000916142000013</t>
  </si>
  <si>
    <t>Mohammed, MN; Al-Rawi, OYM; Al-Zubaidi, S; Mustapha, S; Abdulrazaq, M</t>
  </si>
  <si>
    <t>Mohammed, M. N.; Al-Rawi, Osama Yaseen M.; Al-Zubaidi, S.; Mustapha, Safinaz; Abdulrazaq, M.</t>
  </si>
  <si>
    <t>Toward Sustainable Smart Cities in the Kingdom of Bahrain: A New Approach of Smart Restaurant Management and Ordering System During Covid-19</t>
  </si>
  <si>
    <t>2022 IEEE INTERNATIONAL CONFERENCE ON AUTOMATIC CONTROL AND INTELLIGENT SYSTEMS, I2CACIS</t>
  </si>
  <si>
    <t>2022 International Conference on Automatic Control and Intelligent Systems</t>
  </si>
  <si>
    <t>JUN 25, 2022</t>
  </si>
  <si>
    <t>Shah Alam, MALAYSIA</t>
  </si>
  <si>
    <t>COVID-19; Smart Cities; Smart Restaurant; Smart Ordering System.</t>
  </si>
  <si>
    <t>A smart city incorporates information and communication technology (ICT) to achieve operational excellence, public info sharing, and the integrity of state services and citizen satisfaction. Nowadays, Bahrain has started a drive forward into smart cities, whereby urban areas can be more effective, habitable, and sustainable in the short and long term with the direct involvement of government, citizens, and enterprises. Food service providers should pay attention to consumer concerns regarding food safety since they have the ability to alter the use of their services as a result of the COVID-19 pandemic and state societal distancing regulations. This study intends to build and construct a Smart Restaurant Order System that provides an automated dining experience that eliminates the need for people to wait staff. When the epidemic struck, however, it became not only one of the just methods to purchase, yet indeed one of the safer, as it required little to no human interaction. As a result, both restaurants and people have embraced technology more quickly.</t>
  </si>
  <si>
    <t>[Mohammed, M. N.] Gulf Univ, Mech Engn Dept, Coll Engn, Sanad, Bahrain; [Al-Rawi, Osama Yaseen M.] Gulf Univ, Elect &amp; Elect Engn Dept, Coll Engn, Sanad, Bahrain; [Al-Zubaidi, S.] Univ Baghdad, Al Khwarizmi Coll Engn, Dept Automated Mfg Engn, Baghdad, Iraq; [Mustapha, Safinaz] Management &amp; Sci Univ, Fac Informat Sci &amp; Engn, Dept Media Sci &amp; Graph, Shah Alam, Selangor, Malaysia; [Abdulrazaq, M.] Dijlah Univ Coll, Dept Med Instrumentat Engn Tech, Baghdad, Iraq; [Abdulrazaq, M.] Univ Mashreq, Res Ctr, Baghdad, Iraq</t>
  </si>
  <si>
    <t>University of Baghdad; Management Science University; Dijlah University College; Al-Mashreq University</t>
  </si>
  <si>
    <t>Mohammed, MN (corresponding author), Gulf Univ, Mech Engn Dept, Coll Engn, Sanad, Bahrain.</t>
  </si>
  <si>
    <t>dr.mohammed.alshekhly@gulfuniversity.edu.bh</t>
  </si>
  <si>
    <t>Abdulrazzaq, Maiwan/ABR-1757-2022; Al-Zubaidi, Salah/AAR-7139-2020</t>
  </si>
  <si>
    <t>BINTI MUSTAPHA, Safinaz/0009-0001-9645-5709; Al-Zubaidi, Salah/0000-0002-0308-548X; al-rawi, osama/0000-0002-9236-7672</t>
  </si>
  <si>
    <t>978-1-6654-9581-3</t>
  </si>
  <si>
    <t>10.1109/I2CACIS54679.2022.9815479</t>
  </si>
  <si>
    <t>Automation &amp; Control Systems; Computer Science, Interdisciplinary Applications</t>
  </si>
  <si>
    <t>Automation &amp; Control Systems; Computer Science</t>
  </si>
  <si>
    <t>BY3NY</t>
  </si>
  <si>
    <t>WOS:001424589100002</t>
  </si>
  <si>
    <t>Skultéty, F; Benová, D; Gnap, J</t>
  </si>
  <si>
    <t>Skultety, Filip; Benova, Dominika; Gnap, Jozef</t>
  </si>
  <si>
    <t>City Logistics as an Imperative Smart City Mechanism: Scrutiny of Clustered EU27 Capitals</t>
  </si>
  <si>
    <t>city logistics; cluster analysis; EU27; two-step cluster; congestions; sustainable transport</t>
  </si>
  <si>
    <t>URBAN FREIGHT TRANSPORT; TRAFFIC CONGESTION; IMPACT; SUSTAINABILITY; IMPLEMENTATION; CHALLENGES; MOBILITY; CITIES; ZONE</t>
  </si>
  <si>
    <t>In large urban agglomerations, various logistical problems arise due to high population density and deficient transport infrastructure. City logistics involves the efficient distribution of freight transport in urban areas and approaches to mitigate environmental impacts and traffic congestion. This paper aims to use a two-step cluster analytic approach to segmentation of EU27 capital cities based on their city logistics performance. To obtain primary outcomes, the log-likelihood measure in SPSS Statistics was used. The results can be used to identify the development and implementation of logistics measures in capitals across the EU. In addition to clustering, the statistical analysis evaluates the position of investigated cities concerning traffic congestions, and from an environmental point of view, the carbon dioxide produced from transport. The scrutiny delivers practical outlooks on how clustering can be undertaken and proves how the clusters can be used to plan city logistics and supply chain management. Finally, the paper deals with smart city indices from the perspective of sustainable mobility and examines its correlation with city logistics.</t>
  </si>
  <si>
    <t>[Skultety, Filip; Benova, Dominika; Gnap, Jozef] Univ Zilina, Fac Operat &amp; Econ Transport &amp; Commun, SK-01026 Zilina, Slovakia</t>
  </si>
  <si>
    <t>University of Zilina</t>
  </si>
  <si>
    <t>Skultéty, F (corresponding author), Univ Zilina, Fac Operat &amp; Econ Transport &amp; Commun, SK-01026 Zilina, Slovakia.</t>
  </si>
  <si>
    <t>filip.skultety@fpedas.uniza.sk; dominika.benova@fpedas.uniza.sk; jozef.gnap@fpedas.uniza.sk</t>
  </si>
  <si>
    <t>Skultety, Filip/P-2207-2016; Beňová, Dominika/AAD-2319-2021; Gnap, Jozef/B-9940-2017; Gnap, Jozef/AAF-2567-2021</t>
  </si>
  <si>
    <t>Skultety, Filip/0000-0003-1538-5532; Gnap, Jozef/0000-0002-0833-7850; Beňová, Dominika/0000-0002-6389-9557;</t>
  </si>
  <si>
    <t>Center of Excellence for Systems and Services of Intelligent Transport II - Research &amp; Development Operational Program [ITMS 26220120050]; Faculty of Operation and Economics of Transport and Communications, University of Zilina [3/KCMD/2020]; ERDF</t>
  </si>
  <si>
    <t>Center of Excellence for Systems and Services of Intelligent Transport II - Research &amp; Development Operational Program; Faculty of Operation and Economics of Transport and Communications, University of Zilina; ERDF(European Union (EU))</t>
  </si>
  <si>
    <t>This research was funded by the Center of Excellence for Systems and Services of Intelligent Transport II., ITMS 26220120050 supported by the Research &amp; Development Operational Program funded by the ERDF and also thanks to the project institutional research of the Faculty of Operation and Economics of Transport and Communications, University of Zilina no. 3/KCMD/2020 Research of selected aspects of transport services of cities and regions by passenger and freight transport.</t>
  </si>
  <si>
    <t>10.3390/su13073641</t>
  </si>
  <si>
    <t>RL3WE</t>
  </si>
  <si>
    <t>WOS:000638907100001</t>
  </si>
  <si>
    <t>Bogoyavlenska, Y; Persia, L; Bondarenko, K</t>
  </si>
  <si>
    <t>Bogoyavlenska, Yuliya; Persia, Luca; Bondarenko, Kateryna</t>
  </si>
  <si>
    <t>SMART-LOGISTICS FOR PEOPLE MANAGEMENT OF INNOVATIVE SMALL AND MEDIUM ENTERPRISES' DEVELOPMENT: AGILE METHODOLOGY</t>
  </si>
  <si>
    <t>ECONOMICS ECOLOGY SOCIUM</t>
  </si>
  <si>
    <t>smart-logistics; innovative development; small and medium enterprises; agile methodology</t>
  </si>
  <si>
    <t>Introduction. Innovative entrepreneurship is one of the applied spheres, in which the implementation of core competencies: knowledge and skills from other areas is complicated nowadays due to challenges and rapid changes. Management systems for small and medium-sized enterprises are not so classical now, but horizontal and, what most importantly - flexible, agile is. Thus, it is proposed to turn to modern models of people management to increase the effectiveness of companies and institutions for future economy development. Aim and tasks. The article appeals to management innovation and the use of the mobility gap as one of the most discussed economic problems that are necessary for the urban areas and require an appropriate solution development. The proposal is to use smart logistics for an effective people management system for innovative small and medium enterprises to zoom the weight of the cluster unit. The assertion that the increasing impact of horizontal management in outsourcing services is the way for further development and modernization of tax policy for the local economy. Results. In the nearest future, the character of the local economy will change as communities develops cities, improving the quality of life, ensuring safety and neighbourhood policy and stimulating creative development. And it will create opportunities for cutting-edge initiatives, entrepreneurship and local municipalities, as well as developing relationships and competencies based on innovation and creative interaction between stakeholders in the new digital reality, while remaining people-centred. It is proposed to introduce management innovations into the management system according to the developed model according to the agile method of modernization: to do - list; in progress and motivation; to verify - monitoring; done - analysis; and business scaling. And to customize services, it is necessary the high quality achieving, speed that meets the needs of the market, and the quick creating of unique innovations. Conclusions. This methodology has been tested by the project - Erasmus 2020, despite the lockdown conditions, by the open data project  City Code with the aim of creating conditions for sustainable urban development by combining: talents, technologies, tolerance, and should be used to people management of small and medium-sized innovative enterprises.</t>
  </si>
  <si>
    <t>[Bogoyavlenska, Yuliya; Bondarenko, Kateryna] Zhytomyr Polytech State Univ, Zhytomyr, Ukraine; [Persia, Luca] Sapienza Univ Rome, Transport Policies &amp; Rd Safety Civil, Rome, Italy</t>
  </si>
  <si>
    <t>Ministry of Education &amp; Science of Ukraine; Zhytomyr Polytechnic State University; Sapienza University Rome</t>
  </si>
  <si>
    <t>Bogoyavlenska, Y (corresponding author), Zhytomyr Polytech State Univ, Zhytomyr, Ukraine.</t>
  </si>
  <si>
    <t>yubogoyavlenska@gmail.com; luca.persia@uniroma1.it; kateryna_only_bondarenko@ukr.net</t>
  </si>
  <si>
    <t>Bogoyavlenska, Yuliya/KBF-7279-2024</t>
  </si>
  <si>
    <t>Bogoyavlenska, Yuliya/0000-0003-4101-7127; Persia, Luca/0000-0002-6597-5285</t>
  </si>
  <si>
    <t>Dr. Viktor Koval</t>
  </si>
  <si>
    <t>Odessa</t>
  </si>
  <si>
    <t>Inglezi, 6, Odessa, UKRAINE</t>
  </si>
  <si>
    <t>2616-7107</t>
  </si>
  <si>
    <t>ECON ECOL SOC</t>
  </si>
  <si>
    <t>Econ. Ecol. Soc.</t>
  </si>
  <si>
    <t>10.31520/2616-7107/2020.4.4-2</t>
  </si>
  <si>
    <t>Business; Economics</t>
  </si>
  <si>
    <t>VL5PD</t>
  </si>
  <si>
    <t>WOS:000881407800002</t>
  </si>
  <si>
    <t>Cheela, VRS; Ranjan, VP; Goel, S; John, M; Dubey, B</t>
  </si>
  <si>
    <t>Cheela, V. R. Sankar; Ranjan, Ved Prakash; Goel, Sudha; John, Michele; Dubey, Brajesh</t>
  </si>
  <si>
    <t>Pathways to sustainable waste management in Indian Smart Cities</t>
  </si>
  <si>
    <t>JOURNAL OF URBAN MANAGEMENT</t>
  </si>
  <si>
    <t>Solid waste management; Smart cities; Waste management index; Source segregation; Clean India Mission</t>
  </si>
  <si>
    <t>To develop intelligent and sustainable cities, the government of India launched initiatives like Smart Cities and the Clean Development Mission. Solid waste management (SWM) has become one of the primarily focused areas of such initiatives. The changing dynamics of urban waste characteristics due to unplanned urbanization and rapid growth in urban populations (due to migration) has been a significant concern for local authorities in urban areas to develop an effective SWM plan. The development of a long-term SWM plan along the line of the government initiatives' objectives requires understanding the waste quantities, characteristics, and existing waste management practices. This paper presents an overview of existing waste management activities, financial and institutional demographics in six selected Indian Smart Cities, and the field studies to assess SWM systems as per the waste management rules. The study involved a participatory approach to collect data from local bodies and stakeholders. Indicative strategies for the development of waste management systems were formulated based on the outputs of this analysis. Discussion on pathways includes waste characterization, funding sources, data technologies, and service level benchmarking to plan an integrated solid waste management system for a Smart City. The outcomes of this study shall equip local authorities in designing waste systems to accelerate the transition towards innovative and sustainable waste systems.</t>
  </si>
  <si>
    <t>[Cheela, V. R. Sankar; Ranjan, Ved Prakash; Goel, Sudha; Dubey, Brajesh] Indian Inst Technol Kharagpur, Dept Civil Engn, Environm Engn &amp; Management, Kharagpur 721302, W Bengal, India; [Cheela, V. R. Sankar; John, Michele] Curtin Univ, Sustainable Engn Grp, Perth, WA 6102, Australia</t>
  </si>
  <si>
    <t>Indian Institute of Technology System (IIT System); Indian Institute of Technology (IIT) - Kharagpur; Curtin University</t>
  </si>
  <si>
    <t>Dubey, B (corresponding author), Indian Inst Technol Kharagpur, Dept Civil Engn, Environm Engn &amp; Management, Kharagpur 721302, W Bengal, India.</t>
  </si>
  <si>
    <t>bkdubey@civil.iitkgp.ac.in</t>
  </si>
  <si>
    <t>Ranjan, Ved/ISS-2431-2023; goel, sudha/I-8209-2019; Cheela, V/ABA-3786-2020; Goel, Sudha/I-8209-2019; Dubey, Brajesh/AAJ-4555-2020</t>
  </si>
  <si>
    <t>goel, sudha/0000-0001-7886-9441;</t>
  </si>
  <si>
    <t>Ministry of Education, Government of India</t>
  </si>
  <si>
    <t>The authors are thankful to Ministry of Education, Government of India, for financially supporting the research. The authors are grateful to the following members for their support and suggestions in collection of data from the respective ULBs: Sri Hari Narayan, Commissioner, GVMC; Dr Hemanth Kumar, Chief Medical Officer (Health), GVMC; Sri Prashant Panday, Senior Deputy Director, AMC; Dr Himmath Singh, Health officer, UMC; Dr Dinesh Kumar, North Delhi, DMC; Sri Manish Singh, Commissioner, IMC; Smt. Chavvi Bharadwaj, Commissioner, BMC. Acknowledgements are also due to Rajesh Kola for supporting us all throughout the Survey.</t>
  </si>
  <si>
    <t>2226-5856</t>
  </si>
  <si>
    <t>2589-0360</t>
  </si>
  <si>
    <t>J URBAN MANAG</t>
  </si>
  <si>
    <t>J. Urban Manag.</t>
  </si>
  <si>
    <t>10.1016/j.jum.2021.05.002</t>
  </si>
  <si>
    <t>NOV 2021</t>
  </si>
  <si>
    <t>YV0EV</t>
  </si>
  <si>
    <t>WOS:000752407200010</t>
  </si>
  <si>
    <t>Gondal, AU; Sadiq, MI; Ali, T; Irfan, M; Shaf, A; Aamir, M; Shoaib, M; Glowacz, A; Tadeusiewicz, R; Kantoch, E</t>
  </si>
  <si>
    <t>Gondal, Ali Usman; Sadiq, Muhammad Imran; Ali, Tariq; Irfan, Muhammad; Shaf, Ahmad; Aamir, Muhammad; Shoaib, Muhammad; Glowacz, Adam; Tadeusiewicz, Ryszard; Kantoch, Eliasz</t>
  </si>
  <si>
    <t>Real Time Multipurpose Smart Waste Classification Model for Efficient Recycling in Smart Cities Using Multilayer Convolutional Neural Network and Perceptron</t>
  </si>
  <si>
    <t>SENSORS</t>
  </si>
  <si>
    <t>deep learning; multilayer convolutional neural network (ML-CNN); multilayer perceptron; waste classification</t>
  </si>
  <si>
    <t>Urbanization is a big concern for both developed and developing countries in recent years. People shift themselves and their families to urban areas for the sake of better education and a modern lifestyle. Due to rapid urbanization, cities are facing huge challenges, one of which is waste management, as the volume of waste is directly proportional to the people living in the city. The municipalities and the city administrations use the traditional wastage classification techniques which are manual, very slow, inefficient and costly. Therefore, automatic waste classification and management is essential for the cities that are being urbanized for the better recycling of waste. Better recycling of waste gives the opportunity to reduce the amount of waste sent to landfills by reducing the need to collect new raw material. In this paper, the idea of a real-time smart waste classification model is presented that uses a hybrid approach to classify waste into various classes. Two machine learning models, a multilayer perceptron and multilayer convolutional neural network (ML-CNN), are implemented. The multilayer perceptron is used to provide binary classification, i.e., metal or non-metal waste, and the CNN identifies the class of non-metal waste. A camera is placed in front of the waste conveyor belt, which takes a picture of the waste and classifies it. Upon successful classification, an automatic hand hammer is used to push the waste into the assigned labeled bucket. Experiments were carried out in a real-time environment with image segmentation. The training, testing, and validation accuracy of the purposed model was 0.99% under different training batches with different input features.</t>
  </si>
  <si>
    <t>[Gondal, Ali Usman; Sadiq, Muhammad Imran; Ali, Tariq; Shaf, Ahmad; Aamir, Muhammad; Shoaib, Muhammad] COMSATS Univ Islamabad, Dept Comp Sci, Sahiwal Campus, Sahiwal 57000, Pakistan; [Irfan, Muhammad] Najran Univ Saudi Arabia, Coll Engn, Elect Engn Dept, Najran 61441, Saudi Arabia; [Glowacz, Adam] AGH Univ Sci &amp; Technol, Fac Elect Engn Automat Comp Sci &amp; Biomed Engn, Dept Automat Control &amp; Robot, Al A Mickiewicza 30, PL-30059 Krakow, Poland; [Tadeusiewicz, Ryszard; Kantoch, Eliasz] AGH Univ Sci &amp; Technol, Fac Elect Engn Automat Comp Sci &amp; Biomed Engn, Dept Biocybernet &amp; Biomed Engn, Al A Mickiewicza 30, PL-30059 Krakow, Poland</t>
  </si>
  <si>
    <t>COMSATS University Islamabad (CUI); Najran University; AGH University of Krakow; AGH University of Krakow</t>
  </si>
  <si>
    <t>Ali, T (corresponding author), COMSATS Univ Islamabad, Dept Comp Sci, Sahiwal Campus, Sahiwal 57000, Pakistan.</t>
  </si>
  <si>
    <t>ali.usman32332@gmail.com; imransadiq0022@gmail.com; tariqali@cuisahiwal.edu.pk; miditta@nu.edu.sa; ahmadshaf@cuisahiwal.edu.pk; muhammadaamir@cuisahiwal.edu.pk; mshoaib@cuisahiwal.edu.pk; adglow@agh.edu.pl; rtad@agh.edu.pl; kantoch@agh.edu.pl</t>
  </si>
  <si>
    <t>Glowacz, Adam/N-6462-2013; ALI, TARIQ/AFL-3332-2022; Usman, Ali/KFA-4485-2024; Irfan, Muhammad/AAB-6847-2019; Kantoch, Eliasz/I-7325-2013; Shoaib, Muhammad/I-8187-2013</t>
  </si>
  <si>
    <t>Glowacz, Adam/0000-0003-0546-7083; Aamir, Muhammad/0000-0003-0580-3921; Shaf, Ahmad/0000-0002-0633-5587; Kantoch, Eliasz/0000-0003-1115-6177; Tadeusiewicz, Ryszard/0000-0001-9675-5819; Irfan, Muhammad/0000-0003-4161-6875;</t>
  </si>
  <si>
    <t>AGH University of Science and Technology [16.16.120.773]</t>
  </si>
  <si>
    <t>AGH University of Science and Technology</t>
  </si>
  <si>
    <t>This research was funded by the AGH University of Science and Technology, grant No. 16.16.120.773.</t>
  </si>
  <si>
    <t>1424-8220</t>
  </si>
  <si>
    <t>SENSORS-BASEL</t>
  </si>
  <si>
    <t>Sensors</t>
  </si>
  <si>
    <t>JUL</t>
  </si>
  <si>
    <t>10.3390/s21144916</t>
  </si>
  <si>
    <t>Chemistry, Analytical; Engineering, Electrical &amp; Electronic; Instruments &amp; Instrumentation</t>
  </si>
  <si>
    <t>Chemistry; Engineering; Instruments &amp; Instrumentation</t>
  </si>
  <si>
    <t>TO7VK</t>
  </si>
  <si>
    <t>WOS:000677113900001</t>
  </si>
  <si>
    <t>Marzouk, M; Othman, A</t>
  </si>
  <si>
    <t>Marzouk, Mohamed; Othman, Ahmed</t>
  </si>
  <si>
    <t>Planning utility infrastructure requirements for smart cities using the integration between BIM and GIS</t>
  </si>
  <si>
    <t>Smart cities development; Building information modeling (BIM); Utility planning</t>
  </si>
  <si>
    <t>INFORMATION MODELING BIM; PERFORMANCE; FRAMEWORK</t>
  </si>
  <si>
    <t>Rapid urbanization is one of the present characteristics in both developed and developing countries. It is projected that by 2050 around 68 % of the world's population shall live in urban areas. As a result, many city development initiatives are proposed by various research centers or through academia to aid in managing the process. One of the most evolving concepts through the past two decades is Smart Cities. The concept of smart cities has been defined and formulated by many research efforts and organizations. However, most of these definitions and initiatives focus on the operation stage of the city. This paper proposes an inclusive framework for integrating Building Information Modeling (BIM) and Geographical Information System (GIS) to plan and forecast the utility infrastructure needs for expanding and emerging cities to highlight the concept of smartness during the planning stage. The considered infrastructure needs are freshwater consumption, sewage capacity and electrical energy requirements. Firstly, the city is broken down into several districts, lands and plots. Afterwards, through the assignment of relevant land use, building type information and various other information, an interactive tool is originated to allow for the formulation of different city development schemes and the representation of their respective resulting infrastructure needs. The framework is targeted to be flexible enough in order to be applied to any city, not just a single case as smart city solutions need to adopt to diverse cities' needs. The proposed framework is advocated to enforce the concept of both smart and sustainable cities by taking a closer look at the city's planning and development stages and infrastructure requirements which shape a sizable part of the city's performance throughout its expansion and development. It can also serve as a decision support tool for better planning and management of smart city infrastructure requirements. Finally, a case study is represented to demonstrate the practical features of the proposed framework.</t>
  </si>
  <si>
    <t>[Marzouk, Mohamed; Othman, Ahmed] Cairo Univ, Fac Engn, Cairo, Egypt</t>
  </si>
  <si>
    <t>Egyptian Knowledge Bank (EKB); Cairo University</t>
  </si>
  <si>
    <t>Othman, A (corresponding author), Cairo Univ, Fac Engn, Cairo, Egypt.</t>
  </si>
  <si>
    <t>ahmed_akmal@ymail.com</t>
  </si>
  <si>
    <t>Marzouk, Mohamed/AAA-2717-2021; Othman, Azizi/D-9207-2017</t>
  </si>
  <si>
    <t>10.1016/j.scs.2020.102120</t>
  </si>
  <si>
    <t>LO3GY</t>
  </si>
  <si>
    <t>WOS:000533518300005</t>
  </si>
  <si>
    <t>Figueiredo, I; Esteves, P; Cabrita, P</t>
  </si>
  <si>
    <t>CruzCunha, MM; Martinho, R; Rijo, R; MateusCoelho, N; Domingos, D; Peres, E</t>
  </si>
  <si>
    <t>Figueiredo, Ines; Esteves, Paulo; Cabrita, Paulo</t>
  </si>
  <si>
    <t>Water wise - a digital water solution for smart cities and water management entities</t>
  </si>
  <si>
    <t>INTERNATIONAL CONFERENCE ON ENTERPRISE INFORMATION SYSTEMS / INTERNATIONAL CONFERENCE ON PROJECT MANAGEMENT / INTERNATIONAL CONFERENCE ON HEALTH AND SOCIAL CARE INFORMATION SYSTEMS AND TECHNOLOGIES 2020 (CENTERIS/PROJMAN/HCIST 2020)</t>
  </si>
  <si>
    <t>Procedia Computer Science</t>
  </si>
  <si>
    <t>International Conference on ENTERprise Information Systems (CENTERIS) / International Conference on Project MANagement (ProjMAN) / International Conference on Health and Social Care Information Systems and Technologies (HCist)</t>
  </si>
  <si>
    <t>OCT 21-23, 2020</t>
  </si>
  <si>
    <t>Vilamoura, PORTUGAL</t>
  </si>
  <si>
    <t>digital water; water utility; water distribution systems; climate change; smart city; SCADA; Deep Learning; Machine Learning; Big Data</t>
  </si>
  <si>
    <t>Efficient water management of the urban water cycle is one of the current concerns with the increase of (peri) urban areas due to the population growth, economic development, and possibility of water scarcity due to climate change. To face the increase of the water demand it is imperative the creation of digital water solutions to provide a real-time monitoring, decision support system, to manage the water supply network efficiently and optimize the water-energy nexus. This paper presents a Water Wise System W2S, results from a R&amp;D project supported by an EU and Portuguese Government Grant. The paper provides a preliminary study of an architecture solution to Water Wise System software, focuses on the water challenges, present technology, digital water, IoT and the future of smart cities. The solution aims to support a paradigm shift in the management of water distribution networks, with predictive and analytical convergence supported in Machine Learning, Deep Learning and an integration with SCADA, GIS and EPANET. (C) 2021 The Authors. Published by Elsevier B.V.</t>
  </si>
  <si>
    <t>[Figueiredo, Ines; Esteves, Paulo; Cabrita, Paulo] Wakaru Consulting Lda, Rua Dr Gomes Leal 3-A, P-2560331 Torres Vedras, Portugal</t>
  </si>
  <si>
    <t>Figueiredo, I (corresponding author), Wakaru Consulting Lda, Rua Dr Gomes Leal 3-A, P-2560331 Torres Vedras, Portugal.</t>
  </si>
  <si>
    <t>ines.figueiredo@wakaru.eu</t>
  </si>
  <si>
    <t>; Cabrita, Paulo/ACT-1468-2022</t>
  </si>
  <si>
    <t>Figueiredo, Inês/0000-0002-3582-8663;</t>
  </si>
  <si>
    <t>European Union: ERDF</t>
  </si>
  <si>
    <t>European Union: ERDF(European Union (EU))</t>
  </si>
  <si>
    <t>The concept of this manuscript was developed while the authors were developing the solution W2S: Water Wise System. The development of W2S was under the P2020 program; Compete2020 and ERDF (FEDR) with the following focus and classification: Operational Program: Operational Program Competitiveness and Internationalization; Thematic Objective: OT1 -Strengthening research, technological development and innovation; Investment Priority: PI 1.2 -Promoting business investment in Innovation, R &amp; D; Typology of Intervention: IT 47 -Business R&amp;D Activities; Financial support from the European Union: ERDF.</t>
  </si>
  <si>
    <t>1877-0509</t>
  </si>
  <si>
    <t>PROCEDIA COMPUT SCI</t>
  </si>
  <si>
    <t>10.1016/j.procs.2021.01.245</t>
  </si>
  <si>
    <t>Computer Science, Information Systems; Computer Science, Theory &amp; Methods; Information Science &amp; Library Science; Management; Operations Research &amp; Management Science; Medical Informatics</t>
  </si>
  <si>
    <t>Computer Science; Information Science &amp; Library Science; Business &amp; Economics; Operations Research &amp; Management Science; Medical Informatics</t>
  </si>
  <si>
    <t>BR5HQ</t>
  </si>
  <si>
    <t>WOS:000655346400110</t>
  </si>
  <si>
    <t>Xia, X; Wu, XG; BalaMurugan, S; Karuppiah, M</t>
  </si>
  <si>
    <t>Xia, Xiao; Wu, Xingguo; BalaMurugan, S.; Karuppiah, Marimuthu</t>
  </si>
  <si>
    <t>Effect of environmental and social responsibility in energy-efficient management models for smart cities infrastructure</t>
  </si>
  <si>
    <t>SUSTAINABLE ENERGY TECHNOLOGIES AND ASSESSMENTS</t>
  </si>
  <si>
    <t>Smart city; Energy management; Passive; Active; Energy protection</t>
  </si>
  <si>
    <t>CHALLENGES; SYSTEMS; TRENDS</t>
  </si>
  <si>
    <t>A Smart city is a safe and productive urban centre that offers its people a high quality of life through optimized resource management. The sophistication of the energy networks and their critical function make energy management one of the most challenging urban centers' problems. The essential methods are widely used to determine intelligent technologies' technical and policy impacts for modeling and simulation Planning to move from existing towns to smarter ones. Energy consumption has been increasing due to the growing population and intensified in dense metropolitan centres. It has changed Energy consumption, resulting in a strong demand for oil and electricity and more pollutants and heat production in these urban areas. This paper looks at energy-related work on smart city models and planning by classifying their spectrum based on active and passive approaches and infrastructure management models. The purpose of this paper is to examine economic performance determinants and to determine the energy protection requirements of smart cities for efficient energy management based on active and passive models. Further, the paper's principal approaches include the economic study of upgrades to infrastructure, leading to a decline in the smart cities' energy demand identified by the street lighting intelligent diode (LED). Our results indicate that smart city models are designed to pursue alternatives to promote more clean energy sources on grids with smart linked urban energy storage systems. Our findings may be of great concern to city planners, municipal residents, and urban decision-makers interested in smart cities' design and operation.</t>
  </si>
  <si>
    <t>[Xia, Xiao] Dongguan Polytech, Dev Res Ctr Dongguan Econ Soc &amp; Vocat Educ, Dongguan 523808, Peoples R China; [Wu, Xingguo] Dongguan Polytech, Dept Finance, Dongguan 523808, Peoples R China; [BalaMurugan, S.] IRCS, Res &amp; Dev, Delhi, India; [Karuppiah, Marimuthu] SRM Inst Sci &amp; Technol, Dept Comp Sci &amp; Engn, Delhi NCR Campus, Ghaziabad 201204, Uttar Pradesh, India</t>
  </si>
  <si>
    <t>Dongguan Polytechnic; Dongguan Polytechnic; SRM Institute of Science &amp; Technology Delhi NCR (Ghaziabad)</t>
  </si>
  <si>
    <t>Wu, XG (corresponding author), Dongguan Polytech, Dept Finance, Dongguan 523808, Peoples R China.</t>
  </si>
  <si>
    <t>wxg316@hotmail.com</t>
  </si>
  <si>
    <t>Karuppiah, Marimuthu/B-2653-2018</t>
  </si>
  <si>
    <t>Karuppiah, Marimuthu/0000-0001-7379-2641</t>
  </si>
  <si>
    <t>Government-School-Business-Enterprise Collaboration Project 'Social Work Service and Evaluation for the Elderly in Dongguan' [G201724]</t>
  </si>
  <si>
    <t>Government-School-Business-Enterprise Collaboration Project 'Social Work Service and Evaluation for the Elderly in Dongguan'</t>
  </si>
  <si>
    <t>Fund projects This work was supported in part by the Government-School-Business-Enterprise Collaboration Project 'Social Work Service and Evaluation for the Elderly in Dongguan' under Grant G201724.</t>
  </si>
  <si>
    <t>2213-1388</t>
  </si>
  <si>
    <t>2213-1396</t>
  </si>
  <si>
    <t>SUSTAIN ENERGY TECHN</t>
  </si>
  <si>
    <t>Sustain. Energy Technol. Assess.</t>
  </si>
  <si>
    <t>10.1016/j.seta.2021.101525</t>
  </si>
  <si>
    <t>AUG 2021</t>
  </si>
  <si>
    <t>Green &amp; Sustainable Science &amp; Technology; Energy &amp; Fuels</t>
  </si>
  <si>
    <t>Science &amp; Technology - Other Topics; Energy &amp; Fuels</t>
  </si>
  <si>
    <t>WM6SR</t>
  </si>
  <si>
    <t>WOS:000711213700005</t>
  </si>
  <si>
    <t>Hoang, NT</t>
  </si>
  <si>
    <t>Hoang, Nguyen-Tung</t>
  </si>
  <si>
    <t>Sustainable Development of Shophouses in Hanoi's New Urban Areas towards Smart City Criteria</t>
  </si>
  <si>
    <t>INTERNATIONAL JOURNAL OF SUSTAINABLE CONSTRUCTION ENGINEERING AND TECHNOLOGY</t>
  </si>
  <si>
    <t>Shophouse; sustainable shophouse development; new urban area; Hanoi; pedestrian zone; smart city</t>
  </si>
  <si>
    <t>Developing sustainably and becoming a smart city is a long-term and strategic orientation of Hanoi. Shophouses, which are multi-function urban houses, converge many factors that strongly support sustainable development of Hanoi such as providing high quality residential areas; helping create diverse and lively communities, touristic attractiveness, conditions for sustainable management of resources and energy efficiency, etc. With various economic activities, shophouses also have lots of potentials in development towards smart cities such as lively and safe pedestrian zones, abilities to transform, local and supra-local accessibility, reasonable density of construction and population, etc. Analyses and studies show that in order to sustainably develop shophouses in new urban areas of Hanoi, it is necessary to solve existing problems of the constitutional system, the socio-economy, living space quality and management of the shophouse neighbourhoods. Notably, the criteria for smart city development are closely related to the above-mentioned issues. Proposals have been made based on studying the core values of shophouses and historical research of architecture in the Southeast Asia region. In addition to the proposals on improving the constitution and urban design solutions, the proposals on digitization of shophouse projects are submitted for the sustainable development towards smart cities development.</t>
  </si>
  <si>
    <t>[Hoang, Nguyen-Tung] Natl Univ Civil Engn, Fac Architecture &amp; Planning, 55 Giai Phong Rd, Hanoi 10000, Vietnam</t>
  </si>
  <si>
    <t>National University of Civil Engineering</t>
  </si>
  <si>
    <t>Hoang, NT (corresponding author), Natl Univ Civil Engn, Fac Architecture &amp; Planning, 55 Giai Phong Rd, Hanoi 10000, Vietnam.</t>
  </si>
  <si>
    <t>tunghn@nuce.edu.vn</t>
  </si>
  <si>
    <t>The authors would like to thank and acknowledge National University of Civil Engineering for all kind of supports.</t>
  </si>
  <si>
    <t>UNIV TUN HUSSEIN ONN MALAYSIA</t>
  </si>
  <si>
    <t>JOHOR</t>
  </si>
  <si>
    <t>86400 PARIT RAJA, BATU PAHAT, JOHOR, 00000, MALAYSIA</t>
  </si>
  <si>
    <t>2180-3242</t>
  </si>
  <si>
    <t>INT J SUSTAIN CONSTR</t>
  </si>
  <si>
    <t>Int. J. Sustain. Constr. Eng Technol.</t>
  </si>
  <si>
    <t>10.30880/ijscet.2021.12.05.001</t>
  </si>
  <si>
    <t>Construction &amp; Building Technology</t>
  </si>
  <si>
    <t>2P0XE</t>
  </si>
  <si>
    <t>WOS:000819474100001</t>
  </si>
  <si>
    <t>Alqahtani, F; Al-Makhadmeh, Z; Tolba, A; Said, W</t>
  </si>
  <si>
    <t>Alqahtani, Fayez; Al-Makhadmeh, Zafer; Tolba, Amr; Said, Wael</t>
  </si>
  <si>
    <t>Internet of things-based urban waste management system for smart cities using a Cuckoo Search Algorithm</t>
  </si>
  <si>
    <t>CLUSTER COMPUTING-THE JOURNAL OF NETWORKS SOFTWARE TOOLS AND APPLICATIONS</t>
  </si>
  <si>
    <t>Urban computing; Internet of things; Waste management process; Cuckoo search optimization; Neural networks</t>
  </si>
  <si>
    <t>OPTIMIZATION</t>
  </si>
  <si>
    <t>Waste management is one of the crucial issues in the creation of smart cities. Because of population growth, keeping urban areas clean is a challenge. The Internet of things (IoT) has played a vital role in urban computing because it facilitates the collection, integration, and processing of various types of information. Thus, the aim of this research is to develop an Internet of Things-Based Urban Waste Management System. IoT devices hav been used to monitor human activity and to support waste management. Information about a city was collected and processed in a cuckoo search-optimized long short-term recurrent neural network. The network facilitated the analysis of the waste type, truck size, and waste source. This information alerted the waste management centers so that the appropriate actions could be taken. The efficiency of this IoT-based waste management process was evaluated through an experimental analysis. The system was found to ensure that the bins were processed on a priority basis with minimum error (0.16) and maximum accuracy (98.4%) in the minimum amount of time (15 min).</t>
  </si>
  <si>
    <t>[Alqahtani, Fayez; Al-Makhadmeh, Zafer; Tolba, Amr] King Saud Univ, Community Coll, Comp Sci Dept, Riyadh 11437, Saudi Arabia; [Tolba, Amr] Menoufia Univ, Fac Sci, Math &amp; Comp Sci Dept, Shibin Al Kawm 32511, Egypt; [Said, Wael] Zagazig Univ, Fac Comp &amp; Informat, Comp Sci Dept, Zagazig 44511, Egypt</t>
  </si>
  <si>
    <t>King Saud University; Egyptian Knowledge Bank (EKB); Menofia University; Egyptian Knowledge Bank (EKB); Zagazig University</t>
  </si>
  <si>
    <t>Al-Makhadmeh, Z (corresponding author), King Saud Univ, Community Coll, Comp Sci Dept, Riyadh 11437, Saudi Arabia.</t>
  </si>
  <si>
    <t>zalmakhadmee@ksu.edu.sa</t>
  </si>
  <si>
    <t>Tolba, Amr/O-8464-2016; Tolba, Amr/O-8464-2016; Said, wael/HZK-3491-2023</t>
  </si>
  <si>
    <t>Tolba, Amr/0000-0003-3439-6413; Tolba, Amr/0000-0003-3439-6413; Mohamed, Wael Said Abdelmageed/0000-0001-8623-6847;</t>
  </si>
  <si>
    <t>Deanship of Scientific Research at King Saud University, Saudi Arabia [RG-1439-088]</t>
  </si>
  <si>
    <t>Deanship of Scientific Research at King Saud University, Saudi Arabia(King Faisal UniversityKing Saud University)</t>
  </si>
  <si>
    <t>The authors extend their appreciation to the Deanship of Scientific Research at King Saud University, Saudi Arabia for funding this work through Research Group No. RG-1439-088.</t>
  </si>
  <si>
    <t>ONE NEW YORK PLAZA, SUITE 4600, NEW YORK, NY, UNITED STATES</t>
  </si>
  <si>
    <t>1386-7857</t>
  </si>
  <si>
    <t>1573-7543</t>
  </si>
  <si>
    <t>CLUSTER COMPUT</t>
  </si>
  <si>
    <t>Cluster Comput.</t>
  </si>
  <si>
    <t>10.1007/s10586-020-03126-x</t>
  </si>
  <si>
    <t>MAY 2020</t>
  </si>
  <si>
    <t>Computer Science, Information Systems; Computer Science, Theory &amp; Methods</t>
  </si>
  <si>
    <t>PQ3CG</t>
  </si>
  <si>
    <t>WOS:000533486900001</t>
  </si>
  <si>
    <t>Neghabadi, PD; Samuel, KE; Espinouse, ML</t>
  </si>
  <si>
    <t>Neghabadi, Parisa Dolati; Samuel, Karine Evrard; Espinouse, Marie-Laure</t>
  </si>
  <si>
    <t>Systematic literature review on city logistics: overview, classification and analysis</t>
  </si>
  <si>
    <t>INTERNATIONAL JOURNAL OF PRODUCTION RESEARCH</t>
  </si>
  <si>
    <t>city logistics; urban logistics; bibliometric analysis; systematic literature review; literature classification</t>
  </si>
  <si>
    <t>URBAN CONSOLIDATION CENTER; VEHICLE-ROUTING PROBLEM; BATTERY ELECTRIC VEHICLES; OFF-HOUR DELIVERIES; FREIGHT TRANSPORT; ENVIRONMENTAL IMPACTS; SATELLITE LOCATION; GOVERNANCE MODEL; GOODS MOVEMENTS; POLICY MEASURES</t>
  </si>
  <si>
    <t>City logistics is one of the significant branches of supply chain management, dealing with the logistics and transportation activities in urban areas. This research area has recently appropriated an exponential growth of publications. This paper presents a bibliometric analysis along with a systematic literature review to organise the results of surveying more than 370 papers and research works published since 2010. We identify the top contributing research topics. The most common keywords used in the city logistics literature are referred to in order to propose six research categories identifying the main innovative research perspectives.</t>
  </si>
  <si>
    <t>[Neghabadi, Parisa Dolati; Espinouse, Marie-Laure] Univ Grenoble Alpes, CNRS, Grenoble INP, Inst Engn,G SCOP, F-38000 Grenoble, France; [Samuel, Karine Evrard] Univ Grenoble Alpes, Grenoble INP, Inst Engn, CERAG, F-38000 Grenoble, France</t>
  </si>
  <si>
    <t>Communaute Universite Grenoble Alpes; Institut National Polytechnique de Grenoble; Universite Grenoble Alpes (UGA); Centre National de la Recherche Scientifique (CNRS); Communaute Universite Grenoble Alpes; Institut National Polytechnique de Grenoble; Universite Grenoble Alpes (UGA); Centre National de la Recherche Scientifique (CNRS)</t>
  </si>
  <si>
    <t>Neghabadi, PD (corresponding author), Univ Grenoble Alpes, CNRS, Grenoble INP, Inst Engn,G SCOP, F-38000 Grenoble, France.</t>
  </si>
  <si>
    <t>parisa.dolatineghabadi@grenoble-inp.fr</t>
  </si>
  <si>
    <t>DOLATI NEGHABADI, Parisa/MHQ-1742-2025; Evrard Samuel, Karine/B-7668-2016; Espinouse, Marie-Laure/HKO-2093-2023</t>
  </si>
  <si>
    <t>Evrard Samuel, Karine/0000-0001-6475-8927; Espinouse, Marie-Laure/0000-0003-0120-661X</t>
  </si>
  <si>
    <t>Academic Research Communities (ARC8), Rhone-Alpes, France [15008354-01]</t>
  </si>
  <si>
    <t>Academic Research Communities (ARC8), Rhone-Alpes, France</t>
  </si>
  <si>
    <t>This research was supported by the Academic Research Communities (ARC8), Rhone-Alpes, France [N degrees 15008354-01].</t>
  </si>
  <si>
    <t>0020-7543</t>
  </si>
  <si>
    <t>1366-588X</t>
  </si>
  <si>
    <t>INT J PROD RES</t>
  </si>
  <si>
    <t>Int. J. Prod. Res.</t>
  </si>
  <si>
    <t>FEB 1</t>
  </si>
  <si>
    <t>10.1080/00207543.2018.1489153</t>
  </si>
  <si>
    <t>Engineering, Industrial; Engineering, Manufacturing; Operations Research &amp; Management Science</t>
  </si>
  <si>
    <t>HO0XW</t>
  </si>
  <si>
    <t>WOS:000460630300013</t>
  </si>
  <si>
    <t>Temeljotov-Salaj, A; Bogataj, D</t>
  </si>
  <si>
    <t>Temeljotov-Salaj, Alenka; Bogataj, David</t>
  </si>
  <si>
    <t>Application of Assistive Technologies in Smart Cities</t>
  </si>
  <si>
    <t>2021 29TH MEDITERRANEAN CONFERENCE ON CONTROL AND AUTOMATION (MED)</t>
  </si>
  <si>
    <t>Mediterranean Conference on Control and Automation</t>
  </si>
  <si>
    <t>29th Mediterranean Conference on Control and Automation (MED)</t>
  </si>
  <si>
    <t>JUN 22-25, 2021</t>
  </si>
  <si>
    <t>Puglia, ITALY</t>
  </si>
  <si>
    <t>assistive technologies; ageing; long-term care; smart city; community; facility management</t>
  </si>
  <si>
    <t>MONITORING-SYSTEM; IMPACT; INVESTMENTS; SUPPORT; RECOGNITION; FACILITIES; ANALYTICS; FRAMEWORK; LOCATION; DELAYS</t>
  </si>
  <si>
    <t>Urban areas in the European Union (EU) are ageing fast. As part of the Operational Programme for the Implementation of the European Cohesion Policy for the period 2014-2020, some EU member-states have prioritised promoting the availability of affordable, sustainable and high-quality services, including health and social services for old and very old inhabitants. These services include long-term care. Until now, the critical issue that has not been answered is how to develop a quantitative model for measuring the quality of nursing and social care services for the elderly and how to plan social facilities for the elderly that will be available following the demand. Many EU member states do not have a compact system for the regulation of long-term care. Services and rights are arising from various existing systems. Often these are health, pension and disability insurance-as well as from the social welfare system. Given the demographic structure and projections developed by the European Commission and presented in The Ageing Report 2021, there is a need for reform that will enable the establishment of a uniform system of high-quality community-based services for the ageing and for those that need institutional forms of care. Some EU member states are preparing new legislation in the field of long-term care (LTC). It has to take into consideration the different types of social facilities where LTC services will be provided. These activities require the development of models for projections of needs and eligibility for integrated health and social services, monitoring of recipients of services and funds for LTC, and coordinating the development of integrated community-based activities. In the paper, we review the literature, highlight the gaps and propose future research agenda towards these achievements.</t>
  </si>
  <si>
    <t>[Temeljotov-Salaj, Alenka] Norwegian Univ Sci &amp; Technol, Dept Civil &amp; Environm Engn, Trondheim, Norway; [Bogataj, David] Univ Ljubljana, SEB, Ljubljana, Slovenia; [Bogataj, David] Inst INRISK CERRISK, Ljubljana, Slovenia</t>
  </si>
  <si>
    <t>Norwegian University of Science &amp; Technology (NTNU); University of Ljubljana</t>
  </si>
  <si>
    <t>Temeljotov-Salaj, A (corresponding author), Norwegian Univ Sci &amp; Technol, Dept Civil &amp; Environm Engn, Trondheim, Norway.</t>
  </si>
  <si>
    <t>alenka.temeljotov-salaj@ntnu.no; david.bogataj@ef.uni-lj.si</t>
  </si>
  <si>
    <t>Bogataj, David/G-2980-2017; Salaj, Alenka/AAI-9208-2020</t>
  </si>
  <si>
    <t>Bogataj, David/0000-0001-6901-4329;</t>
  </si>
  <si>
    <t>Slovenian Research Agency [J6-9396, P5-0364]</t>
  </si>
  <si>
    <t>Slovenian Research Agency(Slovenian Research Agency - Slovenia)</t>
  </si>
  <si>
    <t>The authors acknowledge the project J6-9396: DEVELOPMENT OF SOCIAL INFRASTRUCTURE AND SERVICES FOR COMMUNITY BASED LONG-TERM CARE was financially supported by the Slovenian Research Agency in the framework of the research core funding No. P5-0364.</t>
  </si>
  <si>
    <t>2325-369X</t>
  </si>
  <si>
    <t>978-1-6654-2258-1</t>
  </si>
  <si>
    <t>MED C CONTR AUTOMAT</t>
  </si>
  <si>
    <t>10.1109/MED51440.2021.9480281</t>
  </si>
  <si>
    <t>Automation &amp; Control Systems; Robotics</t>
  </si>
  <si>
    <t>BT2MW</t>
  </si>
  <si>
    <t>WOS:000811823100099</t>
  </si>
  <si>
    <t>Ullah, A; Khan, SH; Ullah, I; Mahmood, T; Nawazish, S; Ali, Z; Rehman, A</t>
  </si>
  <si>
    <t>Ullah, Amin; Khan, Saddam Hussain; Ullah, Irfan; Mahmood, Tariq; Nawazish, Samra; Ali, Zafar; Rehman, Amjad</t>
  </si>
  <si>
    <t>Toward sustainable smart cities: applications, challenges, and future directions</t>
  </si>
  <si>
    <t>INTERNATIONAL JOURNAL OF DATA SCIENCE AND ANALYTICS</t>
  </si>
  <si>
    <t>Sustainable smart cities; Deep learning; Federated learning; Blockchain; Natural language processing; Large language models</t>
  </si>
  <si>
    <t>MANAGEMENT; FRAMEWORK; HEALTH</t>
  </si>
  <si>
    <t>Smart cities stand as pivotal components in the ongoing pursuit of elevating urban living standards, facilitating the rapid expansion of urban areas while efficiently managing resources through sustainable and scalable innovations. In this regard, as emerging technologies like Artificial Intelligence (AI), the Internet of Things (IoT), big data analytics, and fog and edge computing have become increasingly prevalent, smart city applications grapple with various challenges, including the potential for unauthorized disclosure of confidential and sensitive data. The seamless integration of emerging technologies has played a vital role in sustaining the dynamic pace of their development. This paper explores the substantial potential and applications of deep learning (DL), federated learning (FL), IoT, blockchain, natural language processing (NLP), and large language models (LLMs) in optimizing ICT processes within smart cities. The findings of the study suggest that these technologies have the potential to act as foundational elements that technically strengthen the realization and advancement of smart cities and drive innovation within this transformative urban milieu. However, there are certain formidable challenges that DL, FL, IoT, blockchain, NLP, and LLMs face within these contexts with potential future directions. The study has implications for researchers working on developing sustainable smart cities.</t>
  </si>
  <si>
    <t>[Ullah, Amin] Bahria Univ, Comp Sci Dept, Lahore Campus, Lahore 54000, Pakistan; [Ullah, Amin; Ali, Zafar] Southeast Univ SEU, Sch Comp Sci &amp; Engn, Nanjing, Peoples R China; [Khan, Saddam Hussain] Univ Engn &amp; Appl Sci UEAS, Dept Comp Syst Engn, Artificial Intelligence Lab, Swat 19060, Pakistan; [Ullah, Irfan] Shaheed Benazir Bhutto Univ, Dept Comp Sci, Sheringal 18050, Pakistan; [Mahmood, Tariq; Rehman, Amjad] CCIS Prince Sultan Univ, Artificial Intelligence &amp; Data Analyt AIDA Lab, Riyadh 11586, Saudi Arabia; [Nawazish, Samra] Informat Technol Univ, Dept Comp Sci, Intelligent Machines Lab, Lahore 54000, Pakistan</t>
  </si>
  <si>
    <t>Bahria University; Southeast University - China</t>
  </si>
  <si>
    <t>Ullah, A (corresponding author), Bahria Univ, Comp Sci Dept, Lahore Campus, Lahore 54000, Pakistan.;Ullah, A (corresponding author), Southeast Univ SEU, Sch Comp Sci &amp; Engn, Nanjing, Peoples R China.;Mahmood, T (corresponding author), CCIS Prince Sultan Univ, Artificial Intelligence &amp; Data Analyt AIDA Lab, Riyadh 11586, Saudi Arabia.</t>
  </si>
  <si>
    <t>Aminullah.bulc@bahria.edu.pk; saddamhkhan@ueas.edu.pk; irfan@sbbu.edu.pk; tmsherazi@ue.edu.pk; samra5677@gmail.com; zafarali@seu.edu.cn; arkhan@psu.edu.sa</t>
  </si>
  <si>
    <t>Mahmood, Tariq/AAQ-6709-2020</t>
  </si>
  <si>
    <t>Mahmood, Tariq/0000-0002-4299-7756</t>
  </si>
  <si>
    <t>AIDA Lab, College of Computer and Information Sciences (CCIS), Prince Sultan University, Riyadh, Saudi Arabia</t>
  </si>
  <si>
    <t>The authors are also thankful to AIDA Lab, College of Computer and Information Sciences (CCIS), Prince Sultan University, Riyadh, Saudi Arabia, for support.</t>
  </si>
  <si>
    <t>SPRINGERNATURE</t>
  </si>
  <si>
    <t>CAMPUS, 4 CRINAN ST, LONDON, N1 9XW, ENGLAND</t>
  </si>
  <si>
    <t>2364-415X</t>
  </si>
  <si>
    <t>2364-4168</t>
  </si>
  <si>
    <t>INT J DATA SCI ANAL</t>
  </si>
  <si>
    <t>Int. J, Data Sci. Anal.</t>
  </si>
  <si>
    <t>10.1007/s41060-025-00856-2</t>
  </si>
  <si>
    <t>JUN 2025</t>
  </si>
  <si>
    <t>Computer Science, Artificial Intelligence; Computer Science, Information Systems</t>
  </si>
  <si>
    <t>7XM8H</t>
  </si>
  <si>
    <t>WOS:001518321900001</t>
  </si>
  <si>
    <t>Moll, C; Plötz, P; Hadwich, K; Wietschel, M</t>
  </si>
  <si>
    <t>Moll, Cornelius; Ploetz, Patrick; Hadwich, Karsten; Wietschel, Martin</t>
  </si>
  <si>
    <t>Are Battery-Electric Trucks for 24-Hour Delivery the Future of City Logistics?-A German Case Study</t>
  </si>
  <si>
    <t>WORLD ELECTRIC VEHICLE JOURNAL</t>
  </si>
  <si>
    <t>electric vehicles; battery-electric trucks; heavy-duty trucks; system dynamics; total cost of ownership; discrete choice model; diffusion; logistics service providers; city logistics</t>
  </si>
  <si>
    <t>Especially in urban areas, a large proportion of air pollution can be attributed to road traffic. Thus, in many countries, bans are being discussed on diesel vehicles in inner cities. These diesel bans pose a severe threat to logistics service providers (LSPs) that are active in city logistics, since their fleets are based on diesel-powered vehicles. One solution for LSPs is to introduce battery-electric heavy-duty trucks (HDTs). However, this is rarely done at present, due to high investment costs of such trucks. In order to compensate these high investments, high mileages are required in order to benefit from such vehicles' low operating costs. Implementing 24-hour delivery would increase the daily mileage of HDTs. Because of noise emission regulations, 24-hour delivery could only be performed using battery-electric HDTs. In this study, we explore whether using battery-electric HDTs for 24-hour delivery is economical for LSPs. We use data from a German LSP in food logistics, develop a system dynamics model, and integrate a total cost of ownership calculation along with an LSP and a retail store discrete choice model to determine whether 24-hour delivery with battery-electric HDTs is profitable for the LSP, and how it might be accepted and diffused among stores. We find that 24-hour delivery using battery-electric HDTs is immediately profitable. This is due to the almost 50% increase in the daily trip potential of battery-electric HDTs in comparison to diesel HDTs, which leads to a lower required total number of HDTs in the fleet. Lower transportation costs, increased delivery quality, and decreased risk lead to rapid adoption of 24-hour delivery among stores, while lower total costs of ownership (TCO) accelerate the adoption by the LSP. Diffusion through the fleet and stores takes only slightly longer than one HDT lifetime. Consequently, 24-hour delivery with battery-electric HDTs is a promising solution for innovative and sustainable city logistics.</t>
  </si>
  <si>
    <t>[Moll, Cornelius; Ploetz, Patrick; Wietschel, Martin] Fraunhofer Inst Syst &amp; Innovat Res ISI, D-76139 Karlsruhe, Germany; [Moll, Cornelius; Hadwich, Karsten] Univ Hohenheim, Chair Serv Management &amp; Serv Markets, D-70593 Stuttgart, Germany</t>
  </si>
  <si>
    <t>Fraunhofer Gesellschaft; Fraunhofer Germany; Fraunhofer Systems &amp; Innovation Research; University Hohenheim</t>
  </si>
  <si>
    <t>Moll, C (corresponding author), Fraunhofer Inst Syst &amp; Innovat Res ISI, D-76139 Karlsruhe, Germany.;Moll, C (corresponding author), Univ Hohenheim, Chair Serv Management &amp; Serv Markets, D-70593 Stuttgart, Germany.</t>
  </si>
  <si>
    <t>cornelius.moll@isi.fraunhofer.de; patrick.ploetz@isi.fraunhofer.de; karsten.hadwich@uni-hohenheim.de; martin.wietschel@isi.fraunhofer.de</t>
  </si>
  <si>
    <t>Plötz, Patrick/KFQ-3780-2024</t>
  </si>
  <si>
    <t>Moll, Cornelius/0000-0002-2754-0192; Plötz, Patrick/0000-0001-6790-0183</t>
  </si>
  <si>
    <t>Ministry of Economic A ffairs, Labor, and Housing in Baden-Wurttemberg; national High Performance Center by the Fraunhofer-Gesellschaft</t>
  </si>
  <si>
    <t>This publication was written in the framework of the Profilregion Mobilitatssysteme Karlsruhe, which is funded by the Ministry of Economic A ffairs, Labor, and Housing in Baden-Wurttemberg and as a national High Performance Center by the Fraunhofer-Gesellschaft.</t>
  </si>
  <si>
    <t>2032-6653</t>
  </si>
  <si>
    <t>WORLD ELECTR VEHIC J</t>
  </si>
  <si>
    <t>World Electr. Vehicle J.</t>
  </si>
  <si>
    <t>10.3390/wevj11010016</t>
  </si>
  <si>
    <t>Engineering, Electrical &amp; Electronic; Transportation Science &amp; Technology</t>
  </si>
  <si>
    <t>VM0PZ</t>
  </si>
  <si>
    <t>WOS:000937446200015</t>
  </si>
  <si>
    <t>Michelotto, F; Joia, LA</t>
  </si>
  <si>
    <t>Scholl, HJ; GilGarcia, JR; Janssen, M; Kalampokis, E; Lindgren, I; Bolivar, MPR</t>
  </si>
  <si>
    <t>Michelotto, Flavia; Joia, Luiz Antonio</t>
  </si>
  <si>
    <t>The Social Representation of Smart Cities: A View from Brazil</t>
  </si>
  <si>
    <t>ELECTRONIC GOVERNMENT, EGOV 2021</t>
  </si>
  <si>
    <t>20th IFIP WG 8.5 International Conference on Electronic Government (EGOV)</t>
  </si>
  <si>
    <t>SEP 07-09, 2021</t>
  </si>
  <si>
    <t>Univ Granada, Granada, SPAIN</t>
  </si>
  <si>
    <t>Univ Granada</t>
  </si>
  <si>
    <t>Smart city; Mobility; Sustainability; ICT; Social representation theory</t>
  </si>
  <si>
    <t>CITY; CONTEXT; TRENDS</t>
  </si>
  <si>
    <t>About 6,000 years after the emergence of the first cities, humanity faces the challenges and consequences of the development of cities, which threaten the quality of life of people and the world environment. To date, more than half of world's population live in urban areas and, by 2050, one estimates that almost 70% of them will live in cities. Thus, in order to avoid a total collapse, cities' urban planning must be rethought urgently by means of new planning and management models largely supported by robust digital technologies, innovations and a sustainable agenda. In this scenario, the concept of smart city emerges yet without a formal consensus. Smart city definitions have been derived from interdisciplinary concepts applied to cities most of them based on the management and heavy use of information and communication technology in cities. Thus, to allow a better comprehension of what is understood by smart city mainly under the perspective of emerging markets, this work seeks to identify what is the social representation of smart city amongst Brazilian citizens, comparing same to the extant literature on smart city definition.</t>
  </si>
  <si>
    <t>[Michelotto, Flavia; Joia, Luiz Antonio] Fundacao Getulio Vargas, BR-22231010 Rio De Janeiro, RJ, Brazil</t>
  </si>
  <si>
    <t>Getulio Vargas Foundation</t>
  </si>
  <si>
    <t>Michelotto, F (corresponding author), Fundacao Getulio Vargas, BR-22231010 Rio De Janeiro, RJ, Brazil.</t>
  </si>
  <si>
    <t>flavia.michelotto@fgv.edu.br; luiz.joia@fgv.br</t>
  </si>
  <si>
    <t>Michelotto, Flavia/HGC-4594-2022</t>
  </si>
  <si>
    <t>Michelotto, Flavia/0000-0001-7613-2913</t>
  </si>
  <si>
    <t>978-3-030-84789-0; 978-3-030-84788-3</t>
  </si>
  <si>
    <t>10.1007/978-3-030-84789-0_16</t>
  </si>
  <si>
    <t>Computer Science, Information Systems; Computer Science, Interdisciplinary Applications; Computer Science, Theory &amp; Methods; Information Science &amp; Library Science; Public Administration</t>
  </si>
  <si>
    <t>Computer Science; Information Science &amp; Library Science; Public Administration</t>
  </si>
  <si>
    <t>BS7ZW</t>
  </si>
  <si>
    <t>WOS:000769437800016</t>
  </si>
  <si>
    <t>Hilmani, A; Maizate, A; Hassouni, L</t>
  </si>
  <si>
    <t>Hilmani, Adil; Maizate, Abderrahim; Hassouni, Larbi</t>
  </si>
  <si>
    <t>Automated Real-Time Intelligent Traffic Control System for Smart Cities Using Wireless Sensor Networks</t>
  </si>
  <si>
    <t>WIRELESS COMMUNICATIONS &amp; MOBILE COMPUTING</t>
  </si>
  <si>
    <t>Over the years, the number of vehicles has increased dramatically, which has led to serious problems such as traffic jams, accidents, and many other problems, as cities turn into smart cities. In recent years, traffic jams have become one of the main challenges for engineers and designers to create an intelligent traffic management system capable of effectively detecting and reducing the overall density of traffic in most urban areas visited by motorists such as offices, downtown, and establishments based on several modern technologies, including wireless sensor networks (WSNs), surveillance camera, and IoT. In this article, we propose an intelligent traffic control system based on the design of a wireless sensor network (WSN) in order to collect data on road traffic and also on available parking spaces in a smart city. In addition, the proposed system has innovative services that allow drivers to view the traffic rate and the number of available parking spaces to their destination remotely using an Android mobile application to avoid traffic jams and to take another alternative route to avoid getting stuck and also to make it easier for drivers when looking for a free parking space to avoid unnecessary trips. Our system integrates three smart subsystems connected to each other (crossroad management, parking space management, and a mobile application) in order to connect citizens to a smart city.</t>
  </si>
  <si>
    <t>[Hilmani, Adil; Maizate, Abderrahim; Hassouni, Larbi] Univ Hassan 2, RITM ESTC CED ENSEM, Km 7,El Jadida St,BP 8012, Oasis Casablanca, Morocco</t>
  </si>
  <si>
    <t>Hassan II University of Casablanca</t>
  </si>
  <si>
    <t>Hilmani, A (corresponding author), Univ Hassan 2, RITM ESTC CED ENSEM, Km 7,El Jadida St,BP 8012, Oasis Casablanca, Morocco.</t>
  </si>
  <si>
    <t>adilhilmani@gmail.com; maizate@hotmail.com; lhassouni@hotmail.com</t>
  </si>
  <si>
    <t>Maizate, Abderrahim/AAZ-9670-2021; HILMANI, ADIL/HLG-2258-2023</t>
  </si>
  <si>
    <t>Maizate, Abderrahim/0000-0002-7992-4112; Maizate, Abderrahim/0009-0008-5390-7577; hilmani, adil/0000-0003-4930-9749</t>
  </si>
  <si>
    <t>WILEY-HINDAWI</t>
  </si>
  <si>
    <t>ADAM HOUSE, 3RD FL, 1 FITZROY SQ, LONDON, WIT 5HE, ENGLAND</t>
  </si>
  <si>
    <t>1530-8669</t>
  </si>
  <si>
    <t>1530-8677</t>
  </si>
  <si>
    <t>WIREL COMMUN MOB COM</t>
  </si>
  <si>
    <t>Wirel. Commun. Mob. Comput.</t>
  </si>
  <si>
    <t>SEP 11</t>
  </si>
  <si>
    <t>10.1155/2020/8841893</t>
  </si>
  <si>
    <t>NV5DA</t>
  </si>
  <si>
    <t>WOS:000574340900001</t>
  </si>
  <si>
    <t>Oliveira, F; Costa, DG; Dias, A</t>
  </si>
  <si>
    <t>Oliveira, Franklin; Costa, Daniel G.; Dias, Anfranserai</t>
  </si>
  <si>
    <t>A Multi-Tier Sensors-based Environmental Monitoring Approach to Assess the Quality of Bike Paths in Urban Areas</t>
  </si>
  <si>
    <t>2020 IEEE INTERNATIONAL SMART CITIES CONFERENCE (ISC2)</t>
  </si>
  <si>
    <t>IEEE International Smart Cities Conference</t>
  </si>
  <si>
    <t>IEEE International Smart Cities Conference (ISC2)</t>
  </si>
  <si>
    <t>SEP 28-OCT 01, 2020</t>
  </si>
  <si>
    <t>Smart Cycling; Smart Cities; Sensor networks; Internet of Things; Environmental monitoring; Cyclists' health</t>
  </si>
  <si>
    <t>Large cities are paying a lot of attention to the dramatic challenges resulted Prim increasing air pollution and the global warming, struggling to find new promising solutions to face therm As a result, alternative transportation in urban areas has been sought, trying to reduce urban pollution while also addressing mobility Issues in crowded cities. Actually, although bikes have been considered as a promising resource for more efficient and cleaner urban mobility. there are several concerns that must he considered when using hike paths already implemented in urban areas. In fact, some environmental factors such as temperature, humidity, noise pollution, ultraviolet radiation and light intensity can bring several problems to the health of cyclists who are constantly exposed to them, thus requiring constant and historical analysis of these conditions. In this context, this paper proposes an environmental monitoring system based on low-cost mobile sensors-based devices attached to bikes, which allow the identification of the most recommended areas for cycling in relation to possible damage to the health of cyclists. For that, the electronic components chosen for the construction of those devices must he highly accessible and affordable, supporting large-scale development. Additionally, the proposed approach is based on a hybrid communication model that does not require any urban communication infrastructure, easing its practical exploitation. The proposed approach seeks then to provide better support to governments when assessing the conditions of the currently installed bike paths and also when planning the implementation of new paths, potentially bringing important contributions to the management of modern cities.</t>
  </si>
  <si>
    <t>[Oliveira, Franklin] State Univ Feira de Santana, UEFS PGCC, Feira De Santana, BA, Brazil; [Costa, Daniel G.; Dias, Anfranserai] State Univ Feira de Santana, UEFS DTEC, Feira De Santana, BA, Brazil</t>
  </si>
  <si>
    <t>Universidade Estadual de Feira de Santana; Universidade Estadual de Feira de Santana</t>
  </si>
  <si>
    <t>Oliveira, F (corresponding author), State Univ Feira de Santana, UEFS PGCC, Feira De Santana, BA, Brazil.</t>
  </si>
  <si>
    <t>franklinoliveira40@gmail.com; danielgeosta@uefs.br; anfranserai@ecomp.uefs.br</t>
  </si>
  <si>
    <t>Costa, Daniel/I-4928-2013</t>
  </si>
  <si>
    <t>Costa, Daniel/0000-0003-3988-8476</t>
  </si>
  <si>
    <t>CNPq [407903/2018-6]; FAPESB [071.0130.2020.0003927-43]</t>
  </si>
  <si>
    <t>CNPq(Conselho Nacional de Desenvolvimento Cientifico e Tecnologico (CNPQ)); FAPESB(Fundacao de Amparo a Pesquisa do Estado da Bahia (FAPESB))</t>
  </si>
  <si>
    <t>This work was partially supported hy the Bra than Agencies CNPq (grard 407003,201840 and FAPI SB tgrani 071,0130,2(20,0003927-43).</t>
  </si>
  <si>
    <t>2687-8852</t>
  </si>
  <si>
    <t>2687-8860</t>
  </si>
  <si>
    <t>978-1-7281-8294-0</t>
  </si>
  <si>
    <t>IEEE INT SM C CONF</t>
  </si>
  <si>
    <t>10.1109/isc251055.2020.9239071</t>
  </si>
  <si>
    <t>Computer Science, Artificial Intelligence; Computer Science, Interdisciplinary Applications; Green &amp; Sustainable Science &amp; Technology; Engineering, Multidisciplinary</t>
  </si>
  <si>
    <t>Computer Science; Science &amp; Technology - Other Topics; Engineering</t>
  </si>
  <si>
    <t>BT8LF</t>
  </si>
  <si>
    <t>WOS:000853879300061</t>
  </si>
  <si>
    <t>Vaidya, B; Mouftah, HT</t>
  </si>
  <si>
    <t>Vaidya, Binod; Mouftah, Hussein T.</t>
  </si>
  <si>
    <t>Smart electric vehicle charging management for smart cities</t>
  </si>
  <si>
    <t>IET SMART CITIES</t>
  </si>
  <si>
    <t>power grids; scheduling; electric vehicles; electric vehicle charging; smart cities; resource allocation; smart electric vehicle charging management; smart cities; EV penetration; uncoordinated charging; electric power grid; EV charging network; charging facilities; effective reservation management; charging strategy; smart EV charging management system; urban mobility paradigms; fossil fuel; carbon emission reduction; scarce charging station resource allocation; efficient slot allocation; user discontent factor; estimated charging cost; estimated charging time; average waiting time; CS congestion impact; scheduling scheme</t>
  </si>
  <si>
    <t>SYSTEM; RESERVATION; SCHEME</t>
  </si>
  <si>
    <t>In recent years, attraction to alternative urban mobility paradigms such as electric vehicles (EVs) is increasing since EVs can significantly minimise fossil fuel dependency and reduce carbon emission in urban areas. Nonetheless, there are several barriers toward widespread adoption of EVs. Moreover, as EV penetration increases in urban areas, uncoordinated charging may cause power outage. Deployment of EV charging network can allow EVs to communicate with the service provider to coordinate charging activities. Taking into account, increased growth of EVs, number of charging facilities will be inadequate in urban areas, so efficient EV charging management is required for managing and allocating scarce charging station (CS) resources. In this study, the authors have designed and implemented a smart EV charging management system utilizing charging strategy that includes effective reservation management and efficient slot allocation of CSs. Considering composite cost that includes waiting time, estimated charging time, estimated charging cost, user discontent factor and CS congestion impact in such a method, their scheduling scheme shall furnish a set of optimal solutions. Viewing user discontent factor and average waiting time, they have evaluated performance of proposed strategy. The proposed charging strategy is effective than the existing one in terms of average waiting time.</t>
  </si>
  <si>
    <t>[Vaidya, Binod; Mouftah, Hussein T.] Univ Ottawa, Sch Elect Engn &amp; Comp Sci, Ottawa, ON, Canada</t>
  </si>
  <si>
    <t>University of Ottawa</t>
  </si>
  <si>
    <t>Vaidya, B (corresponding author), Univ Ottawa, Sch Elect Engn &amp; Comp Sci, Ottawa, ON, Canada.</t>
  </si>
  <si>
    <t>bvaidya@uottawa.ca</t>
  </si>
  <si>
    <t>Vaidya, Binod/0000-0002-1374-8961</t>
  </si>
  <si>
    <t>Smart Grid Fund (SGF), Ministry of Energy, The Ontario Government; Canada Research Chair (CRC) Fund, Canada</t>
  </si>
  <si>
    <t>This research work was supported by the Smart Grid Fund (SGF), Ministry of Energy, The Ontario Government and Canada Research Chair (CRC) Fund, Canada.</t>
  </si>
  <si>
    <t>2631-7680</t>
  </si>
  <si>
    <t>IET Smart Cities</t>
  </si>
  <si>
    <t>10.1049/iet-smc.2019.0076</t>
  </si>
  <si>
    <t>VL3EE</t>
  </si>
  <si>
    <t>WOS:000827422600003</t>
  </si>
  <si>
    <t>Zare, S; Najafi, M; Beigvand, P; Azizi, A; Abbas, RA; Kaushal, V</t>
  </si>
  <si>
    <t>Gruber, A; Standifer, R</t>
  </si>
  <si>
    <t>Zare, Shima; Najafi, Mohammad; Beigvand, Parisa; Azizi, Arash; Abbas, Rasoul Adnan; Kaushal, Vinayak</t>
  </si>
  <si>
    <t>Promoting Sustainability in Smart Cities through Trenchless Technology: A Path to Efficient Urban Infrastructure Management</t>
  </si>
  <si>
    <t>PIPELINES 2025: PLANNING AND DESIGN</t>
  </si>
  <si>
    <t>2025 Pipelines Conference-Pipelines - Navigating the Unseen to Connect Critical Infrastructure and Resources</t>
  </si>
  <si>
    <t>AUG 09-13, 2025</t>
  </si>
  <si>
    <t>Tampa, FL</t>
  </si>
  <si>
    <t>Trenchless Technology; Sustainable Urban Infrastructure; Smart Cities; Cured-inPipe (CIPP); Carbon Footprint Reduction; Smart Monitoring Systems.</t>
  </si>
  <si>
    <t>Trenchless technology plays a vital role in the sustainable renewal of aging underground infrastructure, offering cities a modern alternative to traditional open-cut excavation. These methods minimize surface disruption, reduce construction timelines, and lower environmental impacts such as noise, emissions, and material waste. As urban areas move toward smarter infrastructure systems, the integration of trenchless techniques with sensor networks and data-driven monitoring is transforming how utilities are maintained and upgraded. This paper explores the operational, environmental, and economic advantages of trenchless methods, with a focus on their application in smart city frameworks. Drawing on real-world examples, the study demonstrates how technologies such as Cured-in-Place Pipe (CIPP), Pipe Bursting, and Horizontal Directional Drilling (HDD) support more efficient project delivery while contributing to long-term sustainability goals. The findings highlight trenchless technology as a forwardthinking solution for resilient, low-impact urban infrastructure management. As cities continue to evolve, adopting trenchless methods will be essential for building infrastructure systems that are both technologically advanced and environmentally responsible.</t>
  </si>
  <si>
    <t>[Zare, Shima; Najafi, Mohammad; Beigvand, Parisa; Abbas, Rasoul Adnan; Kaushal, Vinayak] Univ Texas Arlington, Dept Civil Engn, Ctr Underground Infrastruct Res &amp; Educ, Arlington, TX 76019 USA; [Azizi, Arash] Univ Texas Arlington, Dept Civil Engn, Arlington, TX USA</t>
  </si>
  <si>
    <t>University of Texas System; University of Texas Arlington; University of Texas System; University of Texas Arlington</t>
  </si>
  <si>
    <t>Zare, S (corresponding author), Univ Texas Arlington, Dept Civil Engn, Ctr Underground Infrastruct Res &amp; Educ, Arlington, TX 76019 USA.</t>
  </si>
  <si>
    <t>sxz4075@mavs.uta.edu; najafi@uta.edu; pxb6205@mavs.uta.edu; axa4754@mavs.uta.edu; abbas@mavs.uta.edu; vinayak.kaushal@uta.edu</t>
  </si>
  <si>
    <t>Kaushal, Vinayak/AAM-2044-2020</t>
  </si>
  <si>
    <t>AMER SOC CIVIL ENGINEERS</t>
  </si>
  <si>
    <t>UNITED ENGINEERING CENTER, 345 E 47TH ST, NEW YORK, NY 10017-2398 USA</t>
  </si>
  <si>
    <t>978-0-7844-8636-8</t>
  </si>
  <si>
    <t>Construction &amp; Building Technology; Engineering, Civil</t>
  </si>
  <si>
    <t>BZ4EB</t>
  </si>
  <si>
    <t>WOS:001577920100061</t>
  </si>
  <si>
    <t>Giordano, A; Fischbeck, P; Matthews, HS</t>
  </si>
  <si>
    <t>Giordano, Alessandro; Fischbeck, Paul; Matthews, H. Scott</t>
  </si>
  <si>
    <t>Environmental and economic comparison of diesel and battery electric delivery vans to inform city logistics fleet replacement strategies</t>
  </si>
  <si>
    <t>TRANSPORTATION RESEARCH PART D-TRANSPORT AND ENVIRONMENT</t>
  </si>
  <si>
    <t>Article; Proceedings Paper</t>
  </si>
  <si>
    <t>14th World Conference of Transport-Research-Society (WCTRS)</t>
  </si>
  <si>
    <t>Shanghai, PEOPLES R CHINA</t>
  </si>
  <si>
    <t>Commercial battery electric vehicle; Delivery vans; City logistics; Sustainable urban deliveries; Environmental LCA; Economic LCA</t>
  </si>
  <si>
    <t>GREENHOUSE-GAS EMISSIONS; LIFE-CYCLE ASSESSMENT; PLUG-IN HYBRID; VEHICLES; IMPACT</t>
  </si>
  <si>
    <t>Poor air quality in urban areas and environmental concerns attributable to road transportation are growing and significant problems for governments. Many different options have been proposed to lower emissions, and a critical one is the use of battery electric vehicles (BEVs). Since city-logistics accounts for about 25% of urban mobility emissions, we focus on battery electric and diesel delivery vans. The aim of this paper is to present a holistic view of the problem, comparing the environmental, social and economic impact of BEV and diesel delivery vans, providing useful insights to policy makers and fleet owners willing to replace or select delivery vans to include in their city-logistics fleets. In cities where new BEV vans replace old diesel vans and the electricity mix is relatively clean, CO2 emissions and air pollutants decrease by 93-98% and 85-99%, respectively. If BEVs use electricity coming from coal energy and are compared to new diesel vans, reductions of CO2 emissions and air pollutants are in the order of 12-13% and 0-92%, respectively. Longer battery life and greater annual mileage improve these results and decrease cost differences. Results also reveal that annual emissions benefits of replacing older diesel vans with BEVs are on the same order of magnitude of equivalent annual cost differences. From a strictly business perspective, BEV vans are already economically attractive in some cities with existing incentives; however, for other cities incentives equal to the value of their emissions reduction benefits are needed, but might not be sufficient to justify BEV acquisition.</t>
  </si>
  <si>
    <t>[Giordano, Alessandro; Fischbeck, Paul; Matthews, H. Scott] Carnegie Mellon Univ, Dept Engn &amp; Publ Policy, 5000 Forbes Ave,Baker Hall 129, Pittsburgh, PA 15213 USA; [Giordano, Alessandro] Inst Super Tecn, Av Rovisco Pais 1, P-1049001 Lisbon, Portugal; [Fischbeck, Paul] Carnegie Mellon Univ, Dept Social &amp; Decis Sci, 5000 Forbes Ave, Pittsburgh, PA 15213 USA; [Matthews, H. Scott] Carnegie Mellon Univ, Dept Civil &amp; Environm Engn, 5000 Forbes Ave,Porter Hall 123A, Pittsburgh, PA 15213 USA</t>
  </si>
  <si>
    <t>Carnegie Mellon University; Universidade de Lisboa; Carnegie Mellon University; Carnegie Mellon University</t>
  </si>
  <si>
    <t>Giordano, A (corresponding author), Carnegie Mellon Univ, Dept Engn &amp; Publ Policy, 5000 Forbes Ave,Baker Hall 129, Pittsburgh, PA 15213 USA.</t>
  </si>
  <si>
    <t>agiordan@andrew.cmu.edu; fischbeck@cmu.edu; hsm@cmu.edu</t>
  </si>
  <si>
    <t>Giordano, Alessandro/AAW-9921-2021</t>
  </si>
  <si>
    <t>Fundacao para a Ciencia e a Tecnologia (Portuguese Foundation for Science and Technology) through the Carnegie Mellon Portugal Program [52160]</t>
  </si>
  <si>
    <t>Fundacao para a Ciencia e a Tecnologia (Portuguese Foundation for Science and Technology) through the Carnegie Mellon Portugal Program</t>
  </si>
  <si>
    <t>Support for this research was provided by the Fundacao para a Ciencia e a Tecnologia (Portuguese Foundation for Science and Technology) through the Carnegie Mellon Portugal Program under Grant 52160.</t>
  </si>
  <si>
    <t>1361-9209</t>
  </si>
  <si>
    <t>TRANSPORT RES D-TR E</t>
  </si>
  <si>
    <t>Transport. Res. Part D-Transport. Environ.</t>
  </si>
  <si>
    <t>10.1016/j.trd.2017.10.003</t>
  </si>
  <si>
    <t>Environmental Studies; Transportation; Transportation Science &amp; Technology</t>
  </si>
  <si>
    <t>Science Citation Index Expanded (SCI-EXPANDED); Social Science Citation Index (SSCI); Conference Proceedings Citation Index - Social Science &amp; Humanities (CPCI-SSH); Conference Proceedings Citation Index - Science (CPCI-S)</t>
  </si>
  <si>
    <t>Environmental Sciences &amp; Ecology; Transportation</t>
  </si>
  <si>
    <t>GZ1OJ</t>
  </si>
  <si>
    <t>WOS:000449137100017</t>
  </si>
  <si>
    <t>Marques, P; Manfroi, D; Deitos, E; Cegoni, J; Castilhos, R; Rochol, J; Pignaton, E; Kunst, R</t>
  </si>
  <si>
    <t>Marques, Patric; Manfroi, Diogo; Deitos, Eduardo; Cegoni, Jonatan; Castilhos, Rodrigo; Rochol, Juergen; Pignaton, Edison; Kunst, Rafael</t>
  </si>
  <si>
    <t>An IoT-based smart cities infrastructure architecture applied to a waste management scenario</t>
  </si>
  <si>
    <t>AD HOC NETWORKS</t>
  </si>
  <si>
    <t>Internet of things; Smart cities; Energy efficiency; Intelligent waste management; Wireless communications</t>
  </si>
  <si>
    <t>Studies estimate that by 2050 two thirds of the world population will be leaving in urban areas, what leads to the necessity of intelligent services to meet the needs of the cities residents. An emerging solution to deal with this scenario is the convergence of information and communication technologies through the implementation of the concepts of smart cities and Internet of Things to provide solutions in diverse fields like infrastructure, transportation, and surveillance. Considering this challenging scenario, in this article a multilevel IoT-based smart cities infrastructure management architecture is proposed and the waste management problem is used as a case study to evaluate the performance of the proposed solution. Results proved the concept of the architecture, showing that it is able to manage up to 3902 garbage bins simultaneously. These bins are able to correctly separate organic and recyclable waste in both indoor and outdoor scenarios, presenting low response times, what leads to a good quality of experience to the users of the system. (C) 2018 Elsevier B.V. All rights reserved.</t>
  </si>
  <si>
    <t>[Marques, Patric; Manfroi, Diogo; Deitos, Eduardo; Cegoni, Jonatan; Castilhos, Rodrigo; Rochol, Juergen; Pignaton, Edison; Kunst, Rafael] Univ Fed Rio Grande do Sul, Inst Informat, Ave Bento Goncalves 9500, Porto Alegre, RS, Brazil</t>
  </si>
  <si>
    <t>Universidade Federal do Rio Grande do Sul</t>
  </si>
  <si>
    <t>Kunst, R (corresponding author), Univ Fed Rio Grande do Sul, Inst Informat, Ave Bento Goncalves 9500, Porto Alegre, RS, Brazil.</t>
  </si>
  <si>
    <t>pjmarque@ucs.br; edeitos2@ucs.br; jcegoni@ucs.br; rbcastilhos@ucs.br; juergen@inf.ufrgs.br; edison.pignaton@inf.ufrgs.br; rkunst@inf.ufrgs.br</t>
  </si>
  <si>
    <t>de Freitas, Edison/W-3670-2017; Pignaton de Freitas, Edison/W-3670-2017; Kunst, Rafael/R-4262-2019</t>
  </si>
  <si>
    <t>Kunst, Rafael/0000-0002-6180-4104; Pignaton de Freitas, Edison/0000-0003-4655-8889;</t>
  </si>
  <si>
    <t>1570-8705</t>
  </si>
  <si>
    <t>1570-8713</t>
  </si>
  <si>
    <t>AD HOC NETW</t>
  </si>
  <si>
    <t>Ad Hoc Netw.</t>
  </si>
  <si>
    <t>MAY 1</t>
  </si>
  <si>
    <t>10.1016/j.adhoc.2018.12.009</t>
  </si>
  <si>
    <t>Computer Science, Information Systems; Telecommunications</t>
  </si>
  <si>
    <t>Computer Science; Telecommunications</t>
  </si>
  <si>
    <t>HS7ZZ</t>
  </si>
  <si>
    <t>WOS:000464089100015</t>
  </si>
  <si>
    <t>Karakikes, I; Nathanail, E</t>
  </si>
  <si>
    <t>Kabashkin, I; Yatskiv, I; Prentkovskis, O</t>
  </si>
  <si>
    <t>Karakikes, Ioannis; Nathanail, Eftihia</t>
  </si>
  <si>
    <t>Simulation Techniques for Evaluating Smart Logistics Solutions for Sustainable Urban Distribution</t>
  </si>
  <si>
    <t>PROCEEDINGS OF THE 16TH INTERNATIONAL SCIENTIFIC CONFERENCE RELIABILITY AND STATISTICS IN TRANSPORTATION AND COMMUNICATION (RELSTAT-2016)</t>
  </si>
  <si>
    <t>Procedia Engineering</t>
  </si>
  <si>
    <t>16th International Scientific Conference on Reliability and Statistics in Transportation and Communication (RelStat)</t>
  </si>
  <si>
    <t>OCT 19-22, 2016</t>
  </si>
  <si>
    <t>Transport &amp; Telecommunicat Inst, Riga, LATVIA</t>
  </si>
  <si>
    <t>Transport &amp; Telecommunicat Inst</t>
  </si>
  <si>
    <t>city logistics; smart logistics solutions; simulation; last mile distribution; evaluation</t>
  </si>
  <si>
    <t>SUPPLY CHAIN MANAGEMENT; SYSTEM DYNAMICS; CITY LOGISTICS; MODELING APPROACH; STRATEGIES; FRAMEWORK; NETWORKS; COST</t>
  </si>
  <si>
    <t>Smart logistics solutions have been developed in order to alleviate the adverse impacts of increasing goods' transport in urban areas. However, the outcome can be questioned, unless proper assessment is conducted to compare impacts during or after implementing these solutions. Simulation has been proved as valuable tool to assess impacts of the logistics solutions, before their actual implementation in the field, and support the decision making process. This study contributes in presenting the current state of practice in modeling smart logistics solutions, provides a roadmap in simulation techniques for urban freight transport solutions and improves the knowledge around the patterns currently followed. (C) 2017 The Authors. Published by Elsevier Ltd.</t>
  </si>
  <si>
    <t>[Karakikes, Ioannis; Nathanail, Eftihia] Univ Thessaly, GR-38334 Volos, Volos, Greece</t>
  </si>
  <si>
    <t>University of Thessaly</t>
  </si>
  <si>
    <t>Karakikes, I (corresponding author), Univ Thessaly, GR-38334 Volos, Volos, Greece.</t>
  </si>
  <si>
    <t>iokaraki@uth.gr</t>
  </si>
  <si>
    <t>; Nathanail, Eftihia/AAF-4949-2021</t>
  </si>
  <si>
    <t>Nathanail, Eftihia/0000-0002-9083-9584; KARAKIKES, IOANNIS/0000-0001-6610-0651</t>
  </si>
  <si>
    <t>ALLIANCE project [692426]</t>
  </si>
  <si>
    <t>ALLIANCE project</t>
  </si>
  <si>
    <t>This work has been supported by the ALLIANCE project (http://alliance-project.eu/) and has been funded within the European Commission's H2020 Programme under contract number 692426. This paper expresses the opinions of the authors and not necessarily those of the European Commission. The European Commission is not liable for any use that may be made of the information contained in this paper.</t>
  </si>
  <si>
    <t>1877-7058</t>
  </si>
  <si>
    <t>PROCEDIA ENGINEER</t>
  </si>
  <si>
    <t>10.1016/j.proeng.2017.01.110</t>
  </si>
  <si>
    <t>Engineering, Multidisciplinary; Statistics &amp; Probability; Telecommunications; Transportation Science &amp; Technology</t>
  </si>
  <si>
    <t>Engineering; Mathematics; Telecommunications; Transportation</t>
  </si>
  <si>
    <t>BH4TD</t>
  </si>
  <si>
    <t>WOS:000400645600064</t>
  </si>
  <si>
    <t>Oldenbroek, V; Smink, G; Salet, T; van Wijk, AJM</t>
  </si>
  <si>
    <t>Oldenbroek, Vincent; Smink, Gilbert; Salet, Tijmen; van Wijk, Ad J. M.</t>
  </si>
  <si>
    <t>Fuel Cell Electric Vehicle as a Power Plant: Techno-Economic Scenario Analysis of a Renewable Integrated Transportation and Energy System for Smart Cities in Two Climates</t>
  </si>
  <si>
    <t>APPLIED SCIENCES-BASEL</t>
  </si>
  <si>
    <t>smart city; sector coupling; fuel cell electric vehicle; vehicle-to-grid; hydrogen storage; cost of energy; virtual power plants</t>
  </si>
  <si>
    <t>DEMAND-SIDE MANAGEMENT; HEAT-PUMP SYSTEM; TO-GAS; SOLAR POWER; HYDROGEN-PRODUCTION; WIND POWER; LOW-COST; WATER ELECTROLYSIS; OPTIMIZATION MODEL; INTERMITTENT WIND</t>
  </si>
  <si>
    <t>Featured Application Fuel cell electric vehicles (FCEVs) balancing electricity demand and supply through vehicle-to-grid (V2G) have the potential to become the world's biggest virtual power plants. Especially in regions with large seasonal effects in electricity generation and demand, FCEV2G could replace large-scale fast-reacting back-up power plants facing low capacity factors. Abstract Renewable, reliable, and affordable future power, heat, and transportation systems require efficient and versatile energy storage and distribution systems. If solar and wind electricity are the only renewable energy sources, what role can hydrogen and fuel cell electric vehicles (FCEVs) have in providing year-round 100% renewable, reliable, and affordable energy for power, heat, and transportation for smart urban areas in European climates? The designed system for smart urban areas uses hydrogen production and FCEVs through vehicle-to-grid (FCEV2G) for balancing electricity demand and supply. A techno-economic analysis was done for two technology development scenarios and two different European climates. Electricity and hydrogen supply is fully renewable and guaranteed at all times. Combining the output of thousands of grid-connected FCEVs results in large overcapacities being able to balance large deficits. Self-driving, connecting, and free-floating car-sharing fleets could facilitate vehicle scheduling. Extreme peaks in balancing never exceed more than 50% of the available FCEV2G capacity. A simple comparison shows that the cost of energy for an average household in the Mid Century scenario is affordable: 520-770 Euro/year (without taxes and levies), which is 65% less compared to the present fossil situation. The system levelized costs in the Mid Century scenario are 71-104 Euro/MWh for electricity and 2.6-3.0 Euro/kg for hydrogen-and we expect that further cost reductions are possible.</t>
  </si>
  <si>
    <t>[Oldenbroek, Vincent; Smink, Gilbert; Salet, Tijmen; van Wijk, Ad J. M.] Delft Univ Technol, Energy Technol Sect, Dept Proc &amp; Energy, Leeghwaterstr 39, NL-2628 CB Delft, Netherlands</t>
  </si>
  <si>
    <t>Delft University of Technology</t>
  </si>
  <si>
    <t>Oldenbroek, V (corresponding author), Delft Univ Technol, Energy Technol Sect, Dept Proc &amp; Energy, Leeghwaterstr 39, NL-2628 CB Delft, Netherlands.</t>
  </si>
  <si>
    <t>v.d.w.m.oldenbroek@tudelft.nl; gilbertsmink@gmail.com; tijmen_salet91@hotmail.com; a.j.m.vanwijk@tudelft.nl</t>
  </si>
  <si>
    <t>Oldenbroek, Vincent/0000-0002-6075-8046</t>
  </si>
  <si>
    <t>Dutch Research Council (NWO) [408-13-001]</t>
  </si>
  <si>
    <t>Dutch Research Council (NWO)(Netherlands Organization for Scientific Research (NWO))</t>
  </si>
  <si>
    <t>This work was supported by the Dutch Research Council (NWO) [Program Uncertainty Reduction in Smart Energy Systems (URSES), Project number 408-13-001].</t>
  </si>
  <si>
    <t>2076-3417</t>
  </si>
  <si>
    <t>APPL SCI-BASEL</t>
  </si>
  <si>
    <t>Appl. Sci.-Basel</t>
  </si>
  <si>
    <t>10.3390/app10010143</t>
  </si>
  <si>
    <t>Chemistry, Multidisciplinary; Engineering, Multidisciplinary; Materials Science, Multidisciplinary; Physics, Applied</t>
  </si>
  <si>
    <t>Chemistry; Engineering; Materials Science; Physics</t>
  </si>
  <si>
    <t>KF7DC</t>
  </si>
  <si>
    <t>WOS:000509398900143</t>
  </si>
  <si>
    <t>Guan, L; Pei, J; Liu, XB; Zhou, ZP; Pardalos, PM</t>
  </si>
  <si>
    <t>Guan, Lei; Pei, Jun; Liu, Xinbao; Zhou, Zhiping; Pardalos, Panos M.</t>
  </si>
  <si>
    <t>Ridesharing in urban areas: multi-objective optimisation approach for ride-matching and routeing with commuters' dynamic mode choice</t>
  </si>
  <si>
    <t>Ridesharing; multi-objective optimisation; cumulative prospect theory; heuristic algorithm; VNS-NSGAII; city logistics</t>
  </si>
  <si>
    <t>The daily home-office commute of millions of people in crowded cities strains air quality and increases travel time, which motivates the generation of ridesharing. Ridesharing offers many benefits, such as reducing travel costs, congestion, and pollution. Commuter ridesharing is an important theme of urban transportation. This paper studies a ridesharing problem aiming at enlarging the ridesharing market at a limited cost, which enlighten the decision-making problem in city logistics. We establish a novel multi-objective optimisation model based on cumulative prospect theory (CPT) to address the preferred travel mode of commuters. The commuters' perceived value influences their choice of travel mode. Meanwhile, the perceived value changes with the commuters' experience of travel mode choice. We give the NP-hardness proof of the ridesharing scheduling problem and develop a heuristic algorithm to solve it in a small-scale scenario. For large-scale problems, a hybrid VNS-NSGAII algorithm combining variable neighbourhood search (VNS) with NSGAII (Non-dominated Sorting Genetic Algorithm II) is proposed to generate an approximate optimal Pareto front. A series of computational experiments are conducted to demonstrate the effectiveness and efficiency of the proposed algorithm based on the actual traffic data in Beijing, China.</t>
  </si>
  <si>
    <t>[Guan, Lei; Pei, Jun; Liu, Xinbao; Zhou, Zhiping] Hefei Univ Technol, Sch Management, Hefei 230009, Peoples R China; [Guan, Lei; Pei, Jun; Liu, Xinbao; Zhou, Zhiping] Minist Educ, Key Lab Proc Optimizat &amp; Intelligent Decis Making, Hefei 230009, Peoples R China; [Pei, Jun; Pardalos, Panos M.] Univ Florida, Dept Ind &amp; Syst Engn, Ctr Appl Optimizat, Gainesville, FL 32611 USA</t>
  </si>
  <si>
    <t>Hefei University of Technology; State University System of Florida; University of Florida</t>
  </si>
  <si>
    <t>Guan, L; Pei, J; Liu, XB; Zhou, ZP (corresponding author), Hefei Univ Technol, Sch Management, Hefei 230009, Peoples R China.;Guan, L; Pei, J; Liu, XB; Zhou, ZP (corresponding author), Minist Educ, Key Lab Proc Optimizat &amp; Intelligent Decis Making, Hefei 230009, Peoples R China.;Pei, J (corresponding author), Univ Florida, Dept Ind &amp; Syst Engn, Ctr Appl Optimizat, Gainesville, FL 32611 USA.</t>
  </si>
  <si>
    <t>l_guan126@163.com; peijun@hfut.edu.cn; lxb@hfut.edu.cn; zhouzp@hfut.edu.cn</t>
  </si>
  <si>
    <t>Pardalos, Panos/AAY-8591-2020; ZHOU, ZHIPING/H-8316-2017; Pei, Jun/AAC-8904-2019</t>
  </si>
  <si>
    <t>Pei, Jun/0000-0002-0585-4553; Guan, Lei/0000-0002-4011-2897;</t>
  </si>
  <si>
    <t>National Natural Science Foundation of China [71521001, 71871080, 72071056, 71922009, 71690235]; Natural Science Foundation of Anhui Province [1908085MG223, 2008085QG341]; Fundamental Research Funds for the Central Universities [JZ2019HGTA0051, JZ2019HGBZ0131]; Base of Introducing Talents of Discipline to Universities for Optimization and Decision-making in the Manufacturing Process of Complex Product (111 project); Humboldt Research Award (Germany)</t>
  </si>
  <si>
    <t>National Natural Science Foundation of China(National Natural Science Foundation of China (NSFC)); Natural Science Foundation of Anhui Province(Natural Science Foundation of Anhui Province); Fundamental Research Funds for the Central Universities(Fundamental Research Funds for the Central Universities); Base of Introducing Talents of Discipline to Universities for Optimization and Decision-making in the Manufacturing Process of Complex Product (111 project); Humboldt Research Award (Germany)</t>
  </si>
  <si>
    <t>This work was supported by National Natural Science Foundation of China: [grant number 71521001, 71871080, 72071056, 71922009, 71690235], Natural Science Foundation of Anhui Province: [grant number 1908085MG223, 2008085QG341], the Fundamental Research Funds for the Central Universities (Nos. JZ2019HGTA0051, JZ2019HGBZ0131), and Base of Introducing Talents of Discipline to Universities for Optimization and Decision-making in the Manufacturing Process of Complex Product (111 project). Panos M. Pardalos was supported by a Humboldt Research Award (Germany).</t>
  </si>
  <si>
    <t>MAR 4</t>
  </si>
  <si>
    <t>10.1080/00207543.2020.1859635</t>
  </si>
  <si>
    <t>DEC 2020</t>
  </si>
  <si>
    <t>0D3ME</t>
  </si>
  <si>
    <t>WOS:000603839000001</t>
  </si>
  <si>
    <t>Catlett, C; Cesario, E; Talia, D; Vinci, A</t>
  </si>
  <si>
    <t>Catlett, Charlie; Cesario, Eugenio; Talia, Domenico; Vinci, Andrea</t>
  </si>
  <si>
    <t>Spatio-temporal crime predictions in smart cities: A data-driven approach and experiments</t>
  </si>
  <si>
    <t>PERVASIVE AND MOBILE COMPUTING</t>
  </si>
  <si>
    <t>Crime prediction; Smart city; Urban computing; Data analytics</t>
  </si>
  <si>
    <t>Steadily increasing urbanization is causing significant economic and social transformations in urban areas, posing several challenges related to city management and services. In particular, in cities with higher crime rates, effectively providing for public safety is an increasingly complex undertaking. To handle this complexity, new technologies are enabling police departments to access growing volumes of crime-related data that can be analyzed to understand patterns and trends. These technologies have potentially to increase the efficient deployment of police resources within a given territory and ultimately support more effective crime prevention. This paper presents a predictive approach based on spatial analysis and auto-regressive models to automatically detect high-risk crime regions in urban areas and to reliably forecast crime trends in each region. The algorithm result is a spatio-temporal crime forecasting model, composed of a set of crime-dense regions with associated crime predictors, each one representing a predictive model for estimating the number of crimes likely to occur in its associated region. The experimental evaluation was performed on two real-world datasets collected in the cities of Chicago and New York City. This evaluation shows that the proposed approach achieves good accuracy in spatial and temporal crime forecasting over rolling time horizons. (C) 2019 Elsevier B.V. All rights reserved.</t>
  </si>
  <si>
    <t>[Catlett, Charlie] Univ Chicago, Chicago, IL 60637 USA; [Catlett, Charlie] Argonne Natl Lab, Argonne, IL 60439 USA; [Cesario, Eugenio] Monmouth Univ, West Long Branch, NJ 07764 USA; [Cesario, Eugenio; Vinci, Andrea] CNR, ICAR, Rome, Italy; [Talia, Domenico] Univ Calabria, Commenda Di Rende, Italy</t>
  </si>
  <si>
    <t>University of Chicago; United States Department of Energy (DOE); Argonne National Laboratory; Monmouth University; Consiglio Nazionale delle Ricerche (CNR); Istituto di Calcolo e Reti ad Alte Prestazioni (ICAR-CNR); University of Calabria</t>
  </si>
  <si>
    <t>Cesario, E (corresponding author), Monmouth Univ, West Long Branch, NJ 07764 USA.;Cesario, E (corresponding author), CNR, ICAR, Rome, Italy.</t>
  </si>
  <si>
    <t>ecesario@monmouth.edu</t>
  </si>
  <si>
    <t>Cesario, Eugenio/AAP-9093-2020; Vinci, Andrea/J-1907-2017; Talia, Domenico/P-5735-2019; Vinci, Anea/J-1907-2017</t>
  </si>
  <si>
    <t>Cesario, Eugenio/0000-0002-4987-0459; Catlett, Charles/0000-0002-9058-4016; Vinci, Anea/0000-0002-1011-1885</t>
  </si>
  <si>
    <t>1574-1192</t>
  </si>
  <si>
    <t>1873-1589</t>
  </si>
  <si>
    <t>PERVASIVE MOB COMPUT</t>
  </si>
  <si>
    <t>Pervasive Mob. Comput.</t>
  </si>
  <si>
    <t>10.1016/j.pmcj.2019.01.003</t>
  </si>
  <si>
    <t>HK4EI</t>
  </si>
  <si>
    <t>WOS:000457873700005</t>
  </si>
  <si>
    <t>Bamwesigye, D; Hlavackova, P</t>
  </si>
  <si>
    <t>Bamwesigye, Dastan; Hlavackova, Petra</t>
  </si>
  <si>
    <t>Analysis of Sustainable Transport for Smart Cities</t>
  </si>
  <si>
    <t>cycling; Germany; Kenya; smart cities; sustainable transport; the Netherlands; Uganda; women</t>
  </si>
  <si>
    <t>CYCLING MODE-SHARE; WOMEN; POLICY; INFRASTRUCTURE; LESSONS; MATTERS; FEMALE; TRAVEL</t>
  </si>
  <si>
    <t>For decades, transportation has been considered as a link to all aspects of life worldwide. In this case, the world's natural environment, social well-being and economic development all usually depend on transportation systems. In most cases, safe, clean, sustainable and equitable transport systems help countries, especially in cities and urban centers, to thrive. However, a wide range of research shows that transportation systems in most of the cities and urban areas are unsustainable. In fact, some of these transportation systems are considered to be a threat to the environmental, social and economical aspects of future generations. In this perspective, therefore, changing such trends in transportation requires the collaboration of various stakeholders at regional, national and international levels. In this paper, therefore, a wide range of definitions of sustainable transport are discussed. More so, some of the aspects of smart transport for modern cities such as cycling and the role of women in sustainable transport were explored. With the aim of getting to the core of the subject, cases of women in bicycle transport, especially in the Netherlands and Germany compared to Kenya and Uganda are equally elucidated. Although not fully outlined, the idea of smart cities and sustainable transport have heterogeneous characteristics globally as discussed herein.</t>
  </si>
  <si>
    <t>[Bamwesigye, Dastan; Hlavackova, Petra] Mendel Univ Brno, Fac Forestry &amp; Wood Technol, Dept Forest &amp; Wood Prod Econ &amp; Policy, Brno 61300, Czech Republic</t>
  </si>
  <si>
    <t>Mendel University in Brno</t>
  </si>
  <si>
    <t>Bamwesigye, D (corresponding author), Mendel Univ Brno, Fac Forestry &amp; Wood Technol, Dept Forest &amp; Wood Prod Econ &amp; Policy, Brno 61300, Czech Republic.</t>
  </si>
  <si>
    <t>bamwesigyedastan@gmail.com; petra.hlavackova@mendelu.cz</t>
  </si>
  <si>
    <t>Hlaváčková, Petra/D-9435-2014; Hlavackova, Petra/D-9435-2014; Bamwesigye, Dastan/I-5867-2018</t>
  </si>
  <si>
    <t>Hlavackova, Petra/0000-0002-3026-5873; Bamwesigye, Dastan/0000-0002-5114-443X</t>
  </si>
  <si>
    <t>APR 1</t>
  </si>
  <si>
    <t>10.3390/su11072140</t>
  </si>
  <si>
    <t>HW2WV</t>
  </si>
  <si>
    <t>WOS:000466551600317</t>
  </si>
  <si>
    <t>Chui, KT; Lytras, MD; Visvizi, A</t>
  </si>
  <si>
    <t>Chui, Kwok Tai; Lytras, Miltiadis D.; Visvizi, Anna</t>
  </si>
  <si>
    <t>Energy Sustainability in Smart Cities: Artificial Intelligence, Smart Monitoring, and Optimization of Energy Consumption</t>
  </si>
  <si>
    <t>artificial intelligence; demand response; energy; policy making; genetic algorithm; multiple kernel learning; non-intrusive load monitoring; smart grid; smart metering; support vector machine; smart cities; smart villages</t>
  </si>
  <si>
    <t>LOAD DISAGGREGATION; ELECTRICITY MARKET; TRANSACTIVE ENERGY; HOME-MICROGRIDS; FRAMEWORK; POWER; MANAGEMENT</t>
  </si>
  <si>
    <t>Energy sustainability is one of the key questions that drive the debate on cities' and urban areas development. In parallel, artificial intelligence and cognitive computing have emerged as catalysts in the process aimed at designing and optimizing smart services' supply and utilization in urban space. The latter are paramount in the domain of energy provision and consumption. This paper offers an insight into pilot systems and prototypes that showcase in which ways artificial intelligence can offer critical support in the process of attaining energy sustainability in smart cities. To this end, this paper examines smart metering and non-intrusive load monitoring (NILM) to make a case for the latter's value added in context of profiling electric appliances' electricity consumption. By employing the findings in context of smart cities research, the paper then adds to the debate on energy sustainability in urban space. Existing research tends to be limited by data granularity (not in high frequency) and consideration of about six kinds of appliances. In this paper, a hybrid genetic algorithm support vector machine multiple kernel learning approach (GA-SVM-MKL) is proposed for NILM, with consideration of 20 kinds of appliance. Genetic algorithm helps to solve the multi-objective optimization problem and design the optimal kernel function based on various kernel properties. The performance indicators are sensitivity (S-e), specificity (S-p) and overall accuracy (OA) of the classifier. First, the performance evaluation of proposed GA-SVM-MKL achieves S-e of 92.1%, S-p of 91.5% and OA of 91.8%. Second, the percentage improvement of performance indicators using proposed method is more than 21% compared with traditional kernel. Third, results reveal that by keeping different modes of electric appliance as identical class label, the performance indicators can increase to about 15%. Forth, tunable modes of GA-SVM-MKL classifier are proposed to further enhance the performance indicators up to 7%. Overall, this paper is a bold and novel contribution to the debate on energy utilization and sustainability in urban spaces as it integrates insights from artificial intelligence, IoT, and big data analytics and queries them in a context defined by energy sustainability in smart cities.</t>
  </si>
  <si>
    <t>[Chui, Kwok Tai] City Univ Hong Kong, Dept Elect Engn, Hong Kong, Hong Kong, Peoples R China; [Lytras, Miltiadis D.; Visvizi, Anna] Amer Coll Greece, Deree Coll, Sch Business &amp; Econ, Gravias 6, Aghia Paraskevi 15342, Greece; [Lytras, Miltiadis D.] Effat Univ, Effat Coll Engn, POB 34689, Jeddah 21478, Saudi Arabia; [Visvizi, Anna] Effat Univ, Effat Coll Business, POB 34689, Jeddah 21478, Saudi Arabia</t>
  </si>
  <si>
    <t>City University of Hong Kong; American College of Greece; Effat University; Effat University</t>
  </si>
  <si>
    <t>Chui, KT (corresponding author), City Univ Hong Kong, Dept Elect Engn, Hong Kong, Hong Kong, Peoples R China.</t>
  </si>
  <si>
    <t>ktchui3-c@my.cityu.edu.hk; mlytras@acg.edu; avisvizi@acg.edu</t>
  </si>
  <si>
    <t>Lytras, Miltiadis/P-8195-2016; Chui, Kwok Tai/T-7346-2019; Visvizi, Anna/AFV-1944-2022</t>
  </si>
  <si>
    <t>Lytras, Miltiadis/0000-0002-7281-5458; Visvizi, Anna/0000-0003-3240-3771; Chui, Kwok Tai/0000-0001-7992-9901</t>
  </si>
  <si>
    <t>10.3390/en11112869</t>
  </si>
  <si>
    <t>HC4ZT</t>
  </si>
  <si>
    <t>WOS:000451814000007</t>
  </si>
  <si>
    <t>Letnik, T; Hanzic, K; Luppino, G; Mencinger, M</t>
  </si>
  <si>
    <t>Letnik, Tomislav; Hanzic, Katja; Luppino, Giuseppe; Mencinger, Matej</t>
  </si>
  <si>
    <t>Impact of Logistics Trends on Freight Transport Development in Urban Areas</t>
  </si>
  <si>
    <t>logistics trends; urban freight; policy making; stakeholders' perspective</t>
  </si>
  <si>
    <t>CITY LOGISTICS; CONSOLIDATION CENTER; QUALITY PARTNERSHIP; COEFFICIENT ALPHA; SUPPLY CHAIN; FRAMEWORK; IMPLEMENTATION; CHALLENGES; PERSPECTIVE; MANAGEMENT</t>
  </si>
  <si>
    <t>City logistics is subject to constant development, generated by new logistics trends and high customers' expectations. With the aim of creating an effective, acceptable, and sustainable city logistics policy, it is therefore essential to understand logistics trends and their expected impact on the development of urban freight transport in the future. In this paper, we explore and compare the expectations of public authorities, business, and academia regarding the short-, medium-, and long-term impacts of different logistics trends on urban logistics. Following a literature review, the expert survey was used to assess the expected impact and time horizon. According to the respondents, e-commerce, automated vehicles, electric vehicles, grey power logistics, omni-channel logistics, and the desire for speed will have the greatest impact on urban freight transport in the future. An interesting observation concerns some differences of opinion between public and private stakeholders. In general, the business community believes that the identified trends will have a greater impact on urban logistics in a shorter period of time, while public authorities believe that the mentioned trends will have a less strong impact on urban logistics in a longer time scale. This shows the need for more active collaboration between them in the policy-making process.</t>
  </si>
  <si>
    <t>[Letnik, Tomislav; Hanzic, Katja; Mencinger, Matej] Univ Maribor, Fac Civil Engn Transportat Engn &amp; Architecture, Smetanova 17, Maribor 2000, Slovenia; [Luppino, Giuseppe] Inst Transport &amp; Logist ITL, Viale Aldo Moro 38, I-40127 Bologna, Italy</t>
  </si>
  <si>
    <t>University of Maribor</t>
  </si>
  <si>
    <t>Mencinger, M (corresponding author), Univ Maribor, Fac Civil Engn Transportat Engn &amp; Architecture, Smetanova 17, Maribor 2000, Slovenia.</t>
  </si>
  <si>
    <t>matej.mencinger@um.si</t>
  </si>
  <si>
    <t>; Letnik, Tomislav/AAH-1603-2021; Luppino, Giuseppe/KHD-9899-2024</t>
  </si>
  <si>
    <t>Mencinger, Matej/0000-0002-1715-0297; Letnik, Tomislav/0000-0002-5361-0385; Luppino, Giuseppe/0009-0006-2490-5367</t>
  </si>
  <si>
    <t>10.3390/su142416551</t>
  </si>
  <si>
    <t>7G5FG</t>
  </si>
  <si>
    <t>WOS:000902549400001</t>
  </si>
  <si>
    <t>Dinh, DV; Yoon, BN; Le, HN; Nguyen, UQ; Phan, KD; Pham, LD</t>
  </si>
  <si>
    <t>Dzung Van Dinh; Yoon, Byeong-Nam; Hung Ngoc Le; Uy Quoc Nguyen; Khoa Dang Phan; Lam Dinh Pham</t>
  </si>
  <si>
    <t>ICT Enabling Technologies for Smart Cities</t>
  </si>
  <si>
    <t>2020 22ND INTERNATIONAL CONFERENCE ON ADVANCED COMMUNICATION TECHNOLOGY (ICACT): DIGITAL SECURITY GLOBAL AGENDA FOR SAFE SOCIETY!</t>
  </si>
  <si>
    <t>International Conference on Advanced Communication Technology</t>
  </si>
  <si>
    <t>22nd IEEE International Conference on Advanced Communication Technology (ICACT)</t>
  </si>
  <si>
    <t>FEB 16-19, 2020</t>
  </si>
  <si>
    <t>Pyeongchang, SOUTH KOREA</t>
  </si>
  <si>
    <t>IoT; SDN; NFV; 5G; Cloud Platform; IoT Platform; Big Data Platform; IoT Analytics</t>
  </si>
  <si>
    <t>CHALLENGES</t>
  </si>
  <si>
    <t>A smart city adjusts its social, business, and natural needs, improving the assets it has accessible. Information and Communications Technology (ICT) for shrewd urban areas is to give city answers for encourage an improvement and manageability of a city for the advantage of its population, its economy, and the greater ecosystem in the city. It is to gauge a keen city as far as the enhancements in personal satisfaction and monetary prosperity that are accomplished through applying ICT innovations to design, outline, fabricate, and work the city foundation. In smart city applications, the initial phase in the information's voyage through the application is its gathering by the diverse advancements conveyed all through the city. This paper surveys data acquisition technologies such as Sensor Networks, MANETs, Unmanned Aerial Vehicles (UAVs), Vehicular Ad hoc Networks (VANETs), Internet of Things (IoT), Software-Defined Networking(SDN), Network Functions Virtualization (NFV), 5G. Next, it demonstrates information processing technologies, for example, Cloud Platform, IoT Platform, Big Data Platform, Machine Learning, Deep Learning, and IoT Analytics. Encouraging data spread between various nodes is vital to savvy city acknowledgment. Last, because of the presence of various types of end users (e.g., residents, organizations, government offices, and so forth.) requiring distinctive levels of nature of management, the paper exhibits a proposed testbed solution and recent associated experiments.</t>
  </si>
  <si>
    <t>[Dzung Van Dinh; Khoa Dang Phan; Lam Dinh Pham] Vietnam Natl Univ VNU, Informat Technol Inst, Hanoi, Vietnam; [Yoon, Byeong-Nam] Global IT Res Inst GIRI, Pyeongchang, South Korea; [Hung Ngoc Le] VKX Ltd, Viet Nam Korea Exchange Joint Venture Co, Hanoi, Vietnam; [Uy Quoc Nguyen] PTIT Posts &amp; Telecommun Inst Technol, Hanoi, Vietnam</t>
  </si>
  <si>
    <t>Vietnam National University Hanoi (VNU Hanoi) System</t>
  </si>
  <si>
    <t>Dinh, DV (corresponding author), Vietnam Natl Univ VNU, Informat Technol Inst, Hanoi, Vietnam.</t>
  </si>
  <si>
    <t>dzung.dinh@vnu.edu.vn; tomayoon@hotmail.com; lnhung@vkx.com.vn; nguyenquocuy2008@gmail.com; khoapd@vnu.edu.vn; phamdinhlam@vnu.edu.vn</t>
  </si>
  <si>
    <t>Pham, Dinh-Lam/V-9121-2019</t>
  </si>
  <si>
    <t>project: ASEAN forum for Software Defined System on Disaster Mitigation and Smart Cities - National Institute of Information and Communications (NICT, Japan) under the ASEAN IVO program (ICT Virtual Organization of ASEAN Institutes); project: ASEAN forum for Software Defined System on Disaster Mitigation and Smart Cities - National Institute of Information and Communications (NICT, Japan) under the ASEAN IVO program (NICT); project: IoT Open Innovation Platform - National Institute of Information and Communications (NICT, Japan) under the ASEAN IVO program (ICT Virtual Organization of ASEAN Institutes); project: IoT Open Innovation Platform - National Institute of Information and Communications (NICT, Japan) under the ASEAN IVO program (NICT)</t>
  </si>
  <si>
    <t>Authors acknowledge support from the research projects: ASEAN forum for Software Defined System on Disaster Mitigation and Smart Cities and IoT Open Innovation Platform, which are funded by National Institute of Information and Communications (NICT, Japan) under the ASEAN IVO program (ICT Virtual Organization of ASEAN Institutes and NICT).</t>
  </si>
  <si>
    <t>1738-9445</t>
  </si>
  <si>
    <t>979-11-88428-04-5</t>
  </si>
  <si>
    <t>INT CONF ADV COMMUN</t>
  </si>
  <si>
    <t>10.23919/icact48636.2020.9061541</t>
  </si>
  <si>
    <t>Computer Science, Theory &amp; Methods; Telecommunications</t>
  </si>
  <si>
    <t>BQ1KR</t>
  </si>
  <si>
    <t>WOS:000576739100125</t>
  </si>
  <si>
    <t>Nápoles, VMP; Páez, DG; Penelas, JLE; García, GG; Santacruz, MJG</t>
  </si>
  <si>
    <t>Callejo, LH; Nesmachnow, S</t>
  </si>
  <si>
    <t>Padron Napoles, Victor Manuel; Gachet Paez, Diego; Esteban Penelas, Jose Luis; Garcia Garcia, German; Garcia Santacruz, Maria Jose</t>
  </si>
  <si>
    <t>Bus Stops as a Tool for Increasing Social Inclusiveness in Smart Cities</t>
  </si>
  <si>
    <t>SMART CITIES, ICSC-CITIES 2019</t>
  </si>
  <si>
    <t>2nd Ibero-American Congress of Smart Cities-ICSC-CITIES</t>
  </si>
  <si>
    <t>OCT 07-09, 2019</t>
  </si>
  <si>
    <t>Soria, SPAIN</t>
  </si>
  <si>
    <t>Smart Cities; Inclusive transport; Smart bus stops; Mobility systems</t>
  </si>
  <si>
    <t>In the last years, the concept of Smart City has moved from a predominantly technological perspective towards a more human based approach, where terms as sustainability and inclusiveness are presents and are part of a new concept referred as Human Smart Cities. In this context, the mobility of people and services represents one of the major challenges that cities must solve. Therefore, urban mobility policies must integrate new mobility needs as well as minimize the impact transportation has on the environment and the quality of life in our cities. Urban areas need to develop new sustainable urban mobility systems integrating traffic state, transport users demand, transport capacity providers, etc. These requirements involve the use of new techniques and methods as Big Data and IoT, but it is necessary to include a social component to ensure social inclusion and inclusiveness, sustainability and inclusiveness. In this paper, we describe some challenges regarding barriers to access new mobility systems and their relevant information. Therefore, we propose a smart bus stop taking into account cultural and socioeconomics characteristics of the transport users employing as a basis the access to information systems.</t>
  </si>
  <si>
    <t>[Padron Napoles, Victor Manuel; Gachet Paez, Diego; Esteban Penelas, Jose Luis; Garcia Garcia, German] Univ Europea Madrid, Escuela Arquitectura Ingn &amp; Disetio, C-Tajo S-N, Madrid, Spain; [Garcia Santacruz, Maria Jose] Univ Europea Madrid, Fac Ciencias Sociales &amp; Comunicac, C Tajo S-N, Madrid, Spain</t>
  </si>
  <si>
    <t>European University of Madrid; European University of Madrid</t>
  </si>
  <si>
    <t>Páez, DG (corresponding author), Univ Europea Madrid, Escuela Arquitectura Ingn &amp; Disetio, C-Tajo S-N, Madrid, Spain.</t>
  </si>
  <si>
    <t>victor.padron@universidadeuropea.es; diego.gachet@universidadeuropea.es; jluis.esteban@universidadeuropea.es; gerggcl@gmail.com; mariajo-se.garcia3@universidadeuropea.es</t>
  </si>
  <si>
    <t>Nápoles, Víctor/ABG-2585-2020; Páez, Diego/N-3277-2014</t>
  </si>
  <si>
    <t>Padrón Nápoles, Víctor Manuel/0000-0002-9207-9320;</t>
  </si>
  <si>
    <t>Universidad Europea de Madrid [2018/UEM06]</t>
  </si>
  <si>
    <t>Universidad Europea de Madrid</t>
  </si>
  <si>
    <t>This research was funded by Universidad Europea de Madrid grant number 2018/UEM06. We want to express our deep gratitude to all those persons and institutions that are helping and supporting us in the realization of this project. We want to thank the institutional support from the Municipal Transport Company (EMT) of Madrid, for the kindly support of its executives and technical staff; and at last, but not at least, to Asad Syed from Retail Sensing for his kindly support and sponsorship with the APC system. To all of you, thank you very much.</t>
  </si>
  <si>
    <t>978-3-030-38888-1; 978-3-030-38889-8</t>
  </si>
  <si>
    <t>10.1007/978-3-030-38889-8_17</t>
  </si>
  <si>
    <t>Computer Science, Information Systems; Computer Science, Interdisciplinary Applications; Computer Science, Theory &amp; Methods</t>
  </si>
  <si>
    <t>BY3GP</t>
  </si>
  <si>
    <t>WOS:001416304400017</t>
  </si>
  <si>
    <t>Mangano, G; Zenezini, G; Cagliano, AC; De Marco, A</t>
  </si>
  <si>
    <t>Mangano, Giulio; Zenezini, Giovanni; Cagliano, Anna Corinna; De Marco, Alberto</t>
  </si>
  <si>
    <t>The dynamics of diffusion of an electronic platform supporting City Logistics services</t>
  </si>
  <si>
    <t>OPERATIONS MANAGEMENT RESEARCH</t>
  </si>
  <si>
    <t>System Dynamics; City Logistics; Simulation modelling; Technology adoption; Multi-stakeholder platforms</t>
  </si>
  <si>
    <t>OFF-HOUR DELIVERIES; FREIGHT TRANSPORT; URBAN LOGISTICS; INNOVATION; MODEL; CENTERS; SIMULATION; EFFICIENCY; LOCATION; SYSTEMS</t>
  </si>
  <si>
    <t>The concept of City Logistics (CL) has emerged to reduce social, economic, and environmental impacts of last-mile freight distribution in urban areas. The case of an innovative ICT platform for CL management is presented here, together with a System Dynamics model developed to explore the dynamics of diffusion of such initiative by three populations of users, namely, municipalities, own-account carriers, and logistics service providers. The model structure and parameters are shaped on diffusion models available in literature as well as participatory focus group sessions with the stakeholders. In particular, during the focus group sessions, the stakeholders used the Business Model Canvas building blocks to identify the value propositions delivered by the platform. Results show that routing efficiency, incentives to private operators for sustainable behaviours, and advertising campaigns to stimulate the cross-side effect among the stakeholders can stimulate the diffusion of this service. These results highlight a strong demand expressed by the CL stakeholders for ICT services supporting more efficient urban logistics operations, although it also confirms the need for public support for their diffusion.</t>
  </si>
  <si>
    <t>[Mangano, Giulio; Zenezini, Giovanni; Cagliano, Anna Corinna; De Marco, Alberto] Politecn Torino, Dept Management &amp; Prod Engn, Corso Duca Abruzzi 24, I-10129 Turin, Italy</t>
  </si>
  <si>
    <t>Zenezini, G (corresponding author), Politecn Torino, Dept Management &amp; Prod Engn, Corso Duca Abruzzi 24, I-10129 Turin, Italy.</t>
  </si>
  <si>
    <t>giulio.mangano@polito.it; Giovanni.zenezini@polito.it; Anna.cagliano@polito.it; Alberto.demarco@polito.it</t>
  </si>
  <si>
    <t>; Zenezini, Giovanni/ABD-6318-2020; De Marco, Alberto/A-4115-2011</t>
  </si>
  <si>
    <t>De Marco, Alberto/0000-0002-4145-2287; Zenezini, Giovanni/0000-0002-0996-6739;</t>
  </si>
  <si>
    <t>Italian Ministry for Education, University and Research (MIUR) [SCN_00200]</t>
  </si>
  <si>
    <t>Italian Ministry for Education, University and Research (MIUR)(Ministry of Education, Universities and Research (MIUR))</t>
  </si>
  <si>
    <t>This work was developed under funding by the Italian Ministry for Education, University and Research (MIUR), project titled URBeLOG, n. SCN_00200, awarder of call for proposal under funding scheme Smart Cities and Communities.</t>
  </si>
  <si>
    <t>1936-9735</t>
  </si>
  <si>
    <t>1936-9743</t>
  </si>
  <si>
    <t>OPER MANAGE RES</t>
  </si>
  <si>
    <t>Oper. Manag. Res.</t>
  </si>
  <si>
    <t>3-4</t>
  </si>
  <si>
    <t>10.1007/s12063-019-00147-7</t>
  </si>
  <si>
    <t>DEC 2019</t>
  </si>
  <si>
    <t>KI9HU</t>
  </si>
  <si>
    <t>WOS:000501231800001</t>
  </si>
  <si>
    <t>Guedes, SB; de Carvalho, RA; da Hora, HRM</t>
  </si>
  <si>
    <t>Guedes, Sandro Bouth; de Carvalho, Rogerio Atem; Monteiro da Hora, Henrique Rego</t>
  </si>
  <si>
    <t>PATENT PROSPECTION IN WIND POWER GENERATION TECHNOLOGIES FOR USE IN URBAN AREAS</t>
  </si>
  <si>
    <t>INTERNATIONAL JOURNAL OF INNOVATION</t>
  </si>
  <si>
    <t>Renewable energy; Wind energy; Urban areas</t>
  </si>
  <si>
    <t>Objective of the study: To investigate through technological prospecting patents in the generation of wind energy within urban environments, aiming to generate new options for the transition of electrical energy through a clean and sustainable matrix, meeting concepts of smart cities. Methodology: The study was carried out in a relevant patent base, such as in journals, observing the volume of patents in the technological area of interest in an exploratory nature, with a prospective objective, for an evaluation in technological intelligence. Main results: In the volume of technologies for wind power generation, which are possible within urban areas, there is a quantitative yet reduced amount of possible generators for use in urban areas, contrasted to traditional technologies already explored, able to meet the objective of the study, which is to identify opportunities for the transition of electric power through a clean and sustainable matrix, meeting concepts of smart cities, generating new business models and therefore in unfolding new developments. Theoretical/methodological contributions: It contributes with studies based on technological intelligence that generate opportunities for a deeper analysis of available technologies for this replacement in our energy matrix since Brazil is a protagonist in Latin America in wind power generation. Contributions of the association/management: This research contributes to the study and use of new opportunities for wind power generation within urban areas with lower socio-environmental impact and business generation in a domestic environment.</t>
  </si>
  <si>
    <t>[Guedes, Sandro Bouth; de Carvalho, Rogerio Atem; Monteiro da Hora, Henrique Rego] Inst Fed Educ Ciencia &amp; Tecnol Fluminense, Campos Dos Goytacazes, RJ, Brazil</t>
  </si>
  <si>
    <t>Instituto Federal Fluminense</t>
  </si>
  <si>
    <t>Guedes, SB (corresponding author), Inst Fed Educ Ciencia &amp; Tecnol Fluminense, Campos Dos Goytacazes, RJ, Brazil.</t>
  </si>
  <si>
    <t>bouth.guedes@gsuite.iff.edu.br; r.atem@gsuite.iff.edu.br; henrique.hora@gsuite.iff.edu.br</t>
  </si>
  <si>
    <t>da Hora, Henrique/A-3703-2013; De Carvalho, Rogerio/H-9574-2019; de Carvalho, Rogerio/H-9574-2019; Rego Monteiro da Hora, Henrique/A-3703-2013</t>
  </si>
  <si>
    <t>Bouth Guedes, Sano/0000-0002-1331-7213; de Carvalho, Rogerio/0000-0003-4429-2482; Rego Monteiro da Hora, Henrique/0000-0001-7192-9245</t>
  </si>
  <si>
    <t>UNIV NOVE JULHO</t>
  </si>
  <si>
    <t>AV FRANCISCO MATARAZZO 612, AGUA BRANCA, SAO PAULO, C05001-100, BRAZIL</t>
  </si>
  <si>
    <t>2318-9975</t>
  </si>
  <si>
    <t>INT J INNOV</t>
  </si>
  <si>
    <t>Int. J. Innov.</t>
  </si>
  <si>
    <t>10.5585/iji.10i3.21474</t>
  </si>
  <si>
    <t>Business</t>
  </si>
  <si>
    <t>6A3NH</t>
  </si>
  <si>
    <t>WOS:000880563800009</t>
  </si>
  <si>
    <t>Doshi, S; Roy, P; Iyer, M; Mishra, G</t>
  </si>
  <si>
    <t>Geurs, K; Samat, N; Pradono; Syabri, I; Andani, IGA</t>
  </si>
  <si>
    <t>Doshi, S.; Roy, P.; Iyer, M.; Mishra, G.</t>
  </si>
  <si>
    <t>The need and rise of secondary smart cities: a case of Bhuj</t>
  </si>
  <si>
    <t>5TH PLANOCOSMO INTERNATIONAL CONFERENCE INFRASTRUCTURE FOR ALL: SMART, INNOVATIVE, AND INCLUSIVE</t>
  </si>
  <si>
    <t>IOP Conference Series-Earth and Environmental Science</t>
  </si>
  <si>
    <t>5th PlanoCosmo International Conference on Infrastructure for All - Smart, Innovative, and Inclusive (PlanoCosmo)</t>
  </si>
  <si>
    <t>OCT 20-21, 2020</t>
  </si>
  <si>
    <t>Bandung, INDONESIA</t>
  </si>
  <si>
    <t>With the Fourth Industrial Revolution, cities are being acknowledged by various city leaders, urbanists, and urban enthusiasts as the employing giants of the world. Urbanization has led to people migrating to urban nodes, not only from rural to urban but from urban to urban areas as well, thereby, leading to a significant influx of migrants. This is more evident in the fast-growing secondary cities that are becoming the new job centres. However, while incorporating a Master Planning and Development Planning approach, there is a consequential crisis of resource and infrastructure while accommodating the new residents. Coupled with the rise of health emergencies such as cholera and now, recently, COVID-19, the cities are calling for better management and administration of resources, especially water resources in the cities of the global south. As envisioned in various debates, 2/3rd of the world's population shall reside in urban areas. Self-sufficiency and resource management are going to be prime concerns soon. In Bhuj, the district headquarters of Kutch in Gujarat, India, a water crisis is already evident, and the city will need to cope up with this increasing demand for the better. This provides a potential for the development of a framework that can lay out a more efficient system for resource provision and administration. The Smart Cities initiative can act as a tool for bridging the gaps between technology and sociology. This study, therefore, acknowledges the potential by understanding the concept of smart cities, the application, and nuances of the concept in India, where the concept has started to hold ground as a notion in the form of Government-led Smart City Competitions. This research aims to study the various frameworks and mechanisms related to smart cities and Smart Cities Mission, and how the different verticals of the framework, i.e. physical, social, economic, and governance points of view, are co-dependent on each other. The study also acknowledges the existing arguments surrounding the potential of secondary cities like Bhuj, and how the efficiency in terms of water sensitivity can be improved optimally by bringing all stakeholders to the table and trigger discussions to provide a better quality of life to the citizens. The paper aims at urban enthusiasts, academicians, citizen groups, and decision-makers to dive into the potentials of the water-sensitive aspects of the Smart Cities Mission and how secondary fast-growing cities can gain some headway with this.</t>
  </si>
  <si>
    <t>[Doshi, S.; Roy, P.; Iyer, M.; Mishra, G.] CEPT Univ, Ahmadabad 380009, Gujarat, India</t>
  </si>
  <si>
    <t>CEPT University</t>
  </si>
  <si>
    <t>Doshi, S (corresponding author), CEPT Univ, Ahmadabad 380009, Gujarat, India.</t>
  </si>
  <si>
    <t>siddh.doshi@cept.ac.in</t>
  </si>
  <si>
    <t>IOP PUBLISHING LTD</t>
  </si>
  <si>
    <t>BRISTOL</t>
  </si>
  <si>
    <t>DIRAC HOUSE, TEMPLE BACK, BRISTOL BS1 6BE, ENGLAND</t>
  </si>
  <si>
    <t>1755-1307</t>
  </si>
  <si>
    <t>IOP C SER EARTH ENV</t>
  </si>
  <si>
    <t>IOP Conf. Ser. Earth Envir. Sci.</t>
  </si>
  <si>
    <t>10.1088/1755-1315/592/1/012010</t>
  </si>
  <si>
    <t>Green &amp; Sustainable Science &amp; Technology; Engineering, Environmental; Engineering, Civil; Environmental Sciences; Environmental Studies; Regional &amp; Urban Planning; Urban Studies</t>
  </si>
  <si>
    <t>Science &amp; Technology - Other Topics; Engineering; Environmental Sciences &amp; Ecology; Public Administration; Urban Studies</t>
  </si>
  <si>
    <t>BR4HQ</t>
  </si>
  <si>
    <t>WOS:000651410800010</t>
  </si>
  <si>
    <t>Dahmardeh, M; Telhada, J; Carvalho, MS; Paisana, A</t>
  </si>
  <si>
    <t>Dahmardeh, Morteza; Telhada, Jose; Carvalho, Maria Sameiro; Paisana, Antonio</t>
  </si>
  <si>
    <t>Urban Logistics: A Systematic Literature Review</t>
  </si>
  <si>
    <t>2018 7TH INTERNATIONAL CONFERENCE ON INDUSTRIAL TECHNOLOGY AND MANAGEMENT (ICITM 2018)</t>
  </si>
  <si>
    <t>7th International Conference on Industrial Technology and Management (ICITM)</t>
  </si>
  <si>
    <t>MAR 07-09, 2018</t>
  </si>
  <si>
    <t>Oxford, ENGLAND</t>
  </si>
  <si>
    <t>city logistics; urban freight transport; urban goods movement; urban distribution; sustainable freight transport; city distribution; urban freight delivery and last mile</t>
  </si>
  <si>
    <t>CITY LOGISTICS; NETWORKS; PICKUP</t>
  </si>
  <si>
    <t>City Logistics aims to reduce the nuisances associated to freight transportation in urban areas while supporting the economic and social development of the cities. Sustainable freight transport today are on the political, social and technological agenda of many actors operating in urban contexts. The purpose of this paper is to present a systematic literature review (SLR) that aims to consolidate the knowledge on urban logistics by reviewing the developments of the last 17 years in the field of Freight Transport research and innovation. The majority of articles focused on issues like commodity flows and economic modelling aspects, but there has been relatively little research reported on issues like collaboration among stakeholders, usage of Intelligent Transportation Systems (ITS) and E-commerce. Finally, based on the findings from the literature review, future research directions are proposed in an attempt to stimulate further studies on emerging trends and innovative strategies in the broad area of urban logistics.</t>
  </si>
  <si>
    <t>[Dahmardeh, Morteza; Telhada, Jose; Carvalho, Maria Sameiro; Paisana, Antonio] Univ Minho, Algoritmi Res Ctr, Guimaraes, Portugal</t>
  </si>
  <si>
    <t>Universidade do Minho</t>
  </si>
  <si>
    <t>Dahmardeh, M (corresponding author), Univ Minho, Algoritmi Res Ctr, Guimaraes, Portugal.</t>
  </si>
  <si>
    <t>Morteza.dahmardeh@dps.uminho.pt; telhada@dps.uminho.pt; sameiro@dps.uminho.pt; apaisana@dps.uminho.pt</t>
  </si>
  <si>
    <t>carvalho, maria/E-6812-2012; Carvalho, Maria/E-6812-2012; Telhada, José/P-5697-2014; Paisana, Antonio/O-6399-2015</t>
  </si>
  <si>
    <t>carvalho, maria/0000-0001-7057-6775;</t>
  </si>
  <si>
    <t>COMPETE [POCI-01-0145-FEDER-007043]; FCT -Funda gap para a Ci &amp;via e Tecnologia [UID/CEC/00319/2013]</t>
  </si>
  <si>
    <t>COMPETE; FCT -Funda gap para a Ci &amp;via e Tecnologia</t>
  </si>
  <si>
    <t>This work has been supported by COMPETE: POCI-01-0145-FEDER-007043 and FCT -Funda gap para a Ci &amp;via e Tecnologia within the Project Scope: UID/CEC/00319/2013.</t>
  </si>
  <si>
    <t>978-1-5386-1329-0</t>
  </si>
  <si>
    <t>BQ4CH</t>
  </si>
  <si>
    <t>WOS:000588554200052</t>
  </si>
  <si>
    <t>Bran, M; Frigura-fliasa, M; Filipescu, HE; Dolga, L; Vatau, V; Iorga, M</t>
  </si>
  <si>
    <t>Bran, Mariana; Frigura-fliasa, Mihaela; Filipescu, Hannelore Elfride; Dolga, Lia; Vatau, Vlad; Iorga, Mirela</t>
  </si>
  <si>
    <t>Case Study about Smart Integrated Utilities for Smart Cities</t>
  </si>
  <si>
    <t>2020 IEEE 18TH WORLD SYMPOSIUM ON APPLIED MACHINE INTELLIGENCE AND INFORMATICS (SAMI 2020)</t>
  </si>
  <si>
    <t>18th IEEE World Symposium on Applied Machine Intelligence and Informatics (SAMI)</t>
  </si>
  <si>
    <t>JAN 23-25, 2020</t>
  </si>
  <si>
    <t>Herlany, SLOVAKIA</t>
  </si>
  <si>
    <t>Integrated utilities; smart grid; information technologies; automation</t>
  </si>
  <si>
    <t>The unprecedented expansion of urban areas is a great challenge, but also a great opportunity to develop new technologies and services that will change the way we see and perceive our society. The exponential improvement of our electronics, telecommunication/information technologies, and the lower cost of production, allows us to solve complex challenges and bold leaps in the development of urban areas. This article proposes a solution for integrated utilities, addressing the challenges that come with large telecommunication, water, gas and electricity networks, in order to provide services at a low, reliable and sustainable price. For the future, it is expected that millions of distributed, storage and management power generation systems, but equipped with autonomous intelligence and automation to increase the economy, sustainability, reliability and security of technical-municipal networks.</t>
  </si>
  <si>
    <t>[Bran, Mariana; Frigura-fliasa, Mihaela] Politehn Univ Timisoara, Power Syst Dept, Timisoara, Romania; [Filipescu, Hannelore Elfride; Dolga, Lia] Politehn Univ Timisoara, Mechatron Dept, Timisoara, Romania; [Vatau, Vlad] Politehn Univ Timisoara, Elect Dept, Timisoara, Romania; [Iorga, Mirela] Natl Inst Res &amp; Dev Electrochem &amp; Condensed Matte, Timisoara, Romania</t>
  </si>
  <si>
    <t>Universitatea Politehnica Timisoara; Universitatea Politehnica Timisoara; Universitatea Politehnica Timisoara</t>
  </si>
  <si>
    <t>Bran, M (corresponding author), Politehn Univ Timisoara, Power Syst Dept, Timisoara, Romania.</t>
  </si>
  <si>
    <t>mariana_bran91@yahoo.com; mihaela.frigura@upt.ro; hannelore.filipescu@upt.ro; lia.dolga@upt.ro; vlad.vatau@student.upt.ro; mirela_iorga@yahoo.com</t>
  </si>
  <si>
    <t>Iorga, Mirela'Ioana/MCI-8099-2025</t>
  </si>
  <si>
    <t>978-1-7281-3149-8</t>
  </si>
  <si>
    <t>10.1109/sami48414.2020.9108772</t>
  </si>
  <si>
    <t>Computer Science, Artificial Intelligence; Computer Science, Theory &amp; Methods; Engineering, Electrical &amp; Electronic</t>
  </si>
  <si>
    <t>BQ4HN</t>
  </si>
  <si>
    <t>WOS:000589772600005</t>
  </si>
  <si>
    <t>Sikder, AK; Acar, A; Aksu, H; Uluagac, AS; Akkaya, K; Conti, M</t>
  </si>
  <si>
    <t>Sikder, Amit Kumar; Acar, Abbas; Aksu, Hidayet; Uluagac, A. Selcuk; Akkaya, Kemal; Conti, Mauro</t>
  </si>
  <si>
    <t>IoT-enabled Smart Lighting Systems for Smart Cities</t>
  </si>
  <si>
    <t>2018 IEEE 8TH ANNUAL COMPUTING AND COMMUNICATION WORKSHOP AND CONFERENCE (CCWC)</t>
  </si>
  <si>
    <t>8th IEEE Annual Computing and Communication Workshop and Conference (CCWC)</t>
  </si>
  <si>
    <t>JAN 08-10, 2018</t>
  </si>
  <si>
    <t>Las Vegas, NV</t>
  </si>
  <si>
    <t>Smart Lighting; Internet of Things; Smart City</t>
  </si>
  <si>
    <t>CITY; INTERNET</t>
  </si>
  <si>
    <t>Over the past few decades, the rate of urbanization has increased enormously. More enhanced services and applications are needed in urban areas to provide a better lifestyle. Smart city, which is a concept of interconnecting modern digital technologies in the context of a city, is a potential solution to enhance the quality and performance of urban services. With the introduction of Internet-of-Things (IoT) in the smart city, new opportunities have emerged to develop new services and integrate different application domains with each other using Information and Communication Technologies. However, to ensure seamless services in an IoT-enabled smart city environment, all the applications have to be maintained with limited energy resources. One of the core sectors that can be improved significantly by implementing IoT is the lighting system of a city since it consumes more energy than other parts of a city. In a smart city, the lighting system is integrated with advanced sensors and communication channels to obtain a Smart Lighting System (SLS). The goal of an SLS is to obtain an autonomous and more efficient lighting management system. In this paper, we provide an overview of the SLS and review different IoT-enabled communication protocols, which can be used to realize the SLS in the context of a smart city. Moreover, we analyzed different usage scenarios for IoTenabled indoor and outdoor SLS and provide an analysis of the power consumption. Our results reveal that IoT-enabled smart lighting systems can reduce power consumption up to 33.33% in both indoor and outdoor settings. Finally, we discussed the future research directions in SLS in the smart city.</t>
  </si>
  <si>
    <t>[Sikder, Amit Kumar; Acar, Abbas; Aksu, Hidayet; Uluagac, A. Selcuk] Florida Int Univ, Dept Elect &amp; Comp Engn, Cyber Phys Syst Secur Lab CS, Miami, FL 33199 USA; [Akkaya, Kemal] Florida Int Univ, Dept Elect &amp; Comp Engn, Adv Wireless &amp; Secur Lab, Miami, FL 33199 USA; [Conti, Mauro] Univ Padua, Dept Math, SPRITZ Secur &amp; Privacy Res Grp, Padua, Italy</t>
  </si>
  <si>
    <t>State University System of Florida; Florida International University; State University System of Florida; Florida International University; University of Padua</t>
  </si>
  <si>
    <t>Sikder, AK (corresponding author), Florida Int Univ, Dept Elect &amp; Comp Engn, Cyber Phys Syst Secur Lab CS, Miami, FL 33199 USA.</t>
  </si>
  <si>
    <t>asikd003@fiu.com; aacar001@fiu.com; haksu@fiu.com; suluagac@fiu.com; kakkaya@fiu.com; conti@math.unipd.it</t>
  </si>
  <si>
    <t>Uluagac, A./P-9997-2015; Sikder, Amit/Y-4891-2019; Aksu, Hidayet/AAB-4346-2019; Uluagac, Selcuk/P-9997-2015; Conti, Mauro/F-9145-2012; Akkaya, Kemal/T-6147-2019</t>
  </si>
  <si>
    <t>Acar, Abbas/0000-0002-4891-160X; Sikder, Amit Kumar/0000-0002-0207-7154; Uluagac, Selcuk/0000-0002-9823-3464; Conti, Mauro/0000-0002-3612-1934;</t>
  </si>
  <si>
    <t>US National Science Foundation [NSF-CAREER-CNS-1453647]; Florida Center for Cybersecurity (FC2)'s Capacity Building Program [AWD000000007773]; Marie Curie Fellowship - European Commission [PCIG11-GA-2012-321980]; EU TagItSmart! Project [H2020-ICT30-2015-688061]; EU-India REACH Project [ICI+/2014/342-896]; project CNR-MOST/Taiwan 2016-17 Verifiable Data Structure Streaming; Cisco University Research Program Fund [2017-166478 (3696)]; Silicon Valley Community Foundation; Intel; Direct For Computer &amp; Info Scie &amp; Enginr; Division Of Computer and Network Systems [1453647] Funding Source: National Science Foundation</t>
  </si>
  <si>
    <t>US National Science Foundation(National Science Foundation (NSF)); Florida Center for Cybersecurity (FC2)'s Capacity Building Program; Marie Curie Fellowship - European Commission; EU TagItSmart! Project; EU-India REACH Project; project CNR-MOST/Taiwan 2016-17 Verifiable Data Structure Streaming; Cisco University Research Program Fund; Silicon Valley Community Foundation; Intel(Intel Corporation); Direct For Computer &amp; Info Scie &amp; Enginr; Division Of Computer and Network Systems(National Science Foundation (NSF)NSF - Directorate for Computer &amp; Information Science &amp; Engineering (CISE))</t>
  </si>
  <si>
    <t>This work is partially supported by US National Science Foundation (Award#: NSF-CAREER-CNS-1453647) and Florida Center for Cybersecurity (FC2)'s Capacity Building Program (Award#: AWD000000007773). This work is also partially supported by Marie Curie Fellowship funded by the European Commission (agreement PCIG11-GA-2012-321980), by the EU TagItSmart ! Project (agreement H2020-ICT30-2015-688061), the EU-India REACH Project (agreement ICI+/2014/342-896), by the project CNR-MOST/Taiwan 2016-17 Verifiable Data Structure Streaming, the grant n. 2017-166478 (3696) from Cisco University Research Program Fund and Silicon Valley Community Foundation, and by the grant Scalable IoT Management and Key security aspects in 5G systems from Intel.</t>
  </si>
  <si>
    <t>978-1-5386-4649-6</t>
  </si>
  <si>
    <t>Computer Science, Artificial Intelligence; Engineering, Electrical &amp; Electronic</t>
  </si>
  <si>
    <t>BL5BS</t>
  </si>
  <si>
    <t>WOS:000451221100103</t>
  </si>
  <si>
    <t>Porru, S; Misso, FE; Pani, FE; Repetto, C</t>
  </si>
  <si>
    <t>Porru, Simone; Misso, Francesco Edoardo; Pani, Filippo Eros; Repetto, Cino</t>
  </si>
  <si>
    <t>Smart mobility and public transport: Opportunities and challenges in rural and urban areas</t>
  </si>
  <si>
    <t>JOURNAL OF TRAFFIC AND TRANSPORTATION ENGINEERING-ENGLISH EDITION</t>
  </si>
  <si>
    <t>Transportation engineering; Smart mobility; Internet of things; Public transport; Smart city; Smart land</t>
  </si>
  <si>
    <t>INTERNET; THINGS</t>
  </si>
  <si>
    <t>Demographic changes in peripheral areas are pressuring the regional public transport systems to adopt innovative strategies. The employment of internet of things (IoT) technologies has proven to be a valid response to mobility challenges in rural areas, and has brought up the concept of smart land. Framed within the context of the Interreg Central Europe project RUMOBIL, this study tries to shed light on how the deployment of smart mobility solutions within the rural context compare to that within the urban context. Following a literature review, we compared the ease of implementation of different IoT the relative complexity of common smart mobility issues. In addition, we identified three major challenges for both rural and urban mobility, namely the need for standardized metrics for optimal routes' detection and a dynamic definition of optimal route, as well as the simplification of investments' planning and programming. Both smart cities and smart land can benefit from smart mobility solutions, even if in most cases, each of the two contexts can gain more advantages than the other from the same solution. Even considering the different levels of population scattering, technological infrastructures, social maturity, and economic opportunities, both rural and urban areas offer comparable advantages. For the future of transport, it is up to all policy levels to consider the challenges deriving from expected trends and leverage the untapped potential of IoT technologies to satisfy future travellers' needs and ensure sustainability. (C) 2019 Periodical Offices of Changan University. Publishing services by Elsevier B.V. on behalf of Owner.</t>
  </si>
  <si>
    <t>[Porru, Simone; Misso, Francesco Edoardo; Pani, Filippo Eros; Repetto, Cino] T Bridge SpA, I-16124 Genoa, Italy</t>
  </si>
  <si>
    <t>Porru, S (corresponding author), T Bridge SpA, I-16124 Genoa, Italy.</t>
  </si>
  <si>
    <t>s.porru@tbridge.it; f.misso@tbridge.it; f.pani@tbridge.it; c.repetto@tbridge.it</t>
  </si>
  <si>
    <t>Porru, Simone/0000-0002-8448-9282</t>
  </si>
  <si>
    <t>Interreg Central Europe project RUMOBIL</t>
  </si>
  <si>
    <t>Funding for this research was provided by the Interreg Central Europe project RUMOBIL.</t>
  </si>
  <si>
    <t>KEAI PUBLISHING LTD</t>
  </si>
  <si>
    <t>BEIJING</t>
  </si>
  <si>
    <t>16 DONGHUANGCHENGGEN NORTH ST, BEIJING, DONGHENG DISTRICT 100717, PEOPLES R CHINA</t>
  </si>
  <si>
    <t>2095-7564</t>
  </si>
  <si>
    <t>J TRAFFIC TRANSP ENG</t>
  </si>
  <si>
    <t>J. Traffic Transp. Eng.-Engl. Ed.</t>
  </si>
  <si>
    <t>10.1016/j.jtte.2019.10.002</t>
  </si>
  <si>
    <t>KK7FY</t>
  </si>
  <si>
    <t>WOS:000512905200008</t>
  </si>
  <si>
    <t>Fatnassi, E; Chaouachi, J; Klibi, W</t>
  </si>
  <si>
    <t>Fatnassi, Ezzeddine; Chaouachi, Jouhaina; Klibi, Walid</t>
  </si>
  <si>
    <t>Planning and operating a shared goods and passengers on-demand rapid transit system for sustainable city-logistics</t>
  </si>
  <si>
    <t>TRANSPORTATION RESEARCH PART B-METHODOLOGICAL</t>
  </si>
  <si>
    <t>City logistics; Interconnected urban transportation; Personal rapid transit; Freight rapid transit; Vehicle routing; EV charging</t>
  </si>
  <si>
    <t>TRANSPORTATION; ENERGY</t>
  </si>
  <si>
    <t>This article investigates the potential of integrating a shared goods and passengers on-demand rapid transit system in urban areas. Although persons and goods movements have different objectives and constraints, mixing their travels on the same network is within current trends. So we investigate in this paper how they could share a rapid transit network and use the available transportation capacity within a city more efficiently in an interconnected way. Based on the common characteristics of personal rapid transit (PRT) and freight rapid transit (FRT), this paper proposes an emergent and efficient transportation solution in order to enhance the sustainability of city logistics. Next, the operational level is focused on to characterize the dynamic transportation problem and to propose two strategies to formulate it. This problem aims to respond to the number of transportation requests arriving on a periodic basis with adequate service level while minimizing the empty movements of a set of electric vehicles with limited battery capacity. An efficient solution approach based on the forward optimization of periodic transportation sub-problems is proposed and validated. The applicability of the PRT-FRT mode is demonstrated and computational results in comparison to other transportation option is also presented and discussed. (C) 2015 Elsevier Ltd. All rights reserved.</t>
  </si>
  <si>
    <t>[Fatnassi, Ezzeddine] Univ Tunis, Inst Super Gest, Le Bardo 2000, Tunisia; [Chaouachi, Jouhaina] Inst Hautes Etud Commerciales, Carthage, Tunisia; [Klibi, Walid] Kedge Business Sch, 680 Cours Liberat, F-33400 Talence, France; [Klibi, Walid] Interuniv Res Ctr Enterprise Networks Logist &amp; Tr, Montreal, PQ, Canada</t>
  </si>
  <si>
    <t>Universite de Tunis; Kedge Business School; Universite de Montreal</t>
  </si>
  <si>
    <t>Klibi, W (corresponding author), Kedge Business Sch, 680 Cours Liberat, F-33400 Talence, France.</t>
  </si>
  <si>
    <t>0191-2615</t>
  </si>
  <si>
    <t>1879-2367</t>
  </si>
  <si>
    <t>TRANSPORT RES B-METH</t>
  </si>
  <si>
    <t>Transp. Res. Pt. B-Methodol.</t>
  </si>
  <si>
    <t>10.1016/j.trb.2015.07.016</t>
  </si>
  <si>
    <t>Economics; Engineering, Civil; Operations Research &amp; Management Science; Transportation; Transportation Science &amp; Technology</t>
  </si>
  <si>
    <t>Business &amp; Economics; Engineering; Operations Research &amp; Management Science; Transportation</t>
  </si>
  <si>
    <t>CY2KP</t>
  </si>
  <si>
    <t>WOS:000366237800008</t>
  </si>
  <si>
    <t>Ben Mohamed, I; Klibi, W; Labarthe, O; Deschamps, JC; Babai, MZ</t>
  </si>
  <si>
    <t>Ben Mohamed, Imen; Klibi, Walid; Labarthe, Olivier; Deschamps, Jean-Christophe; Babai, Mohamed Zied</t>
  </si>
  <si>
    <t>Modelling and solution approaches for the interconnected city logistics</t>
  </si>
  <si>
    <t>supply chain management; routing; city logistics; physical internet; interconnectivity</t>
  </si>
  <si>
    <t>VEHICLE-ROUTING PROBLEM; PICKUP</t>
  </si>
  <si>
    <t>Achieving a sustainable delivery of goods in urban areas has become a challenging task for service providers and logistics managers. Under this context, the physical internet (PI) Manifesto offers through its emergent concept of interconnected city logistics (ICL) a solution toward a more sustainable transportation of PI containers within cities. In this article, we explore the operational urban transportation problem of PI containers under ICL considerations. For this variant, built on the multiplicity of urban logistics centres and their interconnection, a comprehensive modelling approach is proposed to include key features such as multiple time periods, multi-zone urban coverage, heterogeneous fleets, multi-trip and multi-hub pickups, and delivery constraints. In order to deal with solvability issues encountered with realistic instances of the problem, a heuristic solution approach is developed. This is done with the objective to come up with solutions offering the best trade-offs between economic and ecological attributes within a short computational time. To validate the approach, a realistic set of instances is built with data inspired from city freight movements in an urban area in France. Using these experiments, the solvability of the model and the performance of our heuristic approach are discussed and managerial insights are derived.</t>
  </si>
  <si>
    <t>[Ben Mohamed, Imen; Klibi, Walid; Babai, Mohamed Zied] KEDGE Business Sch, Ctr Excellence Supply Chain CESIT, Bordeaux, France; [Klibi, Walid; Labarthe, Olivier] Interuniv Res Ctr Enterprise Networks Logist &amp; Tr, Montreal, PQ, Canada; [Labarthe, Olivier; Deschamps, Jean-Christophe] Univ Bordeaux, IMS Lab, Bordeaux, France</t>
  </si>
  <si>
    <t>Kedge Business School; Universite de Montreal; Universite de Bordeaux</t>
  </si>
  <si>
    <t>Klibi, W (corresponding author), KEDGE Business Sch, Ctr Excellence Supply Chain CESIT, Bordeaux, France.;Klibi, W (corresponding author), Interuniv Res Ctr Enterprise Networks Logist &amp; Tr, Montreal, PQ, Canada.</t>
  </si>
  <si>
    <t>walid.klibi@kedgebs.com</t>
  </si>
  <si>
    <t>10.1080/00207543.2016.1267412</t>
  </si>
  <si>
    <t>ER7CC</t>
  </si>
  <si>
    <t>WOS:000398966800015</t>
  </si>
  <si>
    <t>Lai, CS; Jia, YW; Dong, ZK; Wang, DX; Tao, YS; Lai, QH; Wong, RTK; Zobaa, AF; Wu, RH; Lai, LL</t>
  </si>
  <si>
    <t>Lai, Chun Sing; Jia, Youwei; Dong, Zhekang; Wang, Dongxiao; Tao, Yingshan; Lai, Qi Hong; Wong, Richard T. K.; Zobaa, Ahmed F.; Wu, Ruiheng; Lai, Loi Lei</t>
  </si>
  <si>
    <t>A Review of Technical Standards for Smart Cities</t>
  </si>
  <si>
    <t>CLEAN TECHNOLOGIES</t>
  </si>
  <si>
    <t>smart city; technical standard; smart energy; smart health; smart transportation; smart governance; smart education</t>
  </si>
  <si>
    <t>CITY</t>
  </si>
  <si>
    <t>Smart cities employ technology and data to increase efficiencies, economic development, sustainability, and life quality for citizens in urban areas. Inevitably, clean technologies promote smart cities development including for energy, transportation and health. The smart city concept is ambitious and is being refined with standards. Standards are used to help with regulating how smart cities function and contributing to define a smart city. Smart cities must be officially recognized by national and international authorities and organizations in order to promote societal advancement. There are many research and review articles on smart cities. However, technical standards are seldom discussed in the current literature. This review firstly presents the study of smart city definitions and domain. The well-known smart city standards will be presented to better recognize the smart city concept. Well-defined standards allow meaningful comparisons among smart cities implementation. How smart city initiatives make a city smarter and improve the quality of life will be discussed for various countries. This review highlights that technical standards are important for smart cities implementation. This paper serves as a guide to the most recent developments of smart cities standards.</t>
  </si>
  <si>
    <t>[Lai, Chun Sing; Zobaa, Ahmed F.; Wu, Ruiheng] Brunel Univ London, Dept Elect &amp; Comp Engn, Uxbridge UB8 3PH, Middx, England; [Lai, Chun Sing; Tao, Yingshan; Lai, Loi Lei] Guangdong Univ Technol, Sch Automat, Dept Elect Engn, Guangzhou 510006, Peoples R China; [Jia, Youwei] Southern Univ Sci &amp; Technol, Dept Elect &amp; Elect Engn, Shenzhen 518055, Peoples R China; [Dong, Zhekang] Hangzhou Dianzi Univ, Sch Elect &amp; Informat, Hangzhou 310018, Peoples R China; [Wang, Dongxiao] Australia Energy Market Operator, Syst Design &amp; Engn Dept, Melbourne, Vic 3000, Australia; [Lai, Qi Hong] Univ Oxford, Sir William Dunn Sch Pathol, Oxford OX1 3RE, England; [Wong, Richard T. K.] Sunway Univ, Sch Sci &amp; Technol, Dept Comp &amp; Informat Syst, Subang Jaya 47500, Selangor, Malaysia</t>
  </si>
  <si>
    <t>Brunel University; Guangdong University of Technology; Southern University of Science &amp; Technology; Hangzhou Dianzi University; University of Oxford; Sunway University</t>
  </si>
  <si>
    <t>Zobaa, AF (corresponding author), Brunel Univ London, Dept Elect &amp; Comp Engn, Uxbridge UB8 3PH, Middx, England.;Lai, LL (corresponding author), Guangdong Univ Technol, Sch Automat, Dept Elect Engn, Guangzhou 510006, Peoples R China.;Jia, YW (corresponding author), Southern Univ Sci &amp; Technol, Dept Elect &amp; Elect Engn, Shenzhen 518055, Peoples R China.;Dong, ZK (corresponding author), Hangzhou Dianzi Univ, Sch Elect &amp; Informat, Hangzhou 310018, Peoples R China.</t>
  </si>
  <si>
    <t>chunsing.lai@brunel.ac.uk; jiayw@sustech.edu.cn; englishp@hdu.edu.cn; dongxiao.wang@aemo.com.au; 2111704005@mail2.gdut.edu.cn; qi.lai@path.ox.ac.uk; richardwtk@sunway.edu.my; azobaa@ieee.org; ruiheng.wu@brunel.ac.uk; l.l.lai@ieee.org</t>
  </si>
  <si>
    <t>; Lai, Loi Lei/AAQ-1715-2021; WANG, Dongxiao/ABB-1814-2020; Jia, Youwei/AAU-6073-2021; Lai, Chun Sing/AAP-9779-2021; Lai, Loi/AAQ-1715-2021; Wong, Richard Teck Ken/IYJ-6339-2023; Zobaa, Ahmed/A-5972-2008; Dong, Zhekang/AGY-5660-2022</t>
  </si>
  <si>
    <t>Wong, Richard Teck Ken/0000-0002-4480-5076; Lai, Loi Lei/0000-0003-4786-7931; Lai, Chun Sing/0000-0002-4169-4438; Tao, Yingshan/0000-0002-8650-1900; Zobaa, Ahmed/0000-0001-5398-2384; Dong, Zhekang/0000-0003-4639-3834</t>
  </si>
  <si>
    <t>Brunel University London UK BRIEF Funding; Education Department of Guangdong Province: New and Integrated Energy System Theory and Technology Research Group [2016KCXTD022]</t>
  </si>
  <si>
    <t>Brunel University London UK BRIEF Funding; Education Department of Guangdong Province: New and Integrated Energy System Theory and Technology Research Group</t>
  </si>
  <si>
    <t>This research was funded by Brunel University London UK BRIEF Funding and the Education Department of Guangdong Province: New and Integrated Energy System Theory and Technology Research Group [Project Number 2016KCXTD022].</t>
  </si>
  <si>
    <t>2571-8797</t>
  </si>
  <si>
    <t>CLEAN TECHNOL-BASEL</t>
  </si>
  <si>
    <t>Clean Technol.</t>
  </si>
  <si>
    <t>10.3390/cleantechnol2030019</t>
  </si>
  <si>
    <t>Green &amp; Sustainable Science &amp; Technology; Engineering, Environmental; Environmental Sciences</t>
  </si>
  <si>
    <t>Science &amp; Technology - Other Topics; Engineering; Environmental Sciences &amp; Ecology</t>
  </si>
  <si>
    <t>WI2TN</t>
  </si>
  <si>
    <t>WOS:000708219500008</t>
  </si>
  <si>
    <t>Scuotto, V; Ferraris, A; Bresciani, S</t>
  </si>
  <si>
    <t>Scuotto, Veronica; Ferraris, Alberto; Bresciani, Stefano</t>
  </si>
  <si>
    <t>Internet of Things Applications and challenges in smart cities: a case study of IBM smart city projects</t>
  </si>
  <si>
    <t>BUSINESS PROCESS MANAGEMENT JOURNAL</t>
  </si>
  <si>
    <t>Open innovation; Internet of Things; Smart city; IBM</t>
  </si>
  <si>
    <t>TRIPLE-HELIX; INNOVATION; KNOWLEDGE; INFORMATION; MANAGEMENT; DYNAMICS; SYSTEMS</t>
  </si>
  <si>
    <t>Purpose - An empirical testing on IBM smart cities projects was applied so as to demonstrate that the combination between the use of Internet of Things (IoT) and the implementation of the Open Innovation (OI) model within smart cities which has been changed the development of urban areas and effected firms' innovativeness. The paper aims to discuss these issues. Design/methodology/approach - A case study methodology on a leading multinational firms deeply involved in smart cities projects has been chosen. Findings - From this study it emerged how IBM: has a clear vision of smart cities and IoT; adopt a worldwide OI approach to smart cities; delineate-specific strategies and create OI units ad hoc for smart cities' projects. Research limitations/implications - The major limitation of this work is that the analysis presented has been developed only on one case of multinational firm that operate in smart cities contexts. Practical implications - Recommendations will be made both to public and private actor in order to plan and implement efficient strategies to improve their performances. Originality/value - The concept of smart city has become quite popular between scholars and practitioners in the era of digital economy. Cities become smart developing new urban area using new Information and Communication Technologies such as mobile devices, the semantic web, cloud computing, and the IoT. Smart cities make innovation ecosystem, joining together different forces like knowledge-intensive activities, institutions for cooperation and learning, and web-based applications collective intelligence. This research is of importance and significance to scholars, government, and firms who need to understand the relevance of smart cities in the current economy.</t>
  </si>
  <si>
    <t>[Scuotto, Veronica] Univ West Scotland, Sch Business &amp; Enterprise, Paisley, Renfrew, Scotland; [Ferraris, Alberto; Bresciani, Stefano] Univ Turin, Dept Management, Turin, Italy; [Ferraris, Alberto] Ural Fed Univ, Grad Sch Econ &amp; Management, Lab Int &amp; Reg Econ, Ekaterinburg, Russia</t>
  </si>
  <si>
    <t>University of West Scotland; University of Turin; Ural Federal University</t>
  </si>
  <si>
    <t>Scuotto, V (corresponding author), Univ West Scotland, Sch Business &amp; Enterprise, Paisley, Renfrew, Scotland.</t>
  </si>
  <si>
    <t>veronica.scuotto@uws.ac.uk</t>
  </si>
  <si>
    <t>scuotto, veronica/JOZ-7807-2023; Ferraris, Alberto/K-5240-2019; Bresciani, Stefano/U-2802-2019</t>
  </si>
  <si>
    <t>Bresciani, Stefano/0000-0003-0321-9174; Scuotto, Veronica/0000-0002-0202-4378; FERRARIS, ALBERTO/0000-0003-3125-1710</t>
  </si>
  <si>
    <t>EMERALD GROUP PUBLISHING LTD</t>
  </si>
  <si>
    <t>BINGLEY</t>
  </si>
  <si>
    <t>HOWARD HOUSE, WAGON LANE, BINGLEY BD16 1WA, W YORKSHIRE, ENGLAND</t>
  </si>
  <si>
    <t>1463-7154</t>
  </si>
  <si>
    <t>1758-4116</t>
  </si>
  <si>
    <t>BUS PROCESS MANAG J</t>
  </si>
  <si>
    <t>Bus. Process. Manag. J.</t>
  </si>
  <si>
    <t>10.1108/BPMJ-05-2015-0074</t>
  </si>
  <si>
    <t>Business; Management</t>
  </si>
  <si>
    <t>DJ3WK</t>
  </si>
  <si>
    <t>WOS:000374137200008</t>
  </si>
  <si>
    <t>Biyik, C</t>
  </si>
  <si>
    <t>Biyik, Can</t>
  </si>
  <si>
    <t>Smart Cities in Turkey: Approaches, Advances and Applications with Greater Consideration for Future Urban Transport Development</t>
  </si>
  <si>
    <t>smart cities; mobility; visioning; policy</t>
  </si>
  <si>
    <t>SUSTAINABLE DEVELOPMENT; ENERGY MANAGEMENT; CITY; POLICY; SYSTEM; GROWTH; ENVIRONMENT; CHALLENGES; MODEL; INFRASTRUCTURE</t>
  </si>
  <si>
    <t>The smart city transport concept is viewed as a future vision aiming to undertake investigations on the urban planning process and to construct policy-pathways for achieving future targets. Therefore, this paper sets out three visions for the year 2035 which bring about a radical change in the level of green transport systems (often called walking, cycling, and public transport) in Turkish urban areas. A participatory visioning technique was structured according to a three-stage technique: (i) Extensive online comprehensive survey, in which potential transport measures were researched for their relevance in promoting smart transport systems in future Turkish urban areas; (ii) semi-structured interviews, where transport strategy suggestions were developed in the context of the possible imaginary urban areas and their associated contextual description of the imaginary urban areas for each vision; (iii) participatory workshops, where an innovative method was developed to explore various creative future choices and alternatives. Overall, this paper indicates that the content of the future smart transport visions was reasonable, but such visions need a considerable degree of consensus and radical approaches for tackling them. The findings offer invaluable insights to researchers inquiring about the smart transport field, and policy-makers considering applying those into practice in their local urban areas.</t>
  </si>
  <si>
    <t>[Biyik, Can] Ankara Yildirim Beyazit Univ, Fac Engn &amp; Nat Sci, Dept Civil Engn, TR-06010 Ankara, Turkey</t>
  </si>
  <si>
    <t>Ankara Yildirim Beyazit University</t>
  </si>
  <si>
    <t>Biyik, C (corresponding author), Ankara Yildirim Beyazit Univ, Fac Engn &amp; Nat Sci, Dept Civil Engn, TR-06010 Ankara, Turkey.</t>
  </si>
  <si>
    <t>cbiyik@ybu.edu.tr</t>
  </si>
  <si>
    <t>Bıyık, Can/0000-0001-7156-4143</t>
  </si>
  <si>
    <t>10.3390/en12122308</t>
  </si>
  <si>
    <t>IG5CP</t>
  </si>
  <si>
    <t>WOS:000473821400081</t>
  </si>
  <si>
    <t>A Data-driven Approach for Spatio-Temporal Crime Predictions in Smart Cities</t>
  </si>
  <si>
    <t>2018 IEEE INTERNATIONAL CONFERENCE ON SMART COMPUTING (SMARTCOMP 2018)</t>
  </si>
  <si>
    <t>4th IEEE International Conference on Smart Computing (SMARTCOMP)</t>
  </si>
  <si>
    <t>JUN 18-20, 2018</t>
  </si>
  <si>
    <t>Sicily, ITALY</t>
  </si>
  <si>
    <t>The steadily increasing urbanization is causing significant economic and social transformations in urban areas and it will be posing several challenges in city management issues. In particular, given that the larger cities the higher crime rates, crime spiking is becoming one of the most important social problems in large urban areas. To handle with the increase in crimes, new technologies are enabling police departments to access growing volumes of crime-related data that can be analyzed to understand patterns and trends, finalized to an efficient deployment of police officers over the territory and more effective crime prevention. This paper presents an approach based on spatial analysis and auto-regressive models to automatically detect high-risk crime regions in urban areas and reliably forecast crime trends in each region. The final result of the algorithm is a spatio-temporal crime forecasting model, composed of a set of crime dense regions and a set of associated crime predictors, each one representing a predictive model for forecasting the number of crimes that will happen in its specific region. The experimental evaluation, performed on real-world data collected in a big area of Chicago, shows that the proposed approach achieves good accuracy in spatial and temporal crime forecasting over rolling time horizons.</t>
  </si>
  <si>
    <t>[Catlett, Charlie] Univ Chicago, Argonne Natl Lab, Chicago, IL 60637 USA; [Cesario, Eugenio; Vinci, Andrea] CNR, ICAR, Arcavacata Di Rende, CS, Italy; [Talia, Domenico] Univ Calabria, DIMES, Arcavacata Di Rende, CS, Italy</t>
  </si>
  <si>
    <t>United States Department of Energy (DOE); Argonne National Laboratory; University of Chicago; Consiglio Nazionale delle Ricerche (CNR); Istituto di Calcolo e Reti ad Alte Prestazioni (ICAR-CNR); University of Calabria</t>
  </si>
  <si>
    <t>Catlett, C (corresponding author), Univ Chicago, Argonne Natl Lab, Chicago, IL 60637 USA.</t>
  </si>
  <si>
    <t>catlett@anl.gov; cesario@icar.cnr.it; talia@dimes.unical.it; vinci@icar.cnr.it</t>
  </si>
  <si>
    <t>Vinci, Anea/J-1907-2017; Vinci, Andrea/J-1907-2017; Cesario, Eugenio/AAP-9093-2020; Talia, Domenico/P-5735-2019</t>
  </si>
  <si>
    <t>Vinci, Anea/0000-0002-1011-1885; Cesario, Eugenio/0000-0002-4987-0459;</t>
  </si>
  <si>
    <t>978-1-5386-4705-9</t>
  </si>
  <si>
    <t>10.1109/SMARTCOMP.2018.00069</t>
  </si>
  <si>
    <t>Computer Science, Artificial Intelligence; Computer Science, Theory &amp; Methods</t>
  </si>
  <si>
    <t>BO1XA</t>
  </si>
  <si>
    <t>WOS:000502773100003</t>
  </si>
  <si>
    <t>Jamei, E; Mortimer, M; Seyedmahmoudian, M; Horan, B; Stojcevski, A</t>
  </si>
  <si>
    <t>Jamei, Elmira; Mortimer, Michael; Seyedmahmoudian, Mehdi; Horan, Ben; Stojcevski, Alex</t>
  </si>
  <si>
    <t>Investigating the Role of Virtual Reality in Planning for Sustainable Smart Cities</t>
  </si>
  <si>
    <t>smart city; virtual reality; urban planning; data visualization</t>
  </si>
  <si>
    <t>THERMAL COMFORT; HUMAN MOBILITY; URBAN AREAS; CITY; ENVIRONMENT; TEXTURE; NETWORK; METRICS; SYNTAX; FUTURE</t>
  </si>
  <si>
    <t>With rapid population growth, urban designers face tremendous challenges to accommodate the increasing size of the population in urban areas while simultaneously considering future environmental, social, and economic impacts. A smart city is an urban development vision that integrates multiple information and communication technologies to manage the assets of a city, including its information systems, transportation systems, power plants, water supply networks, waste management systems, and other community services provided by a local department. The goal of creating a smart city is to improve the quality of life of citizens by using technology and by addressing the environmental, social, cultural, and physical needs of a society. Data modeling and data visualization are integral parts of planning a smart city, and planning professionals currently seek new methods for real-time simulations. The impact analysis of what-if scenarios frequently takes a significant amount of time and resources, and virtual reality (VR) is a potential tool for addressing these challenges. VR is a computer technology that replicates an environment, whether real or imagined, and simulates the physical presence and environment of a user to allow for user interaction. This paper presents a review of the capacity of VR to address current challenges in creating, modeling, and visualizing smart cities through material modeling and light simulation in a VR environment. This study can assist urban planners, stakeholders, and communities to further understand the roles of planning policies in creating a smart city, particularly in the early design stages. The significant roles of technologies, such as VR, in targeting real-time simulations and visualization requirements for smart cities are emphasized.</t>
  </si>
  <si>
    <t>[Jamei, Elmira] Victoria Univ, Coll Engn &amp; Sci, Melbourne, Vic 3011, Australia; [Mortimer, Michael; Seyedmahmoudian, Mehdi; Horan, Ben] Deakin Univ, Sch Engn, Fac Sci Engn &amp; Built Environm, Geelong, Vic 3216, Australia; [Stojcevski, Alex] Swinburne Univ Technol, Sch Software &amp; Elect Engn, Hawthorn, Vic 3122, Australia</t>
  </si>
  <si>
    <t>Victoria University; Deakin University; Swinburne University of Technology</t>
  </si>
  <si>
    <t>Seyedmahmoudian, M (corresponding author), Deakin Univ, Sch Engn, Fac Sci Engn &amp; Built Environm, Geelong, Vic 3216, Australia.</t>
  </si>
  <si>
    <t>Elmira.Jamei@vu.edu.au; m.mortimer@deakin.edu.au; mehdis@deakin.edu.au; Ben.Horan@deakin.edu.au; astojcevski@swin.edu.au</t>
  </si>
  <si>
    <t>; Seyedmahmoudian, Mohammadmehdi/ABE-9588-2020; Seyedmahmoudian, Mohammadmehdi/H-2808-2016</t>
  </si>
  <si>
    <t>Stojcevski, Alex/0000-0002-3584-6597; JAMEI, ELMIRA/0000-0002-7909-9212; Horan, Ben/0000-0002-6723-259X; Mortimer, Michael/0000-0002-7934-0395; Seyedmahmoudian, Mohammadmehdi/0000-0002-2538-4077</t>
  </si>
  <si>
    <t>10.3390/su9112006</t>
  </si>
  <si>
    <t>FO4EH</t>
  </si>
  <si>
    <t>WOS:000416793400086</t>
  </si>
  <si>
    <t>Almao, EC; Golpayegani, F</t>
  </si>
  <si>
    <t>Zhou, J; Salvendy, G</t>
  </si>
  <si>
    <t>Almao, Elenia Carrasco; Golpayegani, Fatemeh</t>
  </si>
  <si>
    <t>Are Mobile Apps Usable and Accessible for Senior Citizens in Smart Cities?</t>
  </si>
  <si>
    <t>HUMAN ASPECTS OF IT FOR THE AGED POPULATION: DESIGN FOR THE ELDERLY AND TECHNOLOGY ACCEPTANCE, ITAP 2019, PT I</t>
  </si>
  <si>
    <t>5th International Conference on Human Aspects of IT for the Aged Population-ITAP</t>
  </si>
  <si>
    <t>JUL 26-31, 2019</t>
  </si>
  <si>
    <t>Orlando, FL</t>
  </si>
  <si>
    <t>Ageing population; Accessible App design; Smart cities</t>
  </si>
  <si>
    <t>ELDERLY USERS; DESIGN; INTERFACES; PHONES</t>
  </si>
  <si>
    <t>The population in cities is expected to exponentially grow by 2050, and so is the world population aged 65 and over. This has increased the efforts to improve citizens' quality of life in urban areas by offering smarter and more efficient IT-based services in different domains such as health-care and transportation. Smart phones are key devices that provide a way for people to interact with the smart city services through their mobile applications (Apps). As the population is ageing and many services are now offered through mobile Apps, it is necessary to design accessible mobile interfaces that consider senior citizens' needs. These needs are related to cognitive, perceptual, and psycho-motor changes that occur while ageing, which affect the way older people interact with a smart phone. Although a comprehensive set of design guidelines are suggested, there is no evaluation on how and to what extent they are considered during the mobile App design process. This paper evaluates the implementation of these guidelines in several industry-built Apps, which are either targeted at older people or critical city services Apps that may benefit older people, but are targeted at a broader audience.</t>
  </si>
  <si>
    <t>[Almao, Elenia Carrasco; Golpayegani, Fatemeh] Trinity Coll Dublin, Sch Comp Sci &amp; Stat, Dublin, Ireland</t>
  </si>
  <si>
    <t>Trinity College Dublin</t>
  </si>
  <si>
    <t>Almao, EC (corresponding author), Trinity Coll Dublin, Sch Comp Sci &amp; Stat, Dublin, Ireland.</t>
  </si>
  <si>
    <t>carrasce@tcd.ie; fgolpaye@tcd.ie</t>
  </si>
  <si>
    <t>Golpayegani, Fatemeh/AAC-2164-2020</t>
  </si>
  <si>
    <t>Golpayegani, Fatemeh/0000-0002-3712-6550</t>
  </si>
  <si>
    <t>978-3-030-22011-2; 978-3-030-22012-9</t>
  </si>
  <si>
    <t>10.1007/978-3-030-22012-9_26</t>
  </si>
  <si>
    <t>Computer Science, Cybernetics; Computer Science, Interdisciplinary Applications; Ergonomics; Gerontology</t>
  </si>
  <si>
    <t>Computer Science; Engineering; Geriatrics &amp; Gerontology</t>
  </si>
  <si>
    <t>BZ1YF</t>
  </si>
  <si>
    <t>WOS:001546518300026</t>
  </si>
  <si>
    <t>Villa-Arrieta, M; Sumper, A</t>
  </si>
  <si>
    <t>Villa-Arrieta, Manuel; Sumper, Andreas</t>
  </si>
  <si>
    <t>Contribution of Smart Cities to the Energy Sustainability of the Binomial between City and Country</t>
  </si>
  <si>
    <t>energy sustainability; smart cities; PV self-consumption; Energy Trilemma Index; energy security; environmental sustainability</t>
  </si>
  <si>
    <t>DISTRIBUTED GENERATION; ECONOMIC-EVALUATION; DEMAND RESPONSE; GRIDS; INTEGRATION; SYSTEMS; DESIGN; IMPACT; MODEL; ICT</t>
  </si>
  <si>
    <t>Cities are at the center of the transition to a decarbonized economy. The high consumption of electricity in these urban areas causes them to be the main focus of greenhouse gas emissions. However, they have a high margin of capacity to increase energy efficiency and local energy generation. Along these lines, the smart urban management model has been proposed as a solution to the unsustainability of cities. Due to the global trend of population concentration in urban areas, cities tend to be representative of the population, energy consumption, and energy sustainability of their countries. Based on this hypothesis, this paper studied the relationship between the smart city model and the concept of energy sustainability. First, the research analyzed the relationship between urban population growth and energy sustainability; and then the self-consumption capacity of photovoltaic electricity of the main cities of the countries classified in the energy sustainability indicator (Energy Trilemma Index 2017) of the World Energy Council was analyzed. According to the results, the scope of action for self-consumption of photovoltaic electricity is broad and cities have the capacity to contribute significantly to the energy sustainability of their countries. Following the approach of other authors, the development of energy sustainability objectives and the installation of smart systems in distribution grids must be aligned with national objectives.</t>
  </si>
  <si>
    <t>[Villa-Arrieta, Manuel] UPC, ETSEIB, Av Diagonal 647, Barcelona 08028, Spain; [Sumper, Andreas] UPC, ETSEIB, CITCEA, Av Diagonal 647,Pl 2, Barcelona 08028, Spain</t>
  </si>
  <si>
    <t>Universitat Politecnica de Catalunya; Universitat Politecnica de Catalunya</t>
  </si>
  <si>
    <t>Sumper, A (corresponding author), UPC, ETSEIB, CITCEA, Av Diagonal 647,Pl 2, Barcelona 08028, Spain.</t>
  </si>
  <si>
    <t>andreas.sumper@upc.edu</t>
  </si>
  <si>
    <t>Villa-Arrieta, Manuel/A-5895-2019; Sumper, Andreas/F-1412-2015</t>
  </si>
  <si>
    <t>10.3390/app9163247</t>
  </si>
  <si>
    <t>IV7JZ</t>
  </si>
  <si>
    <t>Green Submitted, Green Published, gold</t>
  </si>
  <si>
    <t>WOS:000484444100041</t>
  </si>
  <si>
    <t>Paddeu, D; Fancello, G; Fadda, P</t>
  </si>
  <si>
    <t>Paddeu, Daniela; Fancello, Gianfranco; Fadda, Paolo</t>
  </si>
  <si>
    <t>AN EXPERIMENTAL CUSTOMER SATISFACTION INDEX TO EVALUATE THE PERFORMANCE OF CITY LOGISTICS SERVICES</t>
  </si>
  <si>
    <t>TRANSPORT</t>
  </si>
  <si>
    <t>transport policy; freight scheme evaluation; urban freight consolidation centre; customer satisfaction; customer satisfaction index; modified customer satisfaction index</t>
  </si>
  <si>
    <t>PERCEPTIONS</t>
  </si>
  <si>
    <t>Freight transport in urban areas entails benefits (i.e. free access to goods when needed), but also negative externalities (environmental, social and transportation impacts). In response to these problems, the concept of city logistics emerged, for the purpose of planning, organizing, coordinating and controlling physical and information flows in order to find a compromise between efficient freight distribution in urban areas and protection of the environment. A typical city logistics initiative is the Urban Freight Consolidation Centre (UFCC), the benefits of which are significant. Its financial issues though represent a huge problem for public administrations. However, a large customer network, comprising retailers participating in the initiative, could make the UFCC a self-financing scheme. The key to expanding the scheme is closely linked with marketing campaigns and customer care. Therefore, customer care analysis represents an important tool in developing UFCC schemes. In this paper, a new Customer Satisfaction Index (CSI) is proposed for evaluating UFCC service quality. The new index, named CSImod, is a modified version of the traditional CSI, but places greater emphasis on customer dissatisfaction, so as to analyse the most critical areas of the service with a view to improving them. The index has been tested using experimental data collected within the CIVITAS RENAISSANCE Project, in which the Bristol and Bath Freight Consolidation Centre (BBFCC) scheme was evaluated. The evaluation was done from a user perspective, i.e. the participating retailers. The CSImod places more importance on the most dissatisfied customers making it possible to understand why they are dissatisfied and with what. Thus, it is possible to intervene with the aim of improving those areas of the service that are perceived as the worst. In spite of the high level of satisfaction with the overall service provided by the BBFCC, thanks to the CSImod the analysis pointed out that some retailers are dissatisfied with the delivery time arrangements and also with deliveries that were getting wet, issues about which the BBFCC manager was totally unaware. The CSImod could be used by UFCC operators to extend the network of the retailers involved and could therefore provide an implicit solution for making the scheme self-financing.</t>
  </si>
  <si>
    <t>[Paddeu, Daniela; Fancello, Gianfranco; Fadda, Paolo] Univ Cagliari, Dept Civil Environm &amp; Architectural Engn, Cagliari, Italy</t>
  </si>
  <si>
    <t>University of Cagliari</t>
  </si>
  <si>
    <t>Paddeu, D (corresponding author), Univ Cagliari, Dept Civil Environm &amp; Architectural Engn, Cagliari, Italy.</t>
  </si>
  <si>
    <t>paddeudaniela@gmail.com</t>
  </si>
  <si>
    <t>Paddeu, Daniela/ABD-8188-2020</t>
  </si>
  <si>
    <t>Fadda, Paolo/0000-0002-3872-3904</t>
  </si>
  <si>
    <t>VILNIUS GEDIMINAS TECH UNIV</t>
  </si>
  <si>
    <t>VILNIUS</t>
  </si>
  <si>
    <t>SAULETEKIO AL 11, VILNIUS, LT-10223, LITHUANIA</t>
  </si>
  <si>
    <t>1648-4142</t>
  </si>
  <si>
    <t>1648-3480</t>
  </si>
  <si>
    <t>TRANSPORT-VILNIUS</t>
  </si>
  <si>
    <t>Transport</t>
  </si>
  <si>
    <t>10.3846/16484142.2016.1146998</t>
  </si>
  <si>
    <t>Transportation Science &amp; Technology</t>
  </si>
  <si>
    <t>FA3IG</t>
  </si>
  <si>
    <t>WOS:000405336100003</t>
  </si>
  <si>
    <t>You, SI; Chow, JYJ; Ritchie, SG</t>
  </si>
  <si>
    <t>You, Soyoung Iris; Chow, Joseph Y. J.; Ritchie, Stephen G.</t>
  </si>
  <si>
    <t>Inverse vehicle routing for activity-based urban freight forecast modeling and city logistics</t>
  </si>
  <si>
    <t>TRANSPORTMETRICA A-TRANSPORT SCIENCE</t>
  </si>
  <si>
    <t>International Workshop on Activity-Travel Behavior Analysis and Multi-State Supernetwork Modeling</t>
  </si>
  <si>
    <t>DEC 16, 2014</t>
  </si>
  <si>
    <t>Hong Kong Polytechn Univ, Hong Kong, PEOPLES R CHINA</t>
  </si>
  <si>
    <t>Hong Kong Polytechn Univ</t>
  </si>
  <si>
    <t>Vehicle routing problem; truck assignment; tour-based model; activity-based model; city logistics; inverse optimization</t>
  </si>
  <si>
    <t>MULTISTATE SUPERNETWORK APPROACH; ACTIVITY PATTERN PROBLEM; TIME CONSTRAINTS; NETWORK DESIGN; OPTIMIZATION; TRANSPORTATION; ASSIGNMENT; BEHAVIOR; CHAINS; MICROSIMULATION</t>
  </si>
  <si>
    <t>Goods movement is one of the fastest growing transportation sectors, affecting both economic and environmental sustainability, particularly in dense urban areas with traffic congestion and air pollution. To meet this challenge, urban public agencies have paid attention to policies and systems to facilitate efficient and sustainable city logistics. This paper proposes a modeling framework to consider both spatial-temporal constraints and a means to calibrate the model from observable data, based on an adaptation of an activity-based passenger model called the household activity pattern problem. Conceptual comparisons with a state-of-the-art freight forecasting methodology are made using an example. Application of the model is illustrated through formulating and implementing a Sequential Selective Vehicle Routing Problem associated with drayage truck activities at the San Pedro Bay Ports in Southern California.</t>
  </si>
  <si>
    <t>[You, Soyoung Iris] Korea Railrd Res Inst, Uiwang, Gyeonggi Do, South Korea; [Chow, Joseph Y. J.] NYU, Dept Civil &amp; Urban Engn, New York, NY USA; [Ritchie, Stephen G.] Univ Calif Irvine, Dept Civil &amp; Environm Engn, Irvine, CA USA; [Ritchie, Stephen G.] Univ Calif Irvine, Inst Transportat Studies, Irvine, CA USA</t>
  </si>
  <si>
    <t>Korea Railroad Research Institute (KRRI); New York University; University of California System; University of California Irvine; University of California System; University of California Irvine</t>
  </si>
  <si>
    <t>You, SI (corresponding author), Korea Railrd Res Inst, Uiwang, Gyeonggi Do, South Korea.</t>
  </si>
  <si>
    <t>syyou@krri.re.kr</t>
  </si>
  <si>
    <t>; Chow, Joseph/A-9816-2017</t>
  </si>
  <si>
    <t>Ritchie, Stephen/0000-0001-7881-0415; Chow, Joseph/0000-0002-6471-3419</t>
  </si>
  <si>
    <t>University of California Transportation Center (UCTC); R&amp;D Program of the Korea Railroad Research Institute, Republic of Korea</t>
  </si>
  <si>
    <t>University of California Transportation Center (UCTC)(University of California System); R&amp;D Program of the Korea Railroad Research Institute, Republic of Korea</t>
  </si>
  <si>
    <t>Support for this research from the University of California Transportation Center (UCTC) is gratefully acknowledged. We would also like to thank Eric Shen and his staff from the Port of Long Beach for his very helpful assistance. Additionally, the improvement of this research was supported by a grant from R&amp;D Program of the Korea Railroad Research Institute, Republic of Korea.</t>
  </si>
  <si>
    <t>2324-9935</t>
  </si>
  <si>
    <t>2324-9943</t>
  </si>
  <si>
    <t>TRANSPORTMETRICA A</t>
  </si>
  <si>
    <t>Transportmetrica A</t>
  </si>
  <si>
    <t>10.1080/23249935.2016.1189723</t>
  </si>
  <si>
    <t>DQ9SQ</t>
  </si>
  <si>
    <t>WOS:000379550000006</t>
  </si>
  <si>
    <t>2018 20TH INTERNATIONAL CONFERENCE ON ADVANCED COMMUNICATION TECHNOLOGY (ICACT)</t>
  </si>
  <si>
    <t>20th International Conference on Advanced Communication Technology (ICACT)</t>
  </si>
  <si>
    <t>FEB 11-14, 2018</t>
  </si>
  <si>
    <t>Chuncheon, SOUTH KOREA</t>
  </si>
  <si>
    <t>A smart city adjusts its social, business, and natural needs, improving the assets it has accessible. Information and Communications Technology (ICT) for shrewd urban areas is to give city answers for encourage an improvement and manageability of a city for the advantage of its population, its economy, and the greater ecosystem in the city. It is to gauge a keen city as far as the enhancements in personal satisfaction and monetary prosperity that are accomplished through applying ICT innovations to design, outline, fabricate, and work the city foundation. In smart city applications, the initial phase in the information's voyage through the application is its gathering by the diverse advancements conveyed all through the city. This paper surveys data acquisition technologies such as Sensor Networks, MANETs, Unmanned Aerial Vehicles (UAVs), Vehicular Ad hoc Networks (VANETs), Internet of Things (IoT), Software-Defined Networking (SDN), Network Functions Virtualization (NFV), 5G. Next, it demonstrates information processing technologies, for example, Cloud Platform, IoT Platform, Big Data Platform, Machine Learning, Deep Learning, and IoT Analytics. Encouraging data spread between various nodes is vital to savvy city acknowledgment. Last, because of the presence of various types of end users (e.g., residents, organizations, government offices, and so forth.) requiring distinctive levels of nature of management, the paper exhibits a proposed testbed solution and recent associated experiments.</t>
  </si>
  <si>
    <t>[Dzung Van Dinh; Khoa Dang Phan; Lam Dinh Pham] VNU, Inst Informat Technol, Hanoi, Vietnam; [Yoon, Byeong-Nam] GIRI, Seoul, South Korea; [Hung Ngoc Le] VKX Ltd, Viet Nam Korea Exchange Joint Venture Co, Daejeon, Vietnam; [Uy Quoc Nguyen] PTIT, Ho Chi Minh, Vietnam</t>
  </si>
  <si>
    <t>Vietnam Academy of Science &amp; Technology (VAST); Vietnam National University Hanoi (VNU Hanoi) System</t>
  </si>
  <si>
    <t>Dinh, DV (corresponding author), VNU, Inst Informat Technol, Hanoi, Vietnam.</t>
  </si>
  <si>
    <t>dzung.dinh@vnu.edu.vn; tomayoon@hotmail.com; lnhung@ykx.com.vn; nguvenquocuy2008@gmail.com; khoapd@vnu.edu.vn; phamdinhlam@vnu.edu.vn</t>
  </si>
  <si>
    <t>project: ASEAN forum for Software Defined System on Disaster Mitigation and Smart Cities - National Institute of Information and Communications (NICT, Japan) under the ASEAN IVO program (ICT Virtual Organization of ASEAN Institutes and NICT); project: IoT Open Innovation Platform - National Institute of Information and Communications (NICT, Japan) under the ASEAN IVO program (ICT Virtual Organization of ASEAN Institutes and NICT)</t>
  </si>
  <si>
    <t>979-1-1884-2801-4</t>
  </si>
  <si>
    <t>BK3NC</t>
  </si>
  <si>
    <t>WOS:000435253700114</t>
  </si>
  <si>
    <t>Faccio, M; Gamberi, M</t>
  </si>
  <si>
    <t>Faccio, Maurizio; Gamberi, Mauro</t>
  </si>
  <si>
    <t>New City Logistics Paradigm: From the Last Mile to the Last 50 Miles Sustainable Distribution</t>
  </si>
  <si>
    <t>eco-logistic; city logistics; sustainable transportation; outsourcing; Pedemontana Veneta</t>
  </si>
  <si>
    <t>TRANSPORT; MODEL</t>
  </si>
  <si>
    <t>The distribution of goods in urban areas, together with private traffic flows, are among the main sources of energy consumption, air pollution and noise. As a consequence, in the 2000s, several EU cities started to implement logistical solutions for the sustainable city. In this context, this study addresses the implementation of a new eco-logistic system, which serves multiple adjacent cities by using electric vehicles to deliver goods of any type within their urban areas. This paper describes the results of a project developed in the province of Vicenza (northern Italy) and covering the main cities (Bassano del Grappa, Thiene, Schio and Valdagno) in the foothills (the so-called Pedemontana Veneta zone). The eco-logistic system aims to cover the last 50 miles of distribution (typical area of an Italian province) with a centralised platform that performs green deliveries with electric vehicles from/to the downtown areas. A preliminary and extensive on field analysis by means of door-to-door questionnaires was conducted to identify the performance required by the eco-logistic system. Therefore, the design of such a distribution system is performed to assess and define the conditions that make this solution profitable from both the economic and the environmental perspective.</t>
  </si>
  <si>
    <t>[Faccio, Maurizio; Gamberi, Mauro] Univ Padua, Dept Management &amp; Engn, I-336100 Vicenza, Italy</t>
  </si>
  <si>
    <t>University of Padua</t>
  </si>
  <si>
    <t>Faccio, M (corresponding author), Univ Padua, Dept Management &amp; Engn, I-336100 Vicenza, Italy.</t>
  </si>
  <si>
    <t>maurizio.faccio@unipd.it; mauro.gamberi@unipd.it</t>
  </si>
  <si>
    <t>Associazione Artigiani della Provincia di Vicenza</t>
  </si>
  <si>
    <t>The authors thank the Associazione Artigiani della Provincia di Vicenza (www.confartigianatovicenza.it) for funding this project and Dott. Maurizio Petris for his continuous support.</t>
  </si>
  <si>
    <t>10.3390/su71114873</t>
  </si>
  <si>
    <t>DC2ZR</t>
  </si>
  <si>
    <t>WOS:000369088600025</t>
  </si>
  <si>
    <t>Automated Reservation Mechanism for Charging Connected and Autonomous EVs in Smart Cities</t>
  </si>
  <si>
    <t>2018 IEEE 88TH VEHICULAR TECHNOLOGY CONFERENCE (VTC-FALL)</t>
  </si>
  <si>
    <t>IEEE Vehicular Technology Conference Proceedings</t>
  </si>
  <si>
    <t>88th IEEE Vehicular Technology Conference (VTC-Fall)</t>
  </si>
  <si>
    <t>AUG 27-30, 2018</t>
  </si>
  <si>
    <t>Chicago, IL</t>
  </si>
  <si>
    <t>Connected and autonomous EVs; Charging management; Charging strategies; Automated reservation</t>
  </si>
  <si>
    <t>VEHICLES</t>
  </si>
  <si>
    <t>In coming years, attraction to alternative urban mobility paradigms such as Connected and Autonomous Electric Vehicles (CAEVs) will increase since CAEVs can significantly contribute to not only optimize traffic flow and improve road safety but also minimize dependence on fossil fuel and reduce carbon emission in urban areas. Nonetheless, there are several barriers towards widespread adoption of CAEVs. In order to have significant growth of CAEVs in urban areas, adequate number of charging facilities in urban areas is needed as well as an efficient smart CAEV charging management is required for managing and allocating charging station resources. In this paper, we have designed and implemented a system utilizing automated reservation based charging strategies that include effective reservation management and efficient allocation of time slots of wireless charging stations.</t>
  </si>
  <si>
    <t>bvaidya@uottawa.ca; mouftah@uottawa.ca</t>
  </si>
  <si>
    <t>This research work is supported by Smart Grid Fund (SGF), Ministry of Energy, The Ontario Government and Canada Research Chair (CRC) Fund, Canada.</t>
  </si>
  <si>
    <t>2577-2465</t>
  </si>
  <si>
    <t>978-1-5386-6358-5</t>
  </si>
  <si>
    <t>IEEE VTS VEH TECHNOL</t>
  </si>
  <si>
    <t>BM8DB</t>
  </si>
  <si>
    <t>WOS:000468872400354</t>
  </si>
  <si>
    <t>Akcin, M; Kaygusuz, A; Karabiber, A; Alagoz, S; Alagoz, BB; Keles, C</t>
  </si>
  <si>
    <t>Camurcu, AY; Cetin, A</t>
  </si>
  <si>
    <t>Akcin, Murat; Kaygusuz, Asim; Karabiber, Abdulkerim; Alagoz, Serkan; Alagoz, Baris Baykant; Keles, Cemal</t>
  </si>
  <si>
    <t>Opportunities for Energy Efficiency in Smart Cities</t>
  </si>
  <si>
    <t>2016 4TH INTERNATIONAL ISTANBUL SMART GRID CONGRESS AND FAIR (ICSG)</t>
  </si>
  <si>
    <t>4th International Istanbul Smart Grid Congress and Fair (ICSG)</t>
  </si>
  <si>
    <t>APR 20-21, 2016</t>
  </si>
  <si>
    <t>Istanbul, TURKEY</t>
  </si>
  <si>
    <t>Energy efficiency; energy infrastructure; smart cities; smart grids</t>
  </si>
  <si>
    <t>INTEGRATION; TECHNOLOGY; MANAGEMENT; BUILDINGS; QUALITY; SYSTEMS; COMFORT; DESIGN</t>
  </si>
  <si>
    <t>Rapid migration from rural to urban areas leads to the emergence of urbanization and sustainability problems. Management and monitoring of resources and infrastructures are getting more important today in crowded cities. Energy consumption is increasing with the growing population and intensified in highly populated parts of cities. This increased energy consumption results in high energy demand as well as the production of more pollutants and heat in these city parts. The management of pollution and heat problems leads to an additional energy demand. Therefore, energy efficiency is becoming central challenge for urban life similar to energy efficient structuring of living organisms. Practically, all activities arranging city life require energy. For instance, job activities, transportation, security, climate, catering, entertainment, commerce etc. In this study, we review active and passive approaches, which can be utilized for improvement of energy efficiency and thus sustainability of urbanization in today's cities. We give a discussion to present a vision for future smart cities in term of improvement of energy utilization and efficiency, and relieve of environmental issues. These approaches can be helpful for future cities for relieving issues originating from population increase.</t>
  </si>
  <si>
    <t>[Akcin, Murat; Kaygusuz, Asim; Alagoz, Baris Baykant; Keles, Cemal] Inonu Univ, Dept Elect Elect Engn, Malatya, Turkey; [Karabiber, Abdulkerim] Bingol Univ, Dept Elect Elect Engn, Bingol, Turkey; [Alagoz, Serkan] Inonu Univ, Dept Phys, Malatya, Turkey</t>
  </si>
  <si>
    <t>Inonu University; Bingol University; Inonu University</t>
  </si>
  <si>
    <t>Akcin, M (corresponding author), Inonu Univ, Dept Elect Elect Engn, Malatya, Turkey.</t>
  </si>
  <si>
    <t>Alagoz, Baris/ABG-8526-2020; Karabiber, Abdulkerim/AFN-9443-2022; Keleş, Cemal/B-9025-2016; KELEŞ, CEMAL/B-9025-2016; Kaygusuz, Asim/C-2265-2015; KAYGUSUZ, ASİM/C-2265-2015; Alagoz, Serkan/ABI-2130-2020</t>
  </si>
  <si>
    <t>KELEŞ, CEMAL/0000-0002-6818-7970; Kaygusuz, Asim/0000-0003-2905-1816;</t>
  </si>
  <si>
    <t>978-1-5090-0866-7</t>
  </si>
  <si>
    <t>BG5QH</t>
  </si>
  <si>
    <t>WOS:000389660400012</t>
  </si>
  <si>
    <t>Pal, A; Kant, K</t>
  </si>
  <si>
    <t>Pal, Amitangshu; Kant, Krishna</t>
  </si>
  <si>
    <t>SmartPorter: A Combined Perishable Food and People Transport Architecture in Smart Urban Areas</t>
  </si>
  <si>
    <t>2016 IEEE INTERNATIONAL CONFERENCE ON SMART COMPUTING (SMARTCOMP)</t>
  </si>
  <si>
    <t>2nd IEEE International Conference on Smart Computing (SMARTCOMP)</t>
  </si>
  <si>
    <t>MAY 18-20, 2016</t>
  </si>
  <si>
    <t>St Louis, MO</t>
  </si>
  <si>
    <t>LOGISTICS</t>
  </si>
  <si>
    <t>The current bulk transit systems (e.g., buses) and local perishable food distribution logistics, both suffer from significant fuel inefficiency along with food wastage due to quality degradation in the distribution pipeline. In this paper we present a mechanism that exploits automated electric vehicles (AEVs) in future smart cities and regions to provide both people transport and fresh food distribution that minimizes empty miles of the vehicles (and thus enhances transport efficiency) while meeting the constraints on passenger transit time and food freshness. We devise an optimization framework and show how it can be solved using genetic algorithms in order to handle dynamic demands for passenger transport/products, uncertain supply delays, and variations in product availability. Performance evaluations with extensive simulations show that flexibly deciding the AEV routes improves the transportation efficiency by similar to 24-78% whereas improves the delivery quality by similar to 2 times compared to the typical fixed routes/schedules used both by regular passenger bus services and by local distribution operations.</t>
  </si>
  <si>
    <t>[Pal, Amitangshu; Kant, Krishna] Temple Univ, Comp &amp; Informat Sci, Philadelphia, PA 19122 USA</t>
  </si>
  <si>
    <t>Pennsylvania Commonwealth System of Higher Education (PCSHE); Temple University</t>
  </si>
  <si>
    <t>Pal, A (corresponding author), Temple Univ, Comp &amp; Informat Sci, Philadelphia, PA 19122 USA.</t>
  </si>
  <si>
    <t>amitangshu.pal@temple.edu; kkant@temple.edu</t>
  </si>
  <si>
    <t>Kant, Krishna/GOK-0405-2022</t>
  </si>
  <si>
    <t>Division Of Computer and Network Systems; Direct For Computer &amp; Info Scie &amp; Enginr [1542839] Funding Source: National Science Foundation</t>
  </si>
  <si>
    <t>Division Of Computer and Network Systems; Direct For Computer &amp; Info Scie &amp; Enginr(National Science Foundation (NSF)NSF - Directorate for Computer &amp; Information Science &amp; Engineering (CISE))</t>
  </si>
  <si>
    <t>978-1-5090-0898-8</t>
  </si>
  <si>
    <t>BG6PA</t>
  </si>
  <si>
    <t>WOS:000390715200045</t>
  </si>
  <si>
    <t>Nandury, SV; Begum, BA</t>
  </si>
  <si>
    <t>Mauri, JL; Thampi, SM; Wozniak, M; Marques, O; Krishnaswamy, D; Sahni, S; Callegari, C; Takagi, H; Bojkovic, ZS; Vinod, M; Prasad, NR; Calero, JMA; Rodrigues, J; Que, XY; Meghanathan, N; Sandhu, R; Au, E</t>
  </si>
  <si>
    <t>Nandury, Satyanarayana V.; Begum, Beneyaz A.</t>
  </si>
  <si>
    <t>Smart WSN-based Ubiquitous Architecture for Smart Cities</t>
  </si>
  <si>
    <t>2015 INTERNATIONAL CONFERENCE ON ADVANCES IN COMPUTING, COMMUNICATIONS AND INFORMATICS (ICACCI)</t>
  </si>
  <si>
    <t>International Conference on Advances in Computing, Communications and Informatics ICACCI</t>
  </si>
  <si>
    <t>AUG 10-13, 2015</t>
  </si>
  <si>
    <t>SCMS Grp of Inst, Aluva, INDIA</t>
  </si>
  <si>
    <t>SCMS Grp of Inst</t>
  </si>
  <si>
    <t>architecture; pervasive; smart cities; ubiquitous computing</t>
  </si>
  <si>
    <t>INTERNET</t>
  </si>
  <si>
    <t>In the quest for better quality of life and living standards, people living in rural areas are expected to move to urban locales. As this trend continues, more than half of world's population is expected to make cities their place of dwelling. To meet this massive influx of rural masses into urban areas, the cities world over need to equip themselves with robust infrastructure that provides necessary amenities like, adequate &amp; clean power, hygienic water in sufficient quantities and accommodation that makes optimum use of resources in a sustainable manner. Based on these requirements, a host of applications like, smart power generation &amp; distribution, smart traffic management, smart waste management &amp; utilization, smart governance, etc., are being developed. The paper discusses few research issues and challenges related to the development of IT infrastructure for smart cities. Research efforts in this direction, however, appear to be application centric. Not much attention has been given to develop an IT based holistic infrastructural framework for smart cities. To this end, we develop a conceptual architecture: Smart WSN-based Infrastructural Framework for smart Transactions (SWIFT) that provides a ubiquitous platform for seamless interaction of various smart objects, devices and systems. In this paper, we introduce the SWIFT architecture and discuss issues related to its implementation.</t>
  </si>
  <si>
    <t>[Nandury, Satyanarayana V.; Begum, Beneyaz A.] Acad Sci &amp; Innovat Res, CSIR IICT Campus, Hyderabad 500007, Andhra Pradesh, India; [Nandury, Satyanarayana V.; Begum, Beneyaz A.] Indian Inst Chem Technol, CSIR, Hyderabad 500007, Andhra Pradesh, India</t>
  </si>
  <si>
    <t>Academy of Scientific &amp; Innovative Research (AcSIR); Council of Scientific &amp; Industrial Research (CSIR) - India; CSIR - Indian Institute of Chemical Technology (IICT)</t>
  </si>
  <si>
    <t>Nandury, SV (corresponding author), Acad Sci &amp; Innovat Res, CSIR IICT Campus, Hyderabad 500007, Andhra Pradesh, India.</t>
  </si>
  <si>
    <t>nvs@iict.res.in; beneyaz.cet@gmail.com</t>
  </si>
  <si>
    <t>; KOPPARTI, Satyanarayana/HRC-8416-2023</t>
  </si>
  <si>
    <t>Ara Begum, Beneyaz/0000-0003-0393-4442; Nandury, Satyanarayana/0000-0002-4842-369X; V V KOPPARTI, SATYANARAYANA/0000-0003-4722-9278;</t>
  </si>
  <si>
    <t>978-1-4799-8792-4</t>
  </si>
  <si>
    <t>Computer Science, Theory &amp; Methods; Engineering, Electrical &amp; Electronic</t>
  </si>
  <si>
    <t>BF2KP</t>
  </si>
  <si>
    <t>WOS:000380475900394</t>
  </si>
  <si>
    <t>Fekih, A; Gaied, S; Yousef, H</t>
  </si>
  <si>
    <t>Fekih, Amna; Gaied, Sonia; Yousef, Habib</t>
  </si>
  <si>
    <t>A Comparative Study of Content-Centric and Software Defined Networks in Smart Cities</t>
  </si>
  <si>
    <t>2017 INTERNATIONAL CONFERENCE ON SMART, MONITORED AND CONTROLLED CITIES (SM2C)</t>
  </si>
  <si>
    <t>International Conference on Smart, Monitored and Controlled Cities (SM2C)</t>
  </si>
  <si>
    <t>FEB 17-19, 2017</t>
  </si>
  <si>
    <t>TUNISIA</t>
  </si>
  <si>
    <t>Smart Cities; Software Defined Networking; Content Centric Networks; SDN Controllers; features; OpenFlow</t>
  </si>
  <si>
    <t>Currently, urban areas comprise more than fifty percent of the world's population and even the rest is thinking about migrating. Seen the remarkable occurrence of new technologies and the exponential increase in the number of ordinary users, mobile users using the current Internet architecture, which is not designed to support them, the use of these technologies must be revised and redefined the connectivity of these cities to create intelligent and scalable solutions. Then, to realize this vision, smart city initiatives need to be supported and integrated by an intelligent communication infrastructure, a role tailor-made for Software-Defined Networks. But, the current internet with all its limitations; each ip address couples both identification and location, security fails, mobility management. It will not be able to ensure a highly scalable efficient content distribution. All these challenges have pushed the definition of the ICN paradigm, which proposes new networking primitives for the future Internet.</t>
  </si>
  <si>
    <t>[Fekih, Amna] Isitcom, GP1 Hammam Sousse, Sousse, Tunisia; [Gaied, Sonia] ESST, Lamine Abassi Hammam, Sousse, Tunisia; [Yousef, Habib] Univ Campus Manouba, CCK, Manouba, Tunisia</t>
  </si>
  <si>
    <t>Universite de Sousse; Universite de la Manouba</t>
  </si>
  <si>
    <t>Fekih, A (corresponding author), Isitcom, GP1 Hammam Sousse, Sousse, Tunisia.</t>
  </si>
  <si>
    <t>f.amna.fekih@gmail.com; Soniagaied3@gmail.com; Habib.youssef@fsm.rnu.tn</t>
  </si>
  <si>
    <t>978-1-5090-6323-9</t>
  </si>
  <si>
    <t>Computer Science, Interdisciplinary Applications; Engineering, Electrical &amp; Electronic</t>
  </si>
  <si>
    <t>BJ6FL</t>
  </si>
  <si>
    <t>WOS:000426614300029</t>
  </si>
  <si>
    <t>Bansal, N; Mukherjee, M; Gairola, A</t>
  </si>
  <si>
    <t>Seta, F; Sen, J; Biswas, A; Khare, A</t>
  </si>
  <si>
    <t>Bansal, Neha; Mukherjee, Mahua; Gairola, Ajay</t>
  </si>
  <si>
    <t>Smart Cities and Disaster Resilience</t>
  </si>
  <si>
    <t>FROM POVERTY, INEQUALITY TO SMART CITY</t>
  </si>
  <si>
    <t>Springer Transactions in Civil and Environmental Engineering</t>
  </si>
  <si>
    <t>National Conference on Sustainable Built Environment</t>
  </si>
  <si>
    <t>APR 10-12, 2015</t>
  </si>
  <si>
    <t>IIT Roorkee, Roorkee, INDIA</t>
  </si>
  <si>
    <t>IIT Roorkee</t>
  </si>
  <si>
    <t>Smart cities; Disasters; Resilience; Urbanization; Smart growth; Carbon footprint</t>
  </si>
  <si>
    <t>Most of the present cities are characterized by low-density urban sprawl, fragile infrastructure, low resilience, and people's poor coping capability to disasters. Further with the increasing unplanned rapid urbanization, the disasters (in terms of frequency and numbers) and their impacts are increasing, which is primarily associated with badly planned and managed urban development, degraded ecosystems, and poverty. According to a study by the United Nations, almost 890 million people (60 %) across the globe live in cities that are at risk from at least one major natural disaster, including floods, droughts, cyclones, or earthquakes. Disasters eventually wipe off years of development and cause death, injury, economic losses, and environmental and urban systems' degradation. Since a city is an integration of complicated urban systems like transportation, water supply, sanitation, housing, and other urban infrastructure and services, strengthening these systems will increase the resilience and help in disaster management in urban areas. On the other hand, smart cities use information and communications technology (ICT) to involve people, improve city services, and enhance urban systems which in turn will improve disaster resilience. To make cities disaster resilient right at the inception stage, the efficiency in urban planning can have a major impact on communities' preparedness and capacities to recover. Smart growth strategies like creating flexible land-use policies, targeting public investment, and engaging the entire community in making decisions can help communities recover from a disaster, rebuild according to a shared community vision, and be better prepared for a disaster. This paper tries to explore through various examples those aspects of smart cities which build and assist in disaster resilience of cities. The study clearly indicates that the relation between smart development and disaster resilience is strong, where the smart growth, smart urbanization (smart grids, eco-cities, compact development), and low-carbon footprint strategies have been used and are some of the most needed consideration to deal with the present scale of disasters in urban areas.</t>
  </si>
  <si>
    <t>[Bansal, Neha; Mukherjee, Mahua; Gairola, Ajay] Indian Inst Technol Roorkee, Roorkee, Uttar Pradesh, India</t>
  </si>
  <si>
    <t>Indian Institute of Technology System (IIT System); Indian Institute of Technology (IIT) - Roorkee</t>
  </si>
  <si>
    <t>Bansal, N (corresponding author), Indian Inst Technol Roorkee, Roorkee, Uttar Pradesh, India.</t>
  </si>
  <si>
    <t>nehabansal02@gmail.com; mahua1965@gmail.com; garryfce@iitr.ac.in</t>
  </si>
  <si>
    <t>SPRINGER-VERLAG SINGAPORE PTE LTD</t>
  </si>
  <si>
    <t>SINGAPORE</t>
  </si>
  <si>
    <t>SINGAPORE, SINGAPORE</t>
  </si>
  <si>
    <t>2363-7633</t>
  </si>
  <si>
    <t>978-981-10-2141-1; 978-981-10-2139-8</t>
  </si>
  <si>
    <t>SPR TRANS CIV ENV EN</t>
  </si>
  <si>
    <t>10.1007/978-981-10-2141-1_8</t>
  </si>
  <si>
    <t>Architecture; Green &amp; Sustainable Science &amp; Technology; Environmental Sciences; Urban Studies</t>
  </si>
  <si>
    <t>Architecture; Science &amp; Technology - Other Topics; Environmental Sciences &amp; Ecology; Urban Studies</t>
  </si>
  <si>
    <t>BI5GQ</t>
  </si>
  <si>
    <t>WOS:000412358300008</t>
  </si>
  <si>
    <t>Kopackova, H; Libalova, P</t>
  </si>
  <si>
    <t>Kliestik, T</t>
  </si>
  <si>
    <t>Kopackova, Hana; Libalova, Petra</t>
  </si>
  <si>
    <t>THE RISE OF SMART CITIES - RESULT OF GLOBAL PROBLEMS OR TECHNOLOGY CHALLENGE?</t>
  </si>
  <si>
    <t>GLOBALIZATION AND ITS SOCIO-ECONOMIC CONSEQUENCES, PTS I - VI</t>
  </si>
  <si>
    <t>17th International Scientific Conference on Globalization and Its Socio-Economic Consequences</t>
  </si>
  <si>
    <t>OCT 04-05, 2017</t>
  </si>
  <si>
    <t>Rajecke Teplice, SLOVAKIA</t>
  </si>
  <si>
    <t>smart city; technology; socio-technical system; evaluation</t>
  </si>
  <si>
    <t>Urban areas are confronted with the problem of high concentration of people with implications for the sustainability, quality of life, and competitiveness of the region. A United Nations (UN) study points out that, for the first time in history, more than half of the population on the planet (54.6 percent or 3.6 billion people) lives in cities. As a consequence of globalization, cities have to solve more problems, public funds need to be better targeted and natural resources need to be explored consciously and responsibly. Digital revolution brought possibility to use technology as a driver to solve old problems by new ways. Moreover, it also brought new options how to enhance sustainable development. Smart City initiatives can be viewed as an innovation as it align new technologies with new processes, new participatory policy, and new management methods. In sum, Smart City represents changes in governance and daily life. In our article we conceptualize Smart City as socio-technical system with focus on the social part. We use traditional socio-technical model, proposed by Leavitt in 1965. We also consider approaches to evaluation of the success of Smart Cities initiatives with possible metrics. As the result we propose evaluation framework for the evaluation of success of Smart City initiatives.</t>
  </si>
  <si>
    <t>[Kopackova, Hana] Univ Pardubice, FES, Inst Syst Engn &amp; Informat, Pardubice, Czech Republic; [Libalova, Petra] Univ Pardubice, FES, Pardubice, Czech Republic</t>
  </si>
  <si>
    <t>University of Pardubice; University of Pardubice</t>
  </si>
  <si>
    <t>Kopackova, H (corresponding author), Univ Pardubice, FES, Inst Syst Engn &amp; Informat, Pardubice, Czech Republic.</t>
  </si>
  <si>
    <t>hana.kopackova@upce.cz; petra.libalova@student.upce.cz</t>
  </si>
  <si>
    <t>Kopáčková, Hana/B-3566-2018</t>
  </si>
  <si>
    <t>Faculty of economics and Administration, University of Pardubice [SGS_2017_17]</t>
  </si>
  <si>
    <t>Faculty of economics and Administration, University of Pardubice</t>
  </si>
  <si>
    <t>The paper has been completed with the kind support of SGS_2017_17 project of Faculty of economics and Administration, University of Pardubice.</t>
  </si>
  <si>
    <t>UNIV ZILINA, FAC OPERATION &amp; ECONOMICS TRANSPORT &amp; COMMUNICATION</t>
  </si>
  <si>
    <t>ZILINA</t>
  </si>
  <si>
    <t>UNIVERITIZNA 1, ZILINA, 010 01, SLOVAKIA</t>
  </si>
  <si>
    <t>978-80-8154-212-1</t>
  </si>
  <si>
    <t>Business; Business, Finance; Economics; International Relations; Management</t>
  </si>
  <si>
    <t>Conference Proceedings Citation Index - Social Science &amp; Humanities (CPCI-SSH)</t>
  </si>
  <si>
    <t>Business &amp; Economics; International Relations</t>
  </si>
  <si>
    <t>BS0WP</t>
  </si>
  <si>
    <t>WOS:000685059201065</t>
  </si>
  <si>
    <t>Macadar, MA; Lheureux-De-Freitas, J; de Azambuja, LS; Luciano, EM</t>
  </si>
  <si>
    <t>Bertot, J; Estevez, E; Mellouli, S</t>
  </si>
  <si>
    <t>Macadar, Marie Anne; Lheureux-de-Freitas, Jorge; de Azambuja, Luiza Schuch; Luciano, Edimara Mezzomo</t>
  </si>
  <si>
    <t>Contact Center in a Smart Cities View: a Comparative Case Study of Curitiba (Brazil), Porto Alegre (Brazil) and Philadelphia (USA)</t>
  </si>
  <si>
    <t>9TH INTERNATIONAL CONFERENCE ON THEORY AND PRACTICE OF ELECTRONIC GOVERNANCE (ICEGOV 2016)</t>
  </si>
  <si>
    <t>9th International Conference on Theory and Practice of Electronic Governance (ICEGOV)</t>
  </si>
  <si>
    <t>MAR 01-03, 2016</t>
  </si>
  <si>
    <t>Montevideo, URUGUAY</t>
  </si>
  <si>
    <t>Smart Cities; Smart Governance; Non-emergency Contact Center</t>
  </si>
  <si>
    <t>The growing number of city inhabitants and continuing rural migration to urban areas demand innovative solutions supported by technology within a new concept of municipal management: smart cities. The initiative Call Center and Information 156 of the city of Curitiba (Brazil), is examined in this paper with two main purposes: to analyze this smart initiative and carry out a comparative study with related initiative in other Brazilian city (Porto Alegre) and also an American city (Philadelphia). Two smart city models are used here to support the analysis, which concludes that certain manifestations fit into the smart concept while others move away from the concept. The comparative study has found the common, converging and diverging features of each initiative, conducting an evaluation based on smart cities framework.</t>
  </si>
  <si>
    <t>[Macadar, Marie Anne; Lheureux-de-Freitas, Jorge; de Azambuja, Luiza Schuch; Luciano, Edimara Mezzomo] Pontificia Univ Catolica Rio Grande do Sul, Ave Ipiranga 6681,P 50,1105, BR-90619900 Porto Alegre, RS, Brazil</t>
  </si>
  <si>
    <t>Pontificia Universidade Catolica Do Rio Grande Do Sul</t>
  </si>
  <si>
    <t>Macadar, MA (corresponding author), Pontificia Univ Catolica Rio Grande do Sul, Ave Ipiranga 6681,P 50,1105, BR-90619900 Porto Alegre, RS, Brazil.</t>
  </si>
  <si>
    <t>marie.macadar@pucrs.br; jorge.freitas@pucrs.br; luiza.azambuja@pucrs.br; eluciano@pucrs.br</t>
  </si>
  <si>
    <t>; Macadar, Marie/AAL-5567-2020; Macadar, Marie Anne/AAL-5567-2020; de Azambuja, Luiza/AAN-5674-2020; Luciano, Edimara/L-4826-2015</t>
  </si>
  <si>
    <t>Schuch Azambuja, Luiza/0000-0001-7878-3875; Macadar, Marie Anne/0000-0003-2744-5352;</t>
  </si>
  <si>
    <t>1515 BROADWAY, NEW YORK, NY 10036-9998 USA</t>
  </si>
  <si>
    <t>978-1-4503-3640-6</t>
  </si>
  <si>
    <t>10.1145/2910019.2910063</t>
  </si>
  <si>
    <t>Computer Science, Interdisciplinary Applications; Political Science; Public Administration</t>
  </si>
  <si>
    <t>Computer Science; Government &amp; Law; Public Administration</t>
  </si>
  <si>
    <t>BG7NN</t>
  </si>
  <si>
    <t>WOS:000391515800036</t>
  </si>
  <si>
    <t>Prabhakar, R; Bharath, Y; Krishna, S; Jandhyala, KK</t>
  </si>
  <si>
    <t>Destech Publicat Inc</t>
  </si>
  <si>
    <t>Prabhakar, Rakshit; Bharath, Yogashree; Krishna, Sri; Jandhyala, Krishna Kishore</t>
  </si>
  <si>
    <t>Integration of BIO Power Units into Residential Complexes/Smart Cities as Part of LEED-EB for Solid Waste Management and Energy Security</t>
  </si>
  <si>
    <t>2016 INTERNATIONAL CONFERENCE ON SUSTAINABLE ENERGY, ENVIRONMENT AND INFORMATION ENGINEERING (SEEIE 2016)</t>
  </si>
  <si>
    <t>International Conference on Sustainable Energy, Environment and Information Engineering (SEEIE)</t>
  </si>
  <si>
    <t>MAR 20-21, 2016</t>
  </si>
  <si>
    <t>Bangkok,, THAILAND</t>
  </si>
  <si>
    <t>Biogas unit; Plumbing; Solid waste compactor; Smart kitchens; LEED-EB; Energy security; Zero waste</t>
  </si>
  <si>
    <t>In this paper, the main focus is to bring out the vital need to promote personal bio-power in the urban context via solid waste management as the garbage disposal has become a serious national concern. The waste as well as power requirements has sharply grown due to the increase in population, industrialization, and urbanization in India. Both the Waste Generation and Power consumption amongst Indian cities is very high compared to their geographical area of the state. It shows the socio-economic state of affairs and also the plight of rural areas that have long power cuts. Personal bio-power in urban areas will help in solid waste management and will also liberate / reduce large amount of energy generated from conventional sources of fossil fuels. Innovations in techniques of waste management integrated with home solutions leads to personal bio-power. The organic waste generated at the source is used to produce bioenergy and its by-products and also reduce waste for disposal to Municipal Authorities which is needed for Smart Cities.</t>
  </si>
  <si>
    <t>[Prabhakar, Rakshit; Bharath, Yogashree] BMS Coll Engn, Bangalore, Karnataka, India; [Krishna, Sri] Natl Inst Technol Karnataka, Surathkal, India; [Jandhyala, Krishna Kishore] ISRO, Bangalore, Karnataka, India</t>
  </si>
  <si>
    <t>BMS College of Engineering; National Institute of Technology (NIT System); National Institute of Technology Karnataka; Department of Space (DoS), Government of India; Indian Space Research Organisation (ISRO)</t>
  </si>
  <si>
    <t>Prabhakar, R (corresponding author), BMS Coll Engn, Bangalore, Karnataka, India.</t>
  </si>
  <si>
    <t>DESTECH PUBLICATIONS, INC</t>
  </si>
  <si>
    <t>LANCASTER</t>
  </si>
  <si>
    <t>439 DUKE STREET, LANCASTER, PA 17602-4967 USA</t>
  </si>
  <si>
    <t>978-1-60595-337-3</t>
  </si>
  <si>
    <t>Engineering, Multidisciplinary</t>
  </si>
  <si>
    <t>Engineering</t>
  </si>
  <si>
    <t>BG6BQ</t>
  </si>
  <si>
    <t>WOS:000389903900023</t>
  </si>
  <si>
    <t>Gózdz, K; Pachelski, W</t>
  </si>
  <si>
    <t>SGEM</t>
  </si>
  <si>
    <t>Gozdz, Katarzyna; Pachelski, Wojciech</t>
  </si>
  <si>
    <t>THE USE OF CITYGML STANDARD IN THE CONTEXT OF CREATING SMART CITIES</t>
  </si>
  <si>
    <t>INFORMATICS, GEOINFORMATICS AND REMOTE SENSING, VOL I (SGEM 2015)</t>
  </si>
  <si>
    <t>International Multidisciplinary Scientific GeoConference-SGEM</t>
  </si>
  <si>
    <t>15th International Multidisciplinary Scientific Geoconference (SGEM)</t>
  </si>
  <si>
    <t>JUN 18-24, 2015</t>
  </si>
  <si>
    <t>Albena, BULGARIA</t>
  </si>
  <si>
    <t>Application Domain Extension; CityGML; conceptual modeling; harmonization; Smart Cities</t>
  </si>
  <si>
    <t>The main objective of the paper is to develop an Application Domain Extension (ADE) of CityGML in UML for the purposes of developing the Smart Cities. The Application Domain Extension is created by expanding CityGML data model with additional information from different databases, in particular: real estate cadastre, register of addresses, topographic database and register of population. The paper outlines how the extension is built with reference to the classes and attributes defined in the conceptual models of Polish spatial databases. The research shows that the CityGML ADE could be a 3D data model for management of densely populated, urban areas and streamline city management processes as well as provide data for urban planning, facility management and other municipal services. The paper presents an innovative vision of using CityGML for supporting the development of Smart Cities. The proposal is essential with respect to the reuse of the spatial data in different application fields and the cost-effective maintenance of 3D city models. Furthermore, the investigations confirm the appropriate direction of works conducted by the Open Geospatial Consortium on development of version 3.0 of the CityGML standard, inter alia by adding semantic representation for land administration.</t>
  </si>
  <si>
    <t>[Gozdz, Katarzyna; Pachelski, Wojciech] Mil Univ Technol, Fac Civil Engn &amp; Geodesy, Warsaw, Poland</t>
  </si>
  <si>
    <t>Military University of Technology in Warsaw</t>
  </si>
  <si>
    <t>Gózdz, K (corresponding author), Mil Univ Technol, Fac Civil Engn &amp; Geodesy, Warsaw, Poland.</t>
  </si>
  <si>
    <t>STEF92 TECHNOLOGY LTD</t>
  </si>
  <si>
    <t>SOFIA</t>
  </si>
  <si>
    <t>1 ANDREY LYAPCHEV BLVD, SOFIA, 1797, BULGARIA</t>
  </si>
  <si>
    <t>1314-2704</t>
  </si>
  <si>
    <t>978-619-7105-34-6</t>
  </si>
  <si>
    <t>INT MULTI SCI GEOCO</t>
  </si>
  <si>
    <t>Computer Science, Interdisciplinary Applications; Geosciences, Multidisciplinary; Remote Sensing</t>
  </si>
  <si>
    <t>Computer Science; Geology; Remote Sensing</t>
  </si>
  <si>
    <t>BE4DT</t>
  </si>
  <si>
    <t>WOS:000371599500113</t>
  </si>
  <si>
    <t>Savelsbergh, M; Van Woensel, T</t>
  </si>
  <si>
    <t>Savelsbergh, Martin; Van Woensel, Tom</t>
  </si>
  <si>
    <t>City Logistics: Challenges and Opportunities</t>
  </si>
  <si>
    <t>TRANSPORTATION SCIENCE</t>
  </si>
  <si>
    <t>city logistics; direct-to-consumer; same-day delivery; omnichannel; crowdshipping; multimodal; multiechelon</t>
  </si>
  <si>
    <t>VEHICLE-ROUTING PROBLEMS; URBAN FREIGHT TRANSPORT; A-RIDE PROBLEM; GOODS; EMISSIONS</t>
  </si>
  <si>
    <t>Today, around 54% of the world's population lives in urban areas. By 2050, this share is expected to go up significantly. As a result, city logistics, which focuses on the efficient and effective transportation of goods in urban areas while taking into account the negative effects on congestion, safety, and environment, is critical to ensuring continued quality of life in cities. We review and discuss a variety of current and anticipated challenges and opportunities of city logistics. We hope this helps shaping an appropriate research agenda and stimulates more researchers to enter this exciting field.</t>
  </si>
  <si>
    <t>[Savelsbergh, Martin] Georgia Inst Technol, H Milton Stewart Sch Ind &amp; Syst Engn, Atlanta, GA 30332 USA; [Van Woensel, Tom] Eindhoven Univ Technol, Sch Ind Engn, NL-5600 MB Eindhoven, Netherlands</t>
  </si>
  <si>
    <t>University System of Georgia; Georgia Institute of Technology; Eindhoven University of Technology</t>
  </si>
  <si>
    <t>Savelsbergh, M (corresponding author), Georgia Inst Technol, H Milton Stewart Sch Ind &amp; Syst Engn, Atlanta, GA 30332 USA.;Van Woensel, T (corresponding author), Eindhoven Univ Technol, Sch Ind Engn, NL-5600 MB Eindhoven, Netherlands.</t>
  </si>
  <si>
    <t>martin.savelsbergh@isye.gatech.edu; t.v.woensel@tue.nl</t>
  </si>
  <si>
    <t>Van Woensel, Tom/F-2674-2010; Savelsbergh, Martin/O-8434-2019</t>
  </si>
  <si>
    <t>Van Woensel, Tom/0000-0003-4766-2346;</t>
  </si>
  <si>
    <t>INFORMS</t>
  </si>
  <si>
    <t>CATONSVILLE</t>
  </si>
  <si>
    <t>5521 RESEARCH PARK DR, SUITE 200, CATONSVILLE, MD 21228 USA</t>
  </si>
  <si>
    <t>0041-1655</t>
  </si>
  <si>
    <t>TRANSPORT SCI</t>
  </si>
  <si>
    <t>Transp. Sci.</t>
  </si>
  <si>
    <t>10.1287/trsc.2016.0675</t>
  </si>
  <si>
    <t>Operations Research &amp; Management Science; Transportation; Transportation Science &amp; Technology</t>
  </si>
  <si>
    <t>Operations Research &amp; Management Science; Transportation</t>
  </si>
  <si>
    <t>DL5CZ</t>
  </si>
  <si>
    <t>WOS:000375656200013</t>
  </si>
  <si>
    <t>Soylemezgiller, F; Kuscu, M; Kilinc, D</t>
  </si>
  <si>
    <t>Soylemezgiller, Fahri; Kuscu, Murat; Kilinc, Deniz</t>
  </si>
  <si>
    <t>A Traffic Congestion Avoidance Algorithm with Dynamic Road Pricing for Smart Cities</t>
  </si>
  <si>
    <t>2013 IEEE 24TH INTERNATIONAL SYMPOSIUM ON PERSONAL, INDOOR, AND MOBILE RADIO COMMUNICATIONS (PIMRC)</t>
  </si>
  <si>
    <t>IEEE 24th International Symposium on Personal, Indoor and Mobile Radio Communications (PIMRC)</t>
  </si>
  <si>
    <t>SEP 08-11, 2013</t>
  </si>
  <si>
    <t>London, ENGLAND</t>
  </si>
  <si>
    <t>The traffic congestion problem is a common issue for the residents of metropolises. Although expanding the capacity of transportation systems and stimulating the public transportation may decrease the traffic congestion, they cannot completely solve the traffic congestion problem. As a solution for the worsening traffic congestion problem in urban areas, road pricing systems have been employed. In this paper, we propose a radically different road pricing scheme to prevent and decrease the traffic congestion in metropolises. Unlike designating a small congestion charge zone in a city, we propose to employ a road pricing system over the entire city. Thus, our road pricing system can control the traffic flow in the entire traffic network of the city. Furthermore, the road prices are adjusted dynamically based on the instantaneous traffic densities of each road in the city in order to rapidly and efficiently control the traffic flow and to prevent the traffic congestion. Moreover, we propose to change the road prices according to the past usage statistics of the road by predicting a possible congestion. The simulation results of our road pricing algorithm show that traffic congestion is prevented over the entire traffic network and the traffic densities of the roads are homogenized.</t>
  </si>
  <si>
    <t>[Soylemezgiller, Fahri] Provus Informat Technol Inc, Istanbul, Turkey; [Kuscu, Murat; Kilinc, Deniz] Koc Univ, Dept Elect &amp; Elect Engn, Istanbul, Turkey</t>
  </si>
  <si>
    <t>Provus Information Services; Koc University</t>
  </si>
  <si>
    <t>Soylemezgiller, F (corresponding author), Provus Informat Technol Inc, Istanbul, Turkey.</t>
  </si>
  <si>
    <t>fahri.soylemezgiller@provus.com.tr; mkuscu@ku.edu.tr; dkilinc@ku.edu.tr</t>
  </si>
  <si>
    <t>; Kuscu, Murat/U-5300-2019</t>
  </si>
  <si>
    <t>Kilinc, Deniz/0000-0001-5973-4795; Kuscu, Murat/0000-0002-8463-6027</t>
  </si>
  <si>
    <t>BB8ER</t>
  </si>
  <si>
    <t>WOS:000346481202122</t>
  </si>
  <si>
    <t>Shah, SFA; Mazhar, T; Al Shloul, T; Shahzad, T; Hu, YC; Mallek, F; Hamam, H</t>
  </si>
  <si>
    <t>Shah, Syed Faisal Abbas; Mazhar, Tehseen; Al Shloul, Tamara; Shahzad, Tariq; Hu, Yu-Chen; Mallek, Fatma; Hamam, Habib</t>
  </si>
  <si>
    <t>Applications, challenges, and solutions of unmanned aerial vehicles in smart city using blockchain</t>
  </si>
  <si>
    <t>PEERJ COMPUTER SCIENCE</t>
  </si>
  <si>
    <t>UAVs; Applications; Types; Smart cities; Security challenges; Blockchain; ICT; Management; Robotics; AI</t>
  </si>
  <si>
    <t>NETWORKS OPEN ISSUES; 5G; COMMUNICATION; SURVEILLANCE; OPTIMIZATION; SAFETY; UAVS</t>
  </si>
  <si>
    <t>Real -time data gathering, analysis, and reaction are made possible by this information and communication technology system. Data storage is also made possible by it. This is a good move since it enhances the administration and operation services essential to any city's efficient operation. The idea behind smart cities is that information and communication technology (ICTs) need to be included in a city's routine activities in order to gather, analyze, and store enormous amounts of data in real -time. This is helpful since it makes managing and governing urban areas easier. The drone or uncrewed aerial vehicle (UAV), which can carry out activities that ordinarily call for a human driver, serves as an example of this. UAVs could be used to integrate geospatial data, manage traffic, keep an eye on objects, and help in an emergency as part of a smart urban fabric. This study looks at the benefits and drawbacks of deploying UAVs in the conception, development, and management of smart cities. This article describes the importance and advantages of deploying UAVs in designing, developing, and maintaining in smart cities. This article overviews UAV uses types, applications, and challenges. Furthermore, we presented blockchain approaches for addressing the given problems for UAVs in smart research topics and recommendations for improving the security and privacy of UAVs in smart cities. Furthermore, we presented Blockchain approaches for addressing the given problems for UAVs in smart cities. Researcher and graduate students are audience of our article.</t>
  </si>
  <si>
    <t>[Shah, Syed Faisal Abbas; Mazhar, Tehseen] Virtual Univ Pakistan, Dept Comp Sci &amp; Informat Technol, Lahore, Pakistan; [Al Shloul, Tamara] Liwa Coll Technol, Dept Gen Educ, Abu Dhabi, U Arab Emirates; [Shahzad, Tariq] Univ Johannesburg, Sch Elect Engn, Dept Elect &amp; Elect Engn Sci, Johannesburg, South Africa; [Hu, Yu-Chen] Providence Univ, Dept Comp Sci &amp; Informat Management, Taichung, Taiwan; [Mallek, Fatma; Hamam, Habib] Univ Moncton, Fac Engn, Moncton, NB, Canada; [Hamam, Habib] Univ Hail, Coll Comp Sci &amp; Engn, Hail, Saudi Arabia; [Hamam, Habib] Int Inst Technol &amp; Management, Libreville, Commune Dakanda, Gabon; [Hamam, Habib] Spectrum Knowledge Prod &amp; Skills Dev, Sfax, Tunisia</t>
  </si>
  <si>
    <t>Virtual University of Pakistan; University of Johannesburg; Providence University - Taiwan; University of Moncton; University Ha'il; Universite de Sfax</t>
  </si>
  <si>
    <t>Shah, SFA; Mazhar, T (corresponding author), Virtual Univ Pakistan, Dept Comp Sci &amp; Informat Technol, Lahore, Pakistan.</t>
  </si>
  <si>
    <t>syedfaisalshah196@gmail.com; tehseenmazhar719@gmail.com</t>
  </si>
  <si>
    <t>Mazhar, TEHSEEN/JED-4787-2023; Shahzad, Tariq/IWU-6778-2023; Hamam, Habib/C-1761-2019</t>
  </si>
  <si>
    <t>MAZHAR, TEHSEEN/0000-0002-4649-2376;</t>
  </si>
  <si>
    <t>PEERJ INC</t>
  </si>
  <si>
    <t>341-345 OLD ST, THIRD FLR, LONDON, EC1V 9LL, ENGLAND</t>
  </si>
  <si>
    <t>2376-5992</t>
  </si>
  <si>
    <t>PEERJ COMPUT SCI</t>
  </si>
  <si>
    <t>PeerJ Comput. Sci.</t>
  </si>
  <si>
    <t>FEB 8</t>
  </si>
  <si>
    <t>10.7717/peerj-cs.1776</t>
  </si>
  <si>
    <t>Computer Science, Artificial Intelligence; Computer Science, Information Systems; Computer Science, Theory &amp; Methods</t>
  </si>
  <si>
    <t>HI0D1</t>
  </si>
  <si>
    <t>WOS:001158738200004</t>
  </si>
  <si>
    <t>Aziz, KMA; Daoud, AO; Singh, AK; Alhusban, M</t>
  </si>
  <si>
    <t>Aziz, Khaled Mahmoud Abdel; Daoud, Ahmed Osama; Singh, Atul Kumar; Alhusban, Mohammad</t>
  </si>
  <si>
    <t>Integrating digital mapping technologies in urban development: Advancing sustainable and resilient infrastructure for SDG 9 achievement - a systematic review</t>
  </si>
  <si>
    <t>ALEXANDRIA ENGINEERING JOURNAL</t>
  </si>
  <si>
    <t>Sustainable development goals; Digital transformation/data; Resilient infrastructure; Sustainable industrialisation and smart cities; Fostering innovation; Urban climate resilience</t>
  </si>
  <si>
    <t>SUPPLY CHAIN MANAGEMENT; DEVELOPMENT GOALS; INNOVATION; COUNTRIES; INDUSTRY; GREEN</t>
  </si>
  <si>
    <t>The UN Agenda 2030 recognised the critical role of urban areas as cultural, economic, and social life centres that can simultaneously address different sustainability goals and provide quick and more practical responses to associated problems. Goal 9 aimed to build resilient infrastructure, enhance sustainable and inclusive industrialisation and increase innovation, as stated by the UN. This review demonstrates our novel effort toward increasing understanding of the existing literature concerning integrating digital mapping technologies in urban development: advancing sustainable and resilient infrastructure for SDG 9 achievement. The review employed a systematic approach to literature search and selection. Results showed that SDGs' Resilient Infrastructure constituted 13.2 %, Sustainable Industrialisation/Smart Cities (30.2 %), Fostering Innovation (13.2 %), ICT (3.8 %), Digital Data (5.7 %), Urban/Climate Resilience (5.7 %), and other aspects of SDG 9 accounted for 28.3 %. SDGs were not addressed by the studies relating to SDG 5 (Gender Equality), SDG 9 (Infrastructure, Industry, and Innovation), SDG 12 (Responsible production and consumption), SDG 14 (life beneath water), and SDG 17 (Goals for partnership). A comparative dearth of research was also reported from low and middle-income nations. The study further indicated a lack of reliable data on SDG 9; finding what existed was challenging. These comprise economic shifts to viable urban design patterns, including smart cities, consumption and production, effective governance, and renewed international means and partnerships of SDG implementation. Another set of challenges comprised a dearth of economic and social inclusion, extensive regional variations and rural-urban gaps, and gender inequality among women and men. Lastly, this study proposed a conceptual framework for implementing SDG 9. The study inferred that digital transformation (DT) improves SDG 9 attainment. However, it might be mediated by the e-governance/brilliant city performance and stakeholder commitment level.</t>
  </si>
  <si>
    <t>[Aziz, Khaled Mahmoud Abdel] Prince Sattam Bin Abdulaziz Univ, Coll Engn Al Kharj, Dept Civil Engn, Al Kharj 11942, Saudi Arabia; [Aziz, Khaled Mahmoud Abdel] Benha Univ, Fac Engn Shoubra, Geomat Engn Dept, Cairo, Egypt; [Daoud, Ahmed Osama] British Univ Egypt BUE, Fac Engn, Dept Civil Engn, Cairo 11837, Egypt; [Singh, Atul Kumar] Dayananda Sagar Coll Engn, Dept Civil Engn, Bengaluru 560111, Karnataka, India; [Alhusban, Mohammad] Middle East Univ, Dept Civil Engn, Amman 3626, Jordan</t>
  </si>
  <si>
    <t>Prince Sattam Bin Abdulaziz University; Egyptian Knowledge Bank (EKB); Benha University; Egyptian Knowledge Bank (EKB); British University in Egypt; Dayananda Sagar College of Engineering</t>
  </si>
  <si>
    <t>Aziz, KMA (corresponding author), Prince Sattam Bin Abdulaziz Univ, Coll Engn Al Kharj, Dept Civil Engn, Al Kharj 11942, Saudi Arabia.</t>
  </si>
  <si>
    <t>KHALED.MAHMOUD@feng.bu.edu.eg</t>
  </si>
  <si>
    <t>Abdel Aziz, Khaled/LCD-2388-2024; Daoud, Ahmed Osama/AAL-5111-2020; Singh, Atul Kumar/GYU-6499-2022; Alhusban, Mohammad/AAC-8300-2022</t>
  </si>
  <si>
    <t>Daoud, Ahmed Osama/0000-0001-7032-4690; Abdel Aziz, Khaled Mahmoud/0000-0001-5633-9175;</t>
  </si>
  <si>
    <t>Prince Sattam Bin Abdulaziz University (PSAU) [PSAU-2023-SDG-2023/SDG/09]</t>
  </si>
  <si>
    <t>Prince Sattam Bin Abdulaziz University (PSAU)(Prince Sattam Bin Abdulaziz University)</t>
  </si>
  <si>
    <t>This project is sponsored by Prince Sattam Bin Abdulaziz University (PSAU) as part of funding for its SDG Roadmap Research Funding Programme project number PSAU-2023-SDG-2023/SDG/09.</t>
  </si>
  <si>
    <t>1110-0168</t>
  </si>
  <si>
    <t>2090-2670</t>
  </si>
  <si>
    <t>ALEX ENG J</t>
  </si>
  <si>
    <t>Alex. Eng. J.</t>
  </si>
  <si>
    <t>10.1016/j.aej.2024.12.078</t>
  </si>
  <si>
    <t>JAN 2025</t>
  </si>
  <si>
    <t>T8Y5H</t>
  </si>
  <si>
    <t>WOS:001407794600001</t>
  </si>
  <si>
    <t>Labarthe, O; Ahmadi, G; Klibi, W; Deschamps, JC; Montreuil, B</t>
  </si>
  <si>
    <t>Labarthe, Olivier; Ahmadi, Ghazaleh; Klibi, Walid; Deschamps, Jean- Christophe; Montreuil, Benoit</t>
  </si>
  <si>
    <t>A sustainable on-demand urban delivery service enabled by synchromodality and synergy in passenger and freight mobility</t>
  </si>
  <si>
    <t>TRANSPORTATION RESEARCH PART C-EMERGING TECHNOLOGIES</t>
  </si>
  <si>
    <t>Hyperconnected city logistics; Interconnected urban transportation; Physical internet; Freight transshipment; Sustainable city</t>
  </si>
  <si>
    <t>CITY LOGISTICS; PHYSICAL INTERNET; TIME WINDOWS; TRANSPORT; CHALLENGES; VEHICLE; SYSTEM; PICKUP; FRAMEWORK; TRANSIT</t>
  </si>
  <si>
    <t>This paper investigates the opportunity to plan for a novel on-demand freight delivery service in urban areas with tight service and sustainability requirements. This contribution first attempts to focus on the feasibility of connecting people and freight mobility through the joint usage of transportation options. It builds on the hyperconnectivity principles enabled by the Physical Internet (PI) manifesto for city logistics, referred to as HCL (Hyperconnected City Logistics). To this end, this paper proposes a model-based decision support approach that seeks to produce effective delivery solutions for an on-demand multimodal transshipment problem. The approach considers multiple mobility options such as on-demand urban delivery services, cargo bikes, tramways, and buses to transship goods from one urban logistic hub to another. This novel shortterm response planning problem complements the well-known day-before planning problem. The objective function aims to minimize the impact of freight moves in the time and space of urban transport networks. The proposed solution aims to increase the sustainability of cities by reducing congestion levels, the impact of logistics moves, as well as carbon emissions in urban areas. An illustrative case is provided to demonstrate how the novel multi -mode transportation system could operate and to provide an evaluation of the economic and sustainability benefits of such a system in an urban context. For a hyperconnected network, the impact of freight movements on the time and space of urban transport networks can be reduced by 91%. The results demonstrate the potential of urban synchromodality in improving economic efficiency, service capability, and sustainability.</t>
  </si>
  <si>
    <t>[Labarthe, Olivier; Ahmadi, Ghazaleh; Klibi, Walid] Kedge Business Sch, Ctr Excellence Supply Chain Innovat &amp; Transportat, Bordeaux, France; [Deschamps, Jean- Christophe] Univ Bordeaux, IMS Lab, Bordeaux, France; [Klibi, Walid; Montreuil, Benoit] Supply Chain &amp; Logist Inst, Phys Internet Ctr, Atlanta, GA USA; [Montreuil, Benoit] Georgia Inst Technol, H Milton Stewart Sch Ind &amp; Syst Engn, Atlanta, GA USA</t>
  </si>
  <si>
    <t>Kedge Business School; Universite de Bordeaux; University System of Georgia; Georgia Institute of Technology</t>
  </si>
  <si>
    <t>Labarthe, O (corresponding author), Kedge Business Sch, Ctr Excellence Supply Chain Innovat &amp; Transportat, Bordeaux, France.</t>
  </si>
  <si>
    <t>olivier.labarthe@kedgebs.com</t>
  </si>
  <si>
    <t>Ahmadi, Goodarz/AAT-1417-2021</t>
  </si>
  <si>
    <t>Labarthe, Olivier/0000-0002-9623-2302</t>
  </si>
  <si>
    <t>0968-090X</t>
  </si>
  <si>
    <t>1879-2359</t>
  </si>
  <si>
    <t>TRANSPORT RES C-EMER</t>
  </si>
  <si>
    <t>Transp. Res. Pt. C-Emerg. Technol.</t>
  </si>
  <si>
    <t>10.1016/j.trc.2024.104544</t>
  </si>
  <si>
    <t>MAR 2024</t>
  </si>
  <si>
    <t>PM3P6</t>
  </si>
  <si>
    <t>WOS:001214459900001</t>
  </si>
  <si>
    <t>Li, M; Mour, N; Smith, L</t>
  </si>
  <si>
    <t>Li, Min; Mour, Nathan; Smith, Lee</t>
  </si>
  <si>
    <t>Machine learning based on reinforcement learning for smart grids: Predictive analytics in renewable energy management</t>
  </si>
  <si>
    <t>Deep reinforcement learning; Energy management; Smart cities; Secured blockchain technology; Optimization</t>
  </si>
  <si>
    <t>BLOCKCHAIN</t>
  </si>
  <si>
    <t>This paper introduces a groundbreaking approach to energy management in smart cities, leveraging deep reinforcement learning (DRL) and secured blockchain technology. The escalating demand for energy in urban areas necessitates intelligent solutions that optimize energy usage while ensuring data security and integrity. Our proposed technique integrates DRL algorithms with blockchain technology to achieve optimal energy management while addressing security concerns. The core innovation lies in the development of a DRL framework that dynamically adapts to changing energy demands and environmental factors. By continuously learning and optimizing energy allocation strategies, our approach enhances resource utilization efficiency and reduces wastage, contributing to sustainable smart city initiatives. Additionally, the incorporation of blockchain technology ensures data immutability, transparency, and secure transactions within the energy management system. We validate the effectiveness of our method through extensive simulations and real -world experiments, demonstrating significant improvements in energy efficiency, cost savings, and security compared to traditional approaches. Our research paves the way for future advancements in smart city infrastructure, offering a scalable and robust solution for optimal energy management with heightened security measures.</t>
  </si>
  <si>
    <t>[Li, Min] Wuhan Text Univ, Sch Comp &amp; Artificial Intelligence, Wuhan 430072, Peoples R China; [Mour, Nathan; Smith, Lee] Aalto Univ, Dept Elect Engn, Espoo, Finland</t>
  </si>
  <si>
    <t>Wuhan Textile University; Aalto University</t>
  </si>
  <si>
    <t>Li, M (corresponding author), Wuhan Text Univ, Sch Comp &amp; Artificial Intelligence, Wuhan 430072, Peoples R China.</t>
  </si>
  <si>
    <t>lmin82027@gmail.com</t>
  </si>
  <si>
    <t>AUG 15</t>
  </si>
  <si>
    <t>10.1016/j.scs.2024.105510</t>
  </si>
  <si>
    <t>MAY 2024</t>
  </si>
  <si>
    <t>TT2K0</t>
  </si>
  <si>
    <t>WOS:001243442000001</t>
  </si>
  <si>
    <t>Neto, AGLP; Galves, ML; Lima, OF; Tacla, D</t>
  </si>
  <si>
    <t>Brebbia, CA</t>
  </si>
  <si>
    <t>Peixoto Neto, A. G. L.; Galves, M. L.; Lima Junior, O. F.; Tacla, D.</t>
  </si>
  <si>
    <t>Challenges of urban transport problems and city logistics: Sao Paulo city center case</t>
  </si>
  <si>
    <t>URBAN TRANSPORT XIV: URBAN TRANSPORT AND THE ENVIRONMENT IN THE 21ST CENTURY</t>
  </si>
  <si>
    <t>WIT TRANSACTIONS ON THE BUILT ENVIRONMENT</t>
  </si>
  <si>
    <t>14th International Conference on Urban Transport and the Environment in the 21st Century</t>
  </si>
  <si>
    <t>MALTA</t>
  </si>
  <si>
    <t>city logistics; mobility; urban transport and traffic congestion</t>
  </si>
  <si>
    <t>Traffic congestion continues to worsen in South American cities of all sizes, creating a $ billion annual drain on the South American Countries economy in the form of lost hours and gallons of wasted fuel. The purpose of this work is to provide an overview of urban transport problems and city logistics challenges in Sao Paulo city center. The focus of the discussion is the emerging concept of city logistics to improve the mobility of cities, and the research opportunity that it creates. Production and consumption have long been central to understanding the evolution and management of transport systems. The current paper argues that there are now some new concepts in that understanding which deserve consideration and will shape a different future. On the other hand, the organization of logistics has an effect upon the structure of urban areas. At a simple level, global and continental scale logistics systems are organized around airports, seaports, road and rail systems and storage facilities, which all tend to be space extensive. These challenges are the growth in logistics systems for the globalization of production and consumption, and the related spatial and functional restructuring of large scale urban regions. The core ideas of the paper are that these two changes, associated with innovation and structural change in the economy, have produced concentration as well as dispersal of different types of production and consumption in very large urban regions. They create the need for some new responses in transport planning.</t>
  </si>
  <si>
    <t>[Peixoto Neto, A. G. L.; Galves, M. L.; Lima Junior, O. F.; Tacla, D.] Univ Estadual Campinas, LALT, Campinas, Brazil</t>
  </si>
  <si>
    <t>Universidade Estadual de Campinas</t>
  </si>
  <si>
    <t>Peixoto Neto, Alberto/F-7092-2013; Lima Jr, Orlando Fontes/A-5285-2013; Lima, Orlando/A-5285-2013; Neto, Alberto/F-7092-2013</t>
  </si>
  <si>
    <t>Peixoto Neto, Alberto/0000-0002-6302-470X; Lima Jr, Orlando Fontes/0000-0002-4283-8245;</t>
  </si>
  <si>
    <t>WIT PRESS</t>
  </si>
  <si>
    <t>SOUTHAMPTON</t>
  </si>
  <si>
    <t>ASHURST LODGE, SOUTHAMPTON SO40 7AA, ASHURST, ENGLAND</t>
  </si>
  <si>
    <t>1746-4498</t>
  </si>
  <si>
    <t>978-1-84564-123-8</t>
  </si>
  <si>
    <t>WIT TRANS BUILT ENV</t>
  </si>
  <si>
    <t>Engineering, Civil; Environmental Sciences; Environmental Studies; Management; Regional &amp; Urban Planning; Transportation Science &amp; Technology</t>
  </si>
  <si>
    <t>Engineering; Environmental Sciences &amp; Ecology; Business &amp; Economics; Public Administration; Transportation</t>
  </si>
  <si>
    <t>BIJ33</t>
  </si>
  <si>
    <t>WOS:000260019400014</t>
  </si>
  <si>
    <t>Rani, U; Dahiya, N; Kundu, S; Kanungo, S; Kathuria, S; Rakesh, SK; Sharma, A; Singh, P</t>
  </si>
  <si>
    <t>Rani, Uma; Dahiya, Neeraj; Kundu, Shakti; Kanungo, Sonal; Kathuria, Sakshi; Rakesh, Shanu Kuttan; Sharma, Anil; Singh, Puneeta</t>
  </si>
  <si>
    <t>Deep learning-based urban energy forecasting model for residential building energy efficiency</t>
  </si>
  <si>
    <t>ENERGY EXPLORATION &amp; EXPLOITATION</t>
  </si>
  <si>
    <t>Smart cities; urban planning; energy efficiency; deep neural network; residential buildings; environmental sustainability</t>
  </si>
  <si>
    <t>DEMAND RESPONSE; MANAGEMENT; CONTROLLER</t>
  </si>
  <si>
    <t>Sustainable and inventive city design is becoming more and more dependent on the use of cutting-edge technology as smart cities develop further. Energy efficiency optimization in residential structures is an essential part of the puzzle as it helps conserve resources and keeps the planet habitable. An enhanced Deep Neural Network (DNN) model for household energy efficiency predictions is presented in this research. Our model uses a large dataset of building features, weather, occupancy patterns and energy usage histories. Data is preprocessed, features are engineered and hyperparameters are tweaked to improve DNN prediction. Scalable, easy-to-understand models are essential, as are shifting urban areas and energy landscapes. In this work, the authors have evaluated the proposed model with basic model with different optimizers. Initially, the Stochastic Gradient Descent optimizer applied that gained 91.02% Recall, 93.47% Precision, 93.28% F1-Score, 0.0153 MSE, 0.0166 RMSE and 0.0165 MAE. The proposed model gained 99.52% Recall, 98.91% Precision, 99.09% F1-Score, 0.0140 MSE, 0.0137 RMSE and 0.0139 MAE. By monitoring, analyzing and making decisions in real time, smart city systems can help planners understand energy usage trends. The optimized DNN model advances smart city development by promoting sustainability and resource optimization. Predicting residential buildings' energy efficiency provides proactive energy savings, cost reduction and environmental impact mitigation. The suggested DNN model shows how smart cities use cutting-edge urban planning to become more sustainable, efficient and resilient.</t>
  </si>
  <si>
    <t>[Rani, Uma] World Coll Technol &amp; Management, Dept Comp Sci &amp; Engn, Gurugram, Haryana, India; [Dahiya, Neeraj] SRM Univ Delhi NCR, Dept Comp Sci &amp; Engn, Sonipat, Haryana, India; [Kundu, Shakti] BML Munjal Univ, Sch Engn &amp; Technol, Comp Sci Engn, Gurugram, Haryana, India; [Kanungo, Sonal] DPG Sch Technol &amp; Management Gurugram, Dept Comp Sci, Gurugram, Haryana, India; [Kathuria, Sakshi] KR Managlam Univ, Dept Comp Sci &amp; Engn, Gurugram, Haryana, India; [Rakesh, Shanu Kuttan] Chouksey Engn Coll, Dept Comp Sci &amp; Engn, Mehmand, Chhattisgarh, India; [Sharma, Anil] Debre Tabor Univ Ethiopia, Fac Technol, Dept Comp Sci &amp; Engn, Debre Tabor, Amhara, Ethiopia; [Sharma, Anil] Amity Univ, Amity Sch Engn &amp; Technol, Dept Comp Sci &amp; Engn, Sect 125, Noida, Uttar Pradesh, India; [Singh, Puneeta] JSS Acad Tech Educ, Dept IT, Noida, Uttar Pradesh, India</t>
  </si>
  <si>
    <t>SRM University Haryana; BML Munjal University; Amity University Noida</t>
  </si>
  <si>
    <t>Sharma, A (corresponding author), Debre Tabor Univ Ethiopia, Fac Technol, Dept Comp Sci &amp; Engn, Debre Tabor, Amhara, Ethiopia.</t>
  </si>
  <si>
    <t>anilsharma@dtu.edu.et</t>
  </si>
  <si>
    <t>Kundu, Dr. Shakti/AAJ-4270-2021; Kuttan Rakesh, Shanu/LMO-6607-2024; Kundu, Shakti/AAJ-4270-2021; Rani, Uma/X-1714-2019; SHARMA, ANIL/IZD-9871-2023; Singh, Puneeta/NSU-9807-2025; Dahiya, Neeraj/AAC-5549-2021</t>
  </si>
  <si>
    <t>K Rakesh, Shanu/0000-0001-8755-6359; Kanungo, Sonal/0000-0003-0025-0918; SHARMA, ANIL/0000-0002-7115-6278; Kundu, Shakti/0000-0003-3152-2605;</t>
  </si>
  <si>
    <t>SAGE PUBLICATIONS INC</t>
  </si>
  <si>
    <t>THOUSAND OAKS</t>
  </si>
  <si>
    <t>2455 TELLER RD, THOUSAND OAKS, CA 91320 USA</t>
  </si>
  <si>
    <t>0144-5987</t>
  </si>
  <si>
    <t>2048-4054</t>
  </si>
  <si>
    <t>ENERG EXPLOR EXPLOIT</t>
  </si>
  <si>
    <t>Energy Explor. Exploit.</t>
  </si>
  <si>
    <t>10.1177/01445987241257590</t>
  </si>
  <si>
    <t>G6R7C</t>
  </si>
  <si>
    <t>WOS:001235918800001</t>
  </si>
  <si>
    <t>Gómez-Carmona, O; Sádaba, J; Casado-Mansilla, D</t>
  </si>
  <si>
    <t>Gomez-Carmona, Oihane; Sadaba, Juan; Casado-Mansilla, Diego</t>
  </si>
  <si>
    <t>Enhancing street-level interactions in smart cities through interactive and modular furniture</t>
  </si>
  <si>
    <t>JOURNAL OF AMBIENT INTELLIGENCE AND HUMANIZED COMPUTING</t>
  </si>
  <si>
    <t>Article; Early Access</t>
  </si>
  <si>
    <t>Smart cities; Interactive kiosk; Smart furniture; Digital signage; E-services</t>
  </si>
  <si>
    <t>INFORMATION KIOSKS; HEALTH; FACILITIES; DELIVERY</t>
  </si>
  <si>
    <t>The idea of smart cities is becoming part of our reality and it represents the transformation that urban areas should undergo to create more sustainable and efficient spaces. Through the combination of technology to gather data, people to produce them and stakeholders' creativity, the smart cities provide tools and mechanisms that bring greater value to the environment and, in the end, improve citizens quality of life. Although the concept of a smart city is evolving fast in terms of technology adoption and user involvement, the new interactive objects that will be deployed in those smart environments to create street-level interactions are still dubious. Hence, this article contributes to presenting the implementation of a multifunctional digital system, in the form of smart furniture, to be deployed in the smart cities. The proposed smart object is a modular and customizable kiosk, resembling a totem, specifically designed to fit into this digital transformation and to respond to users' needs by offering contextualized information and services. The included integrated hardware elements interact digitally and physically with users, sense environmental conditions and send the captured data to the cloud, where remote management tools allow to control and configure the whole setup. The presented smart totem has been customized for two different use-cases to highlight the adaptability of the system to fit for different purposes. Moreover, one of the use-cases has been thoroughly evaluated after being deployed for 6 months in the wild at the Chinese and Japanese Garden of Singapore. The quantitative data gathered throughout this study along with the obtained qualitative users' feedback, help to provide insights for the convenience of deploying new interactive furniture in smart cities, the adoption barriers of such physical systems, and the new opportunities that these street-level interactions can elicit.</t>
  </si>
  <si>
    <t>[Gomez-Carmona, Oihane; Casado-Mansilla, Diego] DeustoTech Univ Deusto, Avda Univ 24, Bilbao 48007, Spain; [Sadaba, Juan] Univ Basque Country, Dept Architecture, Onati Plaza 2, San Sebastian 20018, Spain</t>
  </si>
  <si>
    <t>University of Deusto; University of Basque Country</t>
  </si>
  <si>
    <t>Gómez-Carmona, O (corresponding author), DeustoTech Univ Deusto, Avda Univ 24, Bilbao 48007, Spain.</t>
  </si>
  <si>
    <t>oihane.gomezc@deusto.es; sadaba@ehu.eus; dcasado@deusto.es</t>
  </si>
  <si>
    <t>Sadaba, Juan/GWZ-8085-2022; Casado-Mansilla, Diego/C-3371-2012; Gómez-Carmona, Oihane/R-1221-2019; Sádaba, Juan/GWZ-8085-2022</t>
  </si>
  <si>
    <t>Sadaba, Juan/0000-0002-3996-4937; Gómez-Carmona, Oihane/0000-0001-7439-2551;</t>
  </si>
  <si>
    <t>1868-5137</t>
  </si>
  <si>
    <t>1868-5145</t>
  </si>
  <si>
    <t>J AMB INTEL HUM COMP</t>
  </si>
  <si>
    <t>J. Ambient Intell. Humaniz. Comput.</t>
  </si>
  <si>
    <t>2019 NOV 19</t>
  </si>
  <si>
    <t>10.1007/s12652-019-01577-8</t>
  </si>
  <si>
    <t>NOV 2019</t>
  </si>
  <si>
    <t>Computer Science, Artificial Intelligence; Computer Science, Information Systems; Telecommunications</t>
  </si>
  <si>
    <t>NV6RA</t>
  </si>
  <si>
    <t>WOS:000574444900002</t>
  </si>
  <si>
    <t>Mupfumira, P; Mutingi, M; Sony, M</t>
  </si>
  <si>
    <t>Mupfumira, Portia; Mutingi, Michael; Sony, Michael</t>
  </si>
  <si>
    <t>Smart city frameworks SWOT analysis: a systematic literature review</t>
  </si>
  <si>
    <t>FRONTIERS IN SUSTAINABLE CITIES</t>
  </si>
  <si>
    <t>smart city framework; conceptual framework; SWOT analysis; smart city components; smart city drivers</t>
  </si>
  <si>
    <t>CITIES; FUTURE</t>
  </si>
  <si>
    <t>In the past decade, the concept of smart cities has gained popularity as a way to address and manage challenges and complexities in urban areas. Different smart city frameworks have been proposed and the term framework has been defined, examined and proposed in various ways, with each interpretation taking a distinct approach. From a different angle, some frameworks highlight how the smart city concept is implemented, while others concentrate on assessing the initiatives' level of success. An additional collection of frameworks concentrated on the essential elements needed to make up a smart city. This research explicitly analyses frameworks concentrating on fundamental components to identify and suggest essential elements for developing an adaptable, sustainable smart city structure. Using a methodological approach that focused on the core elements of smart city structure, the research comprised of conducting a systematic literature review (SLR), and carrying out an analysis of the strengths, weaknesses, opportunities, and threats (SWOT) of existing frameworks. Based on the area of focus, the analysed frameworks were grouped into four categories: human-centric, techno-centric, integrated human-techno-centric and environmental-focus frameworks for easy SWOT analysis. The findings revealed that cyber-security issues pose threats to all frameworks and there are technological dependency vulnerabilities. This shows that technology is the driver/enabler of achieving smart city status. In addition, with the help of proper governance and effective management, involving citizens is key to releasing the potential for sustainable smart forms. Hence, the authors believe that technology, good governance, environmental concerns and citizens are essential components of an adaptable, sustainable smart city framework. A framework built on these crucial components is unique because it can be customised to fit any city. Management, infrastructural development and degree of public participation depend on different city configurations.</t>
  </si>
  <si>
    <t>[Mupfumira, Portia] Harare Institue Technol, Sch Engn, Harare, Zimbabwe; [Mutingi, Michael] Univ South Africa, Coll Sci Engn &amp; Technol, Sch Engn, Pretoria, South Africa; [Sony, Michael] Oxford Brookes Univ, Oxford Brookes Business Sch, Dept Analyt Informat Syst &amp; Operat, Oxford, England</t>
  </si>
  <si>
    <t>University of South Africa; Oxford Brookes University</t>
  </si>
  <si>
    <t>Mupfumira, P (corresponding author), Harare Institue Technol, Sch Engn, Harare, Zimbabwe.</t>
  </si>
  <si>
    <t>pmupfumira@hit.ac.zw</t>
  </si>
  <si>
    <t>sony, michael/AAA-3357-2020</t>
  </si>
  <si>
    <t>FRONTIERS MEDIA SA</t>
  </si>
  <si>
    <t>LAUSANNE</t>
  </si>
  <si>
    <t>AVENUE DU TRIBUNAL FEDERAL 34, LAUSANNE, CH-1015, SWITZERLAND</t>
  </si>
  <si>
    <t>2624-9634</t>
  </si>
  <si>
    <t>FRONT SUSTAIN CITIES</t>
  </si>
  <si>
    <t>Front. Sustain. Cities</t>
  </si>
  <si>
    <t>DEC 11</t>
  </si>
  <si>
    <t>10.3389/frsc.2024.1449983</t>
  </si>
  <si>
    <t>Green &amp; Sustainable Science &amp; Technology; Environmental Sciences; Environmental Studies; Urban Studies</t>
  </si>
  <si>
    <t>Science &amp; Technology - Other Topics; Environmental Sciences &amp; Ecology; Urban Studies</t>
  </si>
  <si>
    <t>Q2J3S</t>
  </si>
  <si>
    <t>WOS:001383007000001</t>
  </si>
  <si>
    <t>Gaurav, KK; Baranwal, G</t>
  </si>
  <si>
    <t>Gaurav, Keshab Kumar; Baranwal, Gaurav</t>
  </si>
  <si>
    <t>A blockchain-enabled private parking space allocation with improved parking space utilization</t>
  </si>
  <si>
    <t>COMPUTERS &amp; INDUSTRIAL ENGINEERING</t>
  </si>
  <si>
    <t>Smart parking; Shared parking; Blockchain; Ethereum; Parking space utilization</t>
  </si>
  <si>
    <t>DYNAMIC RESOURCE-ALLOCATION; RESERVATION; MANAGEMENT; LOTS</t>
  </si>
  <si>
    <t>With the rapid development of the world's infrastructure, we are moving towards making cities smart, known as smart cities. To make smart cities sustainable, designing efficient solutions is needed to reduce traffic congestion due to the lack of parking spaces within the constrained land areas of many metropolitan city centres. Parking problems in urban areas can be reduced by sharing vacant private parking spaces with others. In this work, we propose a decentralized and shared private parking management system using blockchain, which helps private parking owners and users fulfil their demands without the involvement of central authority. The proposed parking allocation method assigns parking to a single user from multiple parking providers, but the requester does not need to relocate between different parking spaces. The proposed method significantly improves private parking space utilization compared to a state-of-the-art parking allocation system. Hence, the system satisfies more user requests and generates more profit for parking owners than the state-of-the-art parking allocation system. The proposed system is a winning strategy because it maximizes the utilization of private parking spaces for the entire community's benefit and helps to reduce traffic congestion. Experiments conducted in the simulated environment validate the benefits of the proposed model and show that it outperforms the state-of-the-art parking allocation system. A prototype of the proposed system is also developed in the Ethereum blockchain to validate the work, and the gas cost used to deploy the proposed model is analyzed.</t>
  </si>
  <si>
    <t>[Gaurav, Keshab Kumar; Baranwal, Gaurav] Banaras Hindu Univ, Dept Comp Sci, Varanasi, India</t>
  </si>
  <si>
    <t>Banaras Hindu University (BHU)</t>
  </si>
  <si>
    <t>Baranwal, G (corresponding author), Banaras Hindu Univ, Dept Comp Sci, Varanasi, India.</t>
  </si>
  <si>
    <t>keshabkumargaurav@bhu.ac.in; gaurav.baranwal@bhu.ac.in</t>
  </si>
  <si>
    <t>; Baranwal, Gaurav/IXD-2560-2023</t>
  </si>
  <si>
    <t>Baranwal, Gaurav/0000-0002-9540-3173; Gaurav, Keshab Kumar/0009-0002-0256-8938;</t>
  </si>
  <si>
    <t>0360-8352</t>
  </si>
  <si>
    <t>1879-0550</t>
  </si>
  <si>
    <t>COMPUT IND ENG</t>
  </si>
  <si>
    <t>Comput. Ind. Eng.</t>
  </si>
  <si>
    <t>10.1016/j.cie.2024.110613</t>
  </si>
  <si>
    <t>Computer Science, Interdisciplinary Applications; Engineering, Industrial</t>
  </si>
  <si>
    <t>J0H1S</t>
  </si>
  <si>
    <t>WOS:001333961000001</t>
  </si>
  <si>
    <t>Zerroug, R; Aliouat, Z; Aliouat, M; Alti, A</t>
  </si>
  <si>
    <t>Zerroug, Rafik; Aliouat, Zibouda; Aliouat, Makhlouf; Alti, Adel</t>
  </si>
  <si>
    <t>Adaptive and dynamic smart traffic light system for efficient management of regular and emergency vehicles at city intersection</t>
  </si>
  <si>
    <t>smart cities; transport control</t>
  </si>
  <si>
    <t>SIGNAL CONTROL; DESIGN</t>
  </si>
  <si>
    <t>Smart Traffic Light Systems play an important role in urban traffic management. They often rely on cameras and sensors to collect traffic data. However, these methods are limited in terms of vehicle occupancy and queuing. Effective traffic management remains a challenge in urban areas owing to traffic congestion and emergencies. A new system called ADSTLS (Adaptive and Dynamic Smart Traffic Light System) is proposed, which handles traffic management at an intersection and effectively solves the cumbersome problem of traffic congestion while ensuring priority for emergency vehicles. ADSTLS provides fault tolerance to its components and works reliably in most failure situations. Therefore, traffic data is collected from cameras, and useful traffic information is extracted using computer vision and image processing. The proposed system also uses the Weight Chicken Swarm Optimisation algorithm for decision-making to reduce congestion and average vehicle waiting time significantly. ADSTLS was applied to a real case study of EL-Hidhab Setif city intersection. The approach's effectiveness was confirmed by thorough experiments, resulting in a noteworthy decrease in the average vehicle waiting time (31 s) and queue occupation rate (33.82%) across all simulated traffic scenarios. Furthermore, compared to other car types, emergency vehicles usually had much shorter wait times. The authors propose a new Adaptive and Dynamic Smart Traffic Light System that handles traffic management at an intersection and effectively solves the problem of traffic congestion while ensuring priority for emergency vehicles. Fault tolerance is supported in its components and works reliably in most failure situations. Therefore, traffic data is collected from cameras, and useful traffic information is extracted using computer vision and image processing. The proposed system uses the Weight Chicken Swarm Optimisation algorithm for decision-making to reduce congestion and average vehicle waiting time. image</t>
  </si>
  <si>
    <t>[Zerroug, Rafik; Aliouat, Zibouda; Aliouat, Makhlouf; Alti, Adel] Ferhat Abbas Univ Setif 1, Sci Fac, Comp Sci Dept, LRSD Lab, Setif, Algeria</t>
  </si>
  <si>
    <t>Aliouat, Z (corresponding author), Ferhat Abbas Univ Setif 1, Sci Fac, Comp Sci Dept, LRSD Lab, Setif, Algeria.</t>
  </si>
  <si>
    <t>zaliouat@univ-setif.dz</t>
  </si>
  <si>
    <t>Adel, ALTI/AAW-2318-2021; Aliouat, Zibouda/AAI-3202-2020</t>
  </si>
  <si>
    <t>No funding was received for this work.</t>
  </si>
  <si>
    <t>10.1049/smc2.12090</t>
  </si>
  <si>
    <t>AUG 2024</t>
  </si>
  <si>
    <t>Q9B7M</t>
  </si>
  <si>
    <t>WOS:001296439800001</t>
  </si>
  <si>
    <t>Ordóñez-Martínez, D; Seguí-Pons, JM; Ruiz-Pérez, M</t>
  </si>
  <si>
    <t>Ordonez-Martinez, Dolores; Segui-Pons, Joana Maria; Ruiz-Perez, Maurici</t>
  </si>
  <si>
    <t>Toward Establishing a Tourism Data Space: Innovative Geo-Dashboard Development for Tourism Research and Management</t>
  </si>
  <si>
    <t>tourism data space; smart tourism destination; geo-dashboard; tourism planning; Mallorca</t>
  </si>
  <si>
    <t>BIG DATA RESEARCH; SOCIAL VULNERABILITY; RISK; AIRBNB; INTELLIGENCE; CONVERGENCE; INFORMATION; MALLORCA; TRAVEL; MODEL</t>
  </si>
  <si>
    <t>The data sharing strategy involves understanding the challenges and problems that can be solved through the collaboration of different entities sharing their data. The implementation of a data space in Mallorca is based on understanding the available data and identifying the problems that can be solved using them. The use of data through data spaces will contribute to the transformation of destinations into smart tourism destinations. Smart tourism destinations are considered as smart cities in which the tourism industry offers a new layer of complexity in which technologies, digitalization, and intelligence are powered by data. This study analyzes four scenarios in which geo-dashboards are developed: flood exposure of tourist accommodation, land-cover changes, human pressure, and tourist uses in urban areas. The results of applying the geo-dashboards to these different scenarios provide tourists and destination managers with valuable information for decision-making, highlighting the utility of this type of tool, and laying the foundations for a future tourism data space in Mallorca.</t>
  </si>
  <si>
    <t>[Ordonez-Martinez, Dolores] Anysolution SL, Palma De Mallorca 07010, Balearic Island, Spain; [Ordonez-Martinez, Dolores; Segui-Pons, Joana Maria; Ruiz-Perez, Maurici] Univ Balearic Isl, Geog Dept, Palma De Mallorca 07122, Balearic Island, Spain</t>
  </si>
  <si>
    <t>Universitat de les Illes Balears</t>
  </si>
  <si>
    <t>Ruiz-Pérez, M (corresponding author), Univ Balearic Isl, Geog Dept, Palma De Mallorca 07122, Balearic Island, Spain.</t>
  </si>
  <si>
    <t>dom@anysolution.eu; joana.segui-pons@uib.es; maurici.ruiz@uib.es</t>
  </si>
  <si>
    <t>SEGUI-PONS, JOANA/K-5323-2014; SEGUI-PONS, JOANA MARIA/K-5323-2014; Ruiz-Pérez, Maurici/P-8416-2015</t>
  </si>
  <si>
    <t>Ordóñez-Martínez, Dolores/0009-0001-1158-3956; SEGUI-PONS, JOANA MARIA/0000-0002-2513-8642; Ruiz-Pérez, Maurici/0000-0002-5440-214X</t>
  </si>
  <si>
    <t>The authors wish to extend their sincere gratitude to the reviewers of this article for their dedicated and thorough analysis. The insightful comments and suggestions provided have immensely contributed to enhancing the quality and clarity of this work. Their expertise and insights have significantly shaped the ideas presented herein.</t>
  </si>
  <si>
    <t>10.3390/smartcities7010026</t>
  </si>
  <si>
    <t>JI4U2</t>
  </si>
  <si>
    <t>WOS:001172531200001</t>
  </si>
  <si>
    <t>Ishibashi, T; Furukakoi, M; Uehara, A; Masrur, H; Rashwan, A; Krishna, N; Mandal, P; Takahashi, H; Senjyu, T</t>
  </si>
  <si>
    <t>Ishibashi, Takuma; Furukakoi, Masahiro; Uehara, Akie; Masrur, Hasan; Rashwan, Ahmed; Krishna, Narayanan; Mandal, Paras; Takahashi, Hiroshi; Senjyu, Tomonobu</t>
  </si>
  <si>
    <t>Model predictive control based optimal operation of smart city</t>
  </si>
  <si>
    <t>Combined cooling heat and power; Mixed integer linear programming; Model predictive control; Optimization problem; Renewable energy; Smart city</t>
  </si>
  <si>
    <t>MICROGRID OPERATION; ENERGY MANAGEMENT; CONTROL STRATEGY; SYSTEMS; STORAGE; DESIGN; SOLAR</t>
  </si>
  <si>
    <t>Rapid urbanization has resulted in a significant proportion of the world's population residing in urban areas. Cities are undergoing a transition towards the designation of smart cities, which aims to facilitate the efficient management of electrical and heating energy systems derived from renewable energy sources (RES). This paper presents a smart city model that incorporates RES, battery, grid and a combined cooling heat and power (CCHP) system. The smart city model deals with cooling, heating, and electric energy and applies a simple model predictive control (MPC) based approach for optimal operation. MPC method can be operated for future fluctuations by optimizing at the control horizon (N-C) while including the prediction horizon (N-P) in the optimization interval. The N-P and N-C parameters have a significant impact on the results, and their selection is an important consideration. This study uses MATLAB simulation to validate the effectiveness of MPC-based operations with a simplified forecasting model in a smart city utilizing RES and CCHP systems. The proposed method is easy to implement and shows sufficient performance while avoiding model complexity. In addition, the impact of N-C and N-P parameters on performance is investigated. The results show that the proposed method performs better when N-P is about 12 h.</t>
  </si>
  <si>
    <t>[Ishibashi, Takuma; Uehara, Akie; Senjyu, Tomonobu] Univ Ryukyus, Dept Elect &amp; Elect Engn, Okinawa 9030213, Japan; [Furukakoi, Masahiro] Sanyo Onoda City Univ, Dept Elect &amp; Elect Engn, Nagasaki 7560884, Japan; [Masrur, Hasan] King Fahd Univ Petr &amp; Minerals, Ind &amp; Syst Engn Dept, IRC Smart Mobil &amp; Logist, Dhahran 31261, Saudi Arabia; [Rashwan, Ahmed] Aswan Univ, Fac Energy Engn, Dept Elect Engn, Sahary 81528, Egypt; [Krishna, Narayanan] SASTRA Deemed Univ, Dept Elect &amp; Elect Engn, Thanjavur 613401, India; [Mandal, Paras] Univ Texas El Paso, Dept Elect &amp; Comp Engn, El Paso, TX 79968 USA; [Takahashi, Hiroshi] Fuji Elect Co Ltd, Tokyo 1410032, Japan</t>
  </si>
  <si>
    <t>University of the Ryukyus; Sanyo-Onoda City University; King Fahd University of Petroleum &amp; Minerals; Egyptian Knowledge Bank (EKB); Aswan University; Shanmugha Arts, Science, Technology &amp; Research Academy (SASTRA); University of Texas System; University of Texas El Paso; Fuji Electric Co., LTD.</t>
  </si>
  <si>
    <t>Ishibashi, T (corresponding author), Univ Ryukyus, Dept Elect &amp; Elect Engn, Okinawa 9030213, Japan.</t>
  </si>
  <si>
    <t>takuma.ishibasi@gmail.com; furukakoi@rs.socu.ac.jp; g235003@tec.u-ryukyu.ac.jp; hmasrur@gmail.com; engrashwan@aswu.edu.eg; narayanan.mnit@gmail.com; pmandal@utep.edu; takahashi-hirosi@fujielectric.com; b985542@tec.u-ryukyu.ac.jp</t>
  </si>
  <si>
    <t>Masrur, Hasan/AAF-8997-2020; Rashwan, Ahmed/AAD-1111-2020; Uehara, Akie/KIL-1742-2024; SENJYU, TOMONOBU/AAN-2996-2020; K, NARAYANAN/D-9153-2019</t>
  </si>
  <si>
    <t>Masrur, Hasan/0000-0002-6695-2851; Uehara, Akie/0009-0002-2724-3638;</t>
  </si>
  <si>
    <t>NOV 1</t>
  </si>
  <si>
    <t>10.1016/j.scs.2024.105759</t>
  </si>
  <si>
    <t>J1B9A</t>
  </si>
  <si>
    <t>WOS:001334502200001</t>
  </si>
  <si>
    <t>Zheng, Y; Hao, QY; Wang, JW; Gao, CZ; Chen, JW; Jin, DP; Li, Y</t>
  </si>
  <si>
    <t>Zheng, Yu; Hao, Qianyue; Wang, Jingwei; Gao, Changzheng; Chen, Jin wei; Jin, Depeng; Li, Yong</t>
  </si>
  <si>
    <t>A Survey of Machine Learning for Urban Decision Making: Applications in Planning, Transportation, and Healthcare</t>
  </si>
  <si>
    <t>ACM COMPUTING SURVEYS</t>
  </si>
  <si>
    <t>machine learning; urban planning; optimization; decision making</t>
  </si>
  <si>
    <t>REINFORCEMENT; OPTIMIZATION; FRAMEWORK; NETWORKS; LOCATION; SYSTEMS; DESIGN; ERROR</t>
  </si>
  <si>
    <t>Developing smart cities is vital for ensuring sustainable development and improving human well-being. One critical aspect of building smart cities is designing intelligent methods to address various decision-making problems that arise in urban areas. As machine learning techniques continue to advance rapidly, a growing body of research has been focused on utilizing these methods to achieve intelligent urban decision-making. In this survey, we conduct a systematic literature review on the application of machine learning methods in urban decision-making, with a focus on planning, transportation, and healthcare. First, we provide a taxonomy based on typical applications of machine learning methods for urban decision-making. We then present background knowledge on these tasks and the machine learning techniques that have been adopted to solve them. Next, we examine the challenges and advantages of applying machine learning in urban decision-making, including issues related to urban complexity, urban heterogeneity, and computational cost. Afterward and primarily, we elaborate on the existing machine learning methods that aim at solving urban decision-making tasks in planning, transportation, and healthcare, highlighting their strengths and limitations. Finally, we discuss open problems and the future directions of applying machine learning to enable intelligent urban decision-making, such as developing foundation models and combining reinforcement learning algorithms with human feedback. We hope this survey can help researchers in related fields understand the recent progress made in existing works, and inspire novel applications of machine learning in smart cities.</t>
  </si>
  <si>
    <t>[Zheng, Yu; Hao, Qianyue; Wang, Jingwei; Gao, Changzheng; Chen, Jin wei; Jin, Depeng; Li, Yong] Tsinghua Univ, Beijing, Peoples R China</t>
  </si>
  <si>
    <t>Tsinghua University</t>
  </si>
  <si>
    <t>Zheng, Y (corresponding author), Tsinghua Univ, Beijing, Peoples R China.</t>
  </si>
  <si>
    <t>zhengyu.davy@foxmail.com; hqy22@mails.tsinghua.edu.cn; jingwei22@mails.tsinghua.edu.cn; gcz20@mails.tsinghua; cjw20@tsinghua.org.cn; jindp@tsinghua.edu.cn; liyong07@tsinghua.edu.cn</t>
  </si>
  <si>
    <t>jin, du/G-4747-2012; Chen, Jinwei/L-8800-2019</t>
  </si>
  <si>
    <t>Zheng, Yu/0000-0002-1837-6730; Wang, Jingwei/0009-0008-9175-6255</t>
  </si>
  <si>
    <t>1601 Broadway, 10th Floor, NEW YORK, NY USA</t>
  </si>
  <si>
    <t>0360-0300</t>
  </si>
  <si>
    <t>1557-7341</t>
  </si>
  <si>
    <t>ACM COMPUT SURV</t>
  </si>
  <si>
    <t>ACM Comput. Surv.</t>
  </si>
  <si>
    <t>10.1145/3695986</t>
  </si>
  <si>
    <t>Computer Science, Theory &amp; Methods</t>
  </si>
  <si>
    <t>S9G4Y</t>
  </si>
  <si>
    <t>WOS:001401218200013</t>
  </si>
  <si>
    <t>Ajoudanian, S; Aboutalebi, HR</t>
  </si>
  <si>
    <t>Ajoudanian, Shohreh; Aboutalebi, Hamid Reza</t>
  </si>
  <si>
    <t>A capability maturity model for smart city process-aware digital transformation</t>
  </si>
  <si>
    <t>Digital transformation; Capability maturity model; Smart city; Smart city maturity model; Urban management</t>
  </si>
  <si>
    <t>Smart cities are constructed and developed by governmental bodies and urban leaders capable of digital transformation. This modification aims to mitigate urban challenges while fostering robust urban growth using advanced technologies. However, many existing maturity models fail to adequately address the specific requirements and gaps in digital transformation capabilities necessary for effective urban management. The implementation of information and innovative communication strategies in urban areas has led to the development of new organizational procedures and business models. City managers recognize that digital transformation can drive urban growth. Therefore, they can enhance their processes by following a clear strategy outlined in a digital transformation capability maturity model. Despite the growing emphasis on digital transformation in urban management, existing maturity models do not adequately capture the specific processes and requirements necessary for effective implementation, resulting in challenges for city managers in assessing their capabilities. For this purpose, this study evaluates smart city maturity models and identifies gaps in the requirements for digital transformation capability. As a result, an innovative model for assessing the maturity of digital transformation capability in smart cities is proposed. The presented maturity model is particularly helpful for businesses and private companies seeking to embrace digital transformation for urban growth. It facilitates their systematic advancement toward higher maturity levels by enabling them to assess current capabilities. The majority of assessors are either very satisfied or satisfied with the criteria, according to the SC-DTCMM evaluation results.</t>
  </si>
  <si>
    <t>[Ajoudanian, Shohreh; Aboutalebi, Hamid Reza] Islamic Azad Univ, Fac Comp Engn, Najafabad Branch, Najafabad, Iran; [Ajoudanian, Shohreh; Aboutalebi, Hamid Reza] Islamic Azad Univ, Big Data Res Ctr, Najafabad Branch, Najafabad, Iran</t>
  </si>
  <si>
    <t>Islamic Azad University; Islamic Azad University</t>
  </si>
  <si>
    <t>Ajoudanian, S (corresponding author), Islamic Azad Univ, Fac Comp Engn, Najafabad Branch, Najafabad, Iran.</t>
  </si>
  <si>
    <t>shajoudanian@pco.iaun.ac.ir</t>
  </si>
  <si>
    <t>Ajoudanian, Shohreh/AAE-4969-2021</t>
  </si>
  <si>
    <t>10.1016/j.jum.2025.03.001</t>
  </si>
  <si>
    <t>AUG 2025</t>
  </si>
  <si>
    <t>8RD0H</t>
  </si>
  <si>
    <t>WOS:001595341700016</t>
  </si>
  <si>
    <t>Papageorgiou, GN; Demetriou, D; Tsappi, E; Maimaris, A</t>
  </si>
  <si>
    <t>Papageorgiou, George N.; Demetriou, Demetris; Tsappi, Elena; Maimaris, Athanasios</t>
  </si>
  <si>
    <t>Analyzing the Requirements for Smart Pedestrian Applications: Findings from Nicosia, Cyprus</t>
  </si>
  <si>
    <t>sustainable mobility; smartphone apps development; pedestrian network; urban development; market research; information and communication technology (ICT); intelligent transportation systems (ITS); smart cities</t>
  </si>
  <si>
    <t>PHYSICAL-ACTIVITY; MOBILITY; WALKING; CITIES</t>
  </si>
  <si>
    <t>This paper elicits and analyzes the main requirements for Smart Pedestrian applications designed to enhance the pedestrian experience in urban environments by offering optimized walking routes, improved accessibility, and support for social inclusion and connectivity. Utilizing a mixed-methods approach, the research combines qualitative insights with quantitative data analysis based on surveys conducted in two strategically selected urban areas of Nicosia, Cyprus. Through the survey, the requirements and potential use of Smart Pedestrian apps are investigated while accounting for the quality of service of the urban infrastructure in a medium-sized city context. Additionally, the study contrasts the current smartphone applications, as they predominantly facilitate vehicular transportation, with the potential use of ICT/ITS to support pedestrians for sustainable mobility. The findings reveal a significant demand for a Pedestrian Smartphone app, driven by its ability to provide relevant information on optimum pedestrian routes, as well as act as a citizen's voice for spotting infrastructure problems and improving the pedestrian network. Further, it is also revealed that limitations in the pedestrian infrastructure substantially restrict walking preferences, emphasizing the need for urgent city-level urban planning solutions to support active mobility. Additionally, the research carried out underscores the importance of a sustainable business model to support the successful deployment of Smart Pedestrian apps. Ultimately, the results of the study suggest prioritizing a smart technology leverage with a crowdsourcing social network business model to promote pedestrian mobility, thereby reducing vehicular dependence, enhancing public health, and improving the quality of life. Such an approach would act as catalyst for policymakers to concentrate on sustainability by investing in digital technology for integrated pedestrian networks, fostering the emergence of genuine smart cities.</t>
  </si>
  <si>
    <t>[Papageorgiou, George N.; Demetriou, Demetris; Tsappi, Elena; Maimaris, Athanasios] European Univ Cyprus, SYSTEMA Res Ctr, CY-2404 Nicosia, Cyprus</t>
  </si>
  <si>
    <t>European University Cyprus</t>
  </si>
  <si>
    <t>Maimaris, A (corresponding author), European Univ Cyprus, SYSTEMA Res Ctr, CY-2404 Nicosia, Cyprus.</t>
  </si>
  <si>
    <t>g.papageorgiou@euc.ac.cy; demetriou.deme@gmail.com; tsappielena@gmail.com; a.maimaris@cycollege.ac.cy</t>
  </si>
  <si>
    <t>Maimaris, Athanasios/E-2824-2010</t>
  </si>
  <si>
    <t>Maimaris, Athanasios/0000-0002-4408-6622; Papageorgiou, George/0000-0003-3288-6419</t>
  </si>
  <si>
    <t>Republic of Cyprus; European Regional Development Fund; ERA-NET Cofund Smart Urban Futures (ENSUF) Joint Programming Initiative (JPI) Urban Europe through the Research Promotion Foundation [KOINA/PiKPiURBAN EUROPE/1215/11]; European Commission; HORIZON 2020 ERA-NET Cofund scheme</t>
  </si>
  <si>
    <t>Republic of Cyprus; European Regional Development Fund(European Union (EU)); ERA-NET Cofund Smart Urban Futures (ENSUF) Joint Programming Initiative (JPI) Urban Europe through the Research Promotion Foundation; European Commission(European Union (EU)European Commission Joint Research Centre); HORIZON 2020 ERA-NET Cofund scheme</t>
  </si>
  <si>
    <t>The research presented in this paper is co-funded by the Republic of Cyprus and the European Regional Development Fund as part of ERA-NET Cofund Smart Urban Futures (ENSUF) Joint Programming Initiative (JPI) Urban Europe through the Research Promotion Foundation, protocol no. KOINA/Pi K Pi URBAN EUROPE/1215/11. This framework is supported by the European Commission and funded under the HORIZON 2020 ERA-NET Cofund scheme. The funding covers the costs to publish in open access</t>
  </si>
  <si>
    <t>10.3390/smartcities7040077</t>
  </si>
  <si>
    <t>F1N3M</t>
  </si>
  <si>
    <t>WOS:001307550400001</t>
  </si>
  <si>
    <t>Chanchayanon, T; Chaiprakaikeow, S; Jotisankasa, A; Inazumi, S</t>
  </si>
  <si>
    <t>Chanchayanon, Thiti; Chaiprakaikeow, Susit; Jotisankasa, Apiniti; Inazumi, Shinya</t>
  </si>
  <si>
    <t>Enhancing Smart City Energy Efficiency with Ground Source Heat Pump Systems and Integrated Energy Piles</t>
  </si>
  <si>
    <t>energy pile; geothermal energy system; ground source heat pump; heat transfer mechanism; renewable energy efficiency; smart city infrastructure; sustainable urban development; urban heat island effect</t>
  </si>
  <si>
    <t>SUBSURFACE TEMPERATURE; DIFFERENT DESIGN; PERFORMANCE; BEHAVIOR; URBANIZATION; EXCHANGERS; SIMULATION; OSAKA</t>
  </si>
  <si>
    <t>Highlights What are the main findings? Integrating ground source heat pump (GSHP) systems with energy piles can significantly reduce electricity consumption and operating costs, providing a sustainable and efficient solution for high-demand urban areas. Strategic design and site-specific evaluation are critical to maximizing heat dissipation and ensuring the long-term viability of geothermal systems, particularly by improving groundwater circulation around heat exchangers. What is the implication of the main finding? Integrating GSHP systems with energy piles provides a cost-effective and sustainable solution for urban energy management, increasing efficiency and reducing carbon emissions in cities with growing energy demands. Optimized design and groundwater circulation improve heat dissipation, increasing the performance and longevity of geothermal systems and facilitating their integration into smart city infrastructure.Abstract This review examines the integration of ground source heat pump (GSHP) systems with energy piles as a sustainable approach to improving energy efficiency in smart cities. Energy piles, which combine structural support with geothermal heat exchange, offer significant advantages over conventional air source heat pumps (ASHPs) by using stable ground temperatures for more efficient heating and cooling. System efficiency can be improved by integrating hybrid systems, cooling towers, and solar thermal systems. While the initial investment for GSHP systems is higher, their integration with energy piles significantly reduces electricity consumption and operating costs, providing a compelling solution for regions with high energy demand and escalating energy prices. Government financial incentives, including subsidies, loans, and tax rebates, can reduce payback periods to less than 10 years, encouraging the adoption of energy piles and GSHP systems. The paper analyzes heat transfer mechanisms in energy piles, particularly the role of groundwater circulation in improving heat dissipation and overall system performance. It also discusses optimized design considerations, performance metrics, and economics, highlighting the critical role of site-specific conditions from thorough site surveys and strategic planning of adaptive management to adjust system operations based on real-time demand in optimizing the benefits of geothermal energy systems. This review serves as a comprehensive guide for engineers and researchers in the effective application of energy piles within urban infrastructure, thereby supporting sustainable urban development and mitigating the urban heat island effect.</t>
  </si>
  <si>
    <t>[Chanchayanon, Thiti] Shibaura Inst Technol, Grad Sch Engn &amp; Sci, Tokyo 1358548, Japan; [Chaiprakaikeow, Susit; Jotisankasa, Apiniti] Kasetsart Univ, Dept Civil Engn, Bangkok 10900, Thailand; [Inazumi, Shinya] Shibaura Inst Technol, Coll Engn, Tokyo 1358548, Japan</t>
  </si>
  <si>
    <t>Shibaura Institute of Technology; Kasetsart University; Shibaura Institute of Technology</t>
  </si>
  <si>
    <t>Chaiprakaikeow, S (corresponding author), Kasetsart Univ, Dept Civil Engn, Bangkok 10900, Thailand.;Inazumi, S (corresponding author), Shibaura Inst Technol, Coll Engn, Tokyo 1358548, Japan.</t>
  </si>
  <si>
    <t>na23108@shibaura-it.ac.jp; fengssck@ku.ac.th; fengatj@ku.ac.th; inazumi@shibaura-it.ac.jp</t>
  </si>
  <si>
    <t>Inazumi, Shinya/0000-0002-5639-5254; Jotisankasa, Apiniti/0000-0002-7087-1472;</t>
  </si>
  <si>
    <t>10.3390/smartcities7060138</t>
  </si>
  <si>
    <t>Q8H2F</t>
  </si>
  <si>
    <t>WOS:001387011500001</t>
  </si>
  <si>
    <t>Brcic, D; Slavulj, M; Sojat, D; Jurak, J</t>
  </si>
  <si>
    <t>Lakusic, S</t>
  </si>
  <si>
    <t>Brcic, Davor; Slavulj, Marko; Sojat, Dino; Jurak, Julijan</t>
  </si>
  <si>
    <t>THE ROLE OF SMART MOBILITY IN SMART CITIES</t>
  </si>
  <si>
    <t>ROAD AND RAIL INFRASTRUCTURE V</t>
  </si>
  <si>
    <t>Road and Rail Infrastructure</t>
  </si>
  <si>
    <t>5th International Conference on Road and Rail Infrastructure (CETRA)</t>
  </si>
  <si>
    <t>MAY 17-19, 2018</t>
  </si>
  <si>
    <t>Zadar, CROATIA</t>
  </si>
  <si>
    <t>Smart City; Smart Mobility; Urban Area; Transport Demand Management; Republic of Croatia</t>
  </si>
  <si>
    <t>As a concept, Smart City represents a comprehensive system of services implemented throughout modern technologies whose purpose and goal are to improve the quality of life for the citizens. The Smart City concept and strategies are focused to improve the current services in cities, make the existing infrastructure more suitable, make the citizens participating, and ultimately, to enable sustainable development of the urban environment in the future. A key element of the concept involves day-to-day mobility, a necessary precondition for the prosperity of the urban environment. The global urbanization trends and the increased number of residents living in urban areas generate additional mobility. Therefore, managing transport demand to enable increased mobility, especially by using private cars, becomes a more complex and challenging task for traffic experts. The paper analyses the possibilities to apply the Smart City concept in the Republic of Croatia. The results indicate a very high acceptance to implement the Smart City concept, and the respondents perceive Smart Mobility as an integrated part of the Smart City. Three key segments of Smart Mobility are highlighted in the paper: intelligent use of information and communication technology, smart public transport, and smart parking technologies. Most of the surveyed cities are participating in projects related to Smart Cities, and they are willing to allocate certain funds to implement the concept.</t>
  </si>
  <si>
    <t>[Brcic, Davor; Slavulj, Marko; Sojat, Dino; Jurak, Julijan] Univ Zagreb, Fac Transport &amp; Traff Sci, Zagreb, Croatia</t>
  </si>
  <si>
    <t>University of Zagreb</t>
  </si>
  <si>
    <t>Brcic, D (corresponding author), Univ Zagreb, Fac Transport &amp; Traff Sci, Zagreb, Croatia.</t>
  </si>
  <si>
    <t>Slavulj, Marko/GRS-6012-2022</t>
  </si>
  <si>
    <t>UNIV ZAGREB, FAC CIVIL ENGINEERING</t>
  </si>
  <si>
    <t>ZAGREB</t>
  </si>
  <si>
    <t>DEPT TRANSPORTATION, KACICEVA 26, ZAGREB, 10000, CROATIA</t>
  </si>
  <si>
    <t>1848-9850</t>
  </si>
  <si>
    <t>ROAD RAIL INFRASTR</t>
  </si>
  <si>
    <t>10.5592/CO/CETRA.2018.812</t>
  </si>
  <si>
    <t>BO5MR</t>
  </si>
  <si>
    <t>WOS:000518218300202</t>
  </si>
  <si>
    <t>Perez-Ramos, JL; Herrera-Navarro, AM; Jimenez-Hernandez, H</t>
  </si>
  <si>
    <t>Perez-Ramos, Jorge L.; Herrera-Navarro, Ana M.; Jimenez-Hernandez, Hugo</t>
  </si>
  <si>
    <t>Connecting Cities: Solving Optimal-Resource-Distribution Problem Using Critical Range Radius</t>
  </si>
  <si>
    <t>urban road network; mathematical morphology search; resource management; graph search; smart cities</t>
  </si>
  <si>
    <t>LOGISTICS DISTRIBUTION; INTEGRATED PRODUCTION; OPTIMIZATION; TIME; INVENTORY; ALGORITHM; SEARCH</t>
  </si>
  <si>
    <t>Navigating and planning optimal paths for resource delivery algorithms poses significant physical and technical challenges in urban areas, primarily due to the limitations of existing infrastructure. As smart cities continue to develop, the importance of these algorithms becomes increasingly evident. The saturation of current urban landscapes exacerbates the complexity of navigating essential resources. Navigating densely connected networks can be intricate and often requires substantial computational resources or additional algorithms, as it can easily transform into an NP problem. Unfortunately, there is a lack of explicit algorithms designed for navigating these networks, resulting in a dependence on heuristic approaches and previous network systems. This reliance can create computational challenges, as navigation in this context typically involves a combinatorial search space. Current advances in Morphological Mathematics (MM) help to model everyday tasks as processes in discrete spaces, which take advantage of the properties offered by the morphological operators. Morphological Shortest-Path-Planning (MSPP) is a recent solution that effectively calculates the optimal trajectory within complex graphs. By utilizing morphological operators, this approach takes into account discrete properties and maps the process as a complete implementation algorithm using integer logic. In larger cities, determining the optimal delivery route and time from a resource center is a common task. This process is influenced by factors such as average speed, travel time, and distance, which generate a complex graph representation of the town, complicating its analysis. This paper presents a strategy for computing and analyzing delivery times by determining the accessibility of reliable paths from a delivery center to potential destinations in dense urban areas. The strategy presented and the use of the MSPP approach are suitable for calculating the time spent delivering and the distance traveled in working journeys. The MSPP approach is found to be nearly 60% more efficient than the reference approach for computing the optimal path in the case study presented.</t>
  </si>
  <si>
    <t>[Perez-Ramos, Jorge L.; Herrera-Navarro, Ana M.; Jimenez-Hernandez, Hugo] Univ Autonoma Queretaro, Fac Informat, Ave Ciencias S-N, Juriquilla 76230, Queretaro, Mexico</t>
  </si>
  <si>
    <t>Universidad Autonoma de Queretaro</t>
  </si>
  <si>
    <t>Jimenez-Hernandez, H (corresponding author), Univ Autonoma Queretaro, Fac Informat, Ave Ciencias S-N, Juriquilla 76230, Queretaro, Mexico.</t>
  </si>
  <si>
    <t>jorge.luis.perez@uaq.edu.mx; mherrera@uaq.mx; hugo.jimenez@uaq.mx</t>
  </si>
  <si>
    <t>Jiménez-Hernández, Hugo/E-8276-2013</t>
  </si>
  <si>
    <t>SEP 18</t>
  </si>
  <si>
    <t>10.3390/infrastructures10090249</t>
  </si>
  <si>
    <t>7UR3M</t>
  </si>
  <si>
    <t>WOS:001580086800001</t>
  </si>
  <si>
    <t>Rath, M; Moy, J</t>
  </si>
  <si>
    <t>Rath, Mamata; Moy, Jyotir</t>
  </si>
  <si>
    <t>Strength Optimized Weight Balancing for Traffic Management in Vehicular Ad-hoc Networks</t>
  </si>
  <si>
    <t>INTERNATIONAL JOURNAL OF BUSINESS DATA COMMUNICATIONS AND NETWORKING</t>
  </si>
  <si>
    <t>VANET; Smart City; Traffic Management; Video Monitoring; Signal System</t>
  </si>
  <si>
    <t>SCHEME</t>
  </si>
  <si>
    <t>Due to rapid population growth and industrialization, residents of large cities often face severe traffic congestion during their commutes. This leads to unexpected delays, increased accident risks, fuel wastage, and a decline in public health, particularly in urban areas where pollution exacerbates unsanitary conditions. In response, many smart cities are implementing traffic control systems based on traffic automation principles to mitigate these issues. A key challenge lies in using real-time analytics and online traffic data to efficiently manage traffic flow. To address this, the current research proposes an advanced monitoring system leveraging highly flexible mobile agent technology for intelligent data analytics. In the context of a Vehicular Ad-hoc Network (VANET), the mobile agent incorporates additional features such as crime reduction, accident prevention, enhanced driver flexibility, and improved security. These features are combined with a congestion control algorithm to optimize traffic flow and prevent congestion at the entry points of smart traffic zones. Simulation results using the Ns2 simulator demonstrate significant improvements in reducing delays and preventing accidents caused by heavy traffic.</t>
  </si>
  <si>
    <t>[Rath, Mamata] GITA Autonomous Coll, Bhubaneswar, India; [Moy, Jyotir] Lord Buddha Educa Fdn, Kathmandu, Nepal</t>
  </si>
  <si>
    <t>Gandhi Institute For Technological Advancement</t>
  </si>
  <si>
    <t>Rath, M (corresponding author), GITA Autonomous Coll, Bhubaneswar, India.</t>
  </si>
  <si>
    <t>mamata.rath200@gmail.com</t>
  </si>
  <si>
    <t>RATH, MAMATA/J-5023-2019; Chatterjee, Jyotir Moy/H-1131-2017</t>
  </si>
  <si>
    <t>Rath, Mamata/0000-0002-2277-1012; Chatterjee, Jyotir Moy/0000-0003-2527-916X</t>
  </si>
  <si>
    <t>IGI GLOBAL</t>
  </si>
  <si>
    <t>HERSHEY</t>
  </si>
  <si>
    <t>701 E CHOCOLATE AVE, STE 200, HERSHEY, PA 17033-1240 USA</t>
  </si>
  <si>
    <t>1548-0631</t>
  </si>
  <si>
    <t>1548-064X</t>
  </si>
  <si>
    <t>INT J BUS DATA COMMU</t>
  </si>
  <si>
    <t>Int. J. Bus. Data Commun. Netw.</t>
  </si>
  <si>
    <t>10.4018/IJBDCN.368561</t>
  </si>
  <si>
    <t>Computer Science, Information Systems</t>
  </si>
  <si>
    <t>X7Z2R</t>
  </si>
  <si>
    <t>WOS:001427475900001</t>
  </si>
  <si>
    <t>Andritsou, D; Soile, S; Potsiou, C</t>
  </si>
  <si>
    <t>Kolbe, TH; Donaubauer, A; Beil, C</t>
  </si>
  <si>
    <t>Andritsou, Dimitra; Soile, Sofia; Potsiou, Chryssy</t>
  </si>
  <si>
    <t>Merging BIM, Land Use and 2D Cadastral Maps into a Digital Twin Fit-For-Purpose Geospatial Infrastructure</t>
  </si>
  <si>
    <t>RECENT ADVANCES IN 3D GEOINFORMATION SCIENCE, 3D GEOINFO 2023</t>
  </si>
  <si>
    <t>Lecture Notes in Geoinformation and Cartography</t>
  </si>
  <si>
    <t>18th International 3D GeoInfo Conference</t>
  </si>
  <si>
    <t>SEP 12-14, 2023</t>
  </si>
  <si>
    <t>Munich, GERMANY</t>
  </si>
  <si>
    <t>BIM; Digital twin; Smart devices; Crowdsourcing; Fit-for-purpose geospatial infrastructure; Open data</t>
  </si>
  <si>
    <t>Digital Twin (DT) technology is the tool for monitoring, management and intervening in a timely manner to prevent disasters in urban areas, transforming them into smart cities. By enabling real-time data flow through utilizing a vast network of interconnected sensors and smart devices the functioning of buildings, facilities and utility networks can be monitored, managed and optimized to achieve a more stabilized, fair and sustainable urban environment. Good land management and optimal exploitation can also be achieved. The paper presents an innovative crowdsourced methodology for a fast, low cost and reliable structuring of the necessary geospatial infrastructure for a digital twin of an urban neighborhood by merging and visualizing individual BIMs with available open data, such as open orthophotos and cadastral maps, planning and building regulations, as well as existing land uses, smart devices and metric data derived from the Google Earth Pro and Street View platforms. The above-mentioned data if transferred into an open-source platform, such as Tandem, are ideal for tracking, managing and improving the residents' living, from an economic, hygienic, safety and ecological point of view. Data derived from smart devices is a prerequisite for predicting and preventing various problems and setbacks.</t>
  </si>
  <si>
    <t>[Andritsou, Dimitra; Soile, Sofia; Potsiou, Chryssy] Natl Tech Univ Athens, Sch Rural &amp; Surveying Engn, 9 Iroon Polytechneiou St, Zografos 15780, Greece</t>
  </si>
  <si>
    <t>Andritsou, D (corresponding author), Natl Tech Univ Athens, Sch Rural &amp; Surveying Engn, 9 Iroon Polytechneiou St, Zografos 15780, Greece.</t>
  </si>
  <si>
    <t>andimitra@hotmail.gr; ssoile@survey.ntua.gr; chryssyp@survey.ntua.gr</t>
  </si>
  <si>
    <t>1863-2246</t>
  </si>
  <si>
    <t>1863-2351</t>
  </si>
  <si>
    <t>978-3-031-43701-4; 978-3-031-43699-4; 978-3-031-43698-7</t>
  </si>
  <si>
    <t>LECT NOTES GEOINF CA</t>
  </si>
  <si>
    <t>10.1007/978-3-031-43699-4_13</t>
  </si>
  <si>
    <t>Computer Science, Information Systems; Geography; Geography, Physical</t>
  </si>
  <si>
    <t>BX2MM</t>
  </si>
  <si>
    <t>WOS:001264764900013</t>
  </si>
  <si>
    <t>Akopov, AS; Zaripov, EA; Melnikov, AM</t>
  </si>
  <si>
    <t>Akopov, Andranik S.; Zaripov, Evgeny A.; Melnikov, Alexey M.</t>
  </si>
  <si>
    <t>Adaptive control of transportation infrastructure in an urban environment using a real-coded genetic algorithm</t>
  </si>
  <si>
    <t>BIZNES INFORMATIKA-BUSINESS INFORMATICS</t>
  </si>
  <si>
    <t>urban planning and development; municipal management; intelligent transportation systems; smart city; real-coded genetic algorithms; traffic flow simulation; traffic control; AnyLogic</t>
  </si>
  <si>
    <t>SIMULATION; SYSTEM</t>
  </si>
  <si>
    <t>The management of urban areas requires the development of an effective strategy for the evolution of transportation infrastructure to ensure the smooth flow of traffic and pedestrians. A crucial component of this infrastructure is the traffic light system, which plays a vital role in traffic control and traffic safety. Improving the efficiency of traffic control systems in intelligent transportation systems (ITS) has a significant impact on a city's economy. As a result, the cost of fuel for road users can be reduced, and their level of social comfort can be improved, among other benefits. This paper proposes a novel approach to optimizing traffic flows in smart cities, based on the combined use of the genetic optimization algorithm and the ITS simulation model we developed. The proposed method aims to enhance the efficiency of existing traffic control systems and achieve optimal traffic flow patterns, thereby contributing to a more sustainable and efficient urban environment. The optimization algorithm shown here aggregates the objective functions using a simulation model of a real region of the Moscow road network. The model includes intersections, pedestrian crossings and other features that are implemented in the AnyLogic system. The research aims to create a decision -support system for managing urban transport infrastructure. This system will be used to optimize the duration of traffic light phases in order to minimize the time vehicles spend passing through key nodes in the urban road network. It will also optimize pedestrian flow, reducing the impact of traffic on the environment and improving fuel efficiency. By applying this approach, the capacity of the street network can be significantly increased. Additionally, the negative effects of traffic flow on the environment can be reduced by optimizing fuel use and reducing waiting times at intersections managed by traffic lights. The research methodology involves the development of a hybrid evolutionary search algorithm, the creation of a simulation model for transportation and pedestrian flows in the AnyLogic and a series of optimization experiments that demonstrate the effectiveness of the proposed approach when applied to the modeling of complex urban transportation systems.</t>
  </si>
  <si>
    <t>[Akopov, Andranik S.; Zaripov, Evgeny A.; Melnikov, Alexey M.] Russian Acad Sci, Cent Econ &amp; Math Inst, Lab Dynam Models Econ &amp; Optimizat, 47 Nachimovky Ave, Moscow 117418, Russia; [Zaripov, Evgeny A.] Russian Univ Technol, MIREA, Dept Instrumental &amp; Appl Software, 78 Vernadsky Ave, Moscow 119454, Russia; [Melnikov, Alexey M.] Russian Univ Technol, MIREA, 78 Vernadsky Ave, Moscow 119454, Russia</t>
  </si>
  <si>
    <t>Russian Academy of Sciences; Central Economics &amp; Mathematics Institute RAS; MIREA - Russian Technological University; MIREA - Russian Technological University</t>
  </si>
  <si>
    <t>Akopov, AS (corresponding author), Russian Acad Sci, Cent Econ &amp; Math Inst, Lab Dynam Models Econ &amp; Optimizat, 47 Nachimovky Ave, Moscow 117418, Russia.</t>
  </si>
  <si>
    <t>akopovas@umail.ru; e.a.zaripov@ya.ru; alexdef2@mail.ru</t>
  </si>
  <si>
    <t>Akopov, Ananik/G-9455-2015; Akopov, Andranik/G-9455-2015</t>
  </si>
  <si>
    <t>Akopov, Ananik/0000-0003-0627-3037;</t>
  </si>
  <si>
    <t>NATL RESEARCH UNIV, HIGHER SCH ECONOMICS</t>
  </si>
  <si>
    <t>MOSCOW</t>
  </si>
  <si>
    <t>MYASNITSKAYA, 20, MOSCOW, 101000, RUSSIA</t>
  </si>
  <si>
    <t>1998-0663</t>
  </si>
  <si>
    <t>BIZN INFORM</t>
  </si>
  <si>
    <t>Bizn. Inform.</t>
  </si>
  <si>
    <t>10.17323/2587-814X.2024.2.48.66</t>
  </si>
  <si>
    <t>XE7L5</t>
  </si>
  <si>
    <t>WOS:001260072100004</t>
  </si>
  <si>
    <t>Mangra, N; Darema, F; Ghasempour, A; Behmann, F; Badombena-Wanta, S; Olsen, T</t>
  </si>
  <si>
    <t>Mangra, Narendra; Darema, Frederica; Ghasempour, Alireza; Behmann, Fawzi; Badombena-Wanta, Souma; Olsen, Thomas</t>
  </si>
  <si>
    <t>Applicartions and Services</t>
  </si>
  <si>
    <t>2023 IEEE FUTURE NETWORKS WORLD FORUM, FNWF</t>
  </si>
  <si>
    <t>IEEE Future Networks World Forum</t>
  </si>
  <si>
    <t>IEEE Future Networks World Forum (FNWF)</t>
  </si>
  <si>
    <t>NOV 13-15, 2023</t>
  </si>
  <si>
    <t>Baltimore, MD</t>
  </si>
  <si>
    <t>Transdisciplinary Framework; The fifth generation (5G); beyond 5G (B5G); smart cities; smart areas; pandemic; coronavirus disease of 2019 (COVID-19); future networks; roadmap; strategy; ecosystems; framework; governance; enhanced mobile broadband (eMBB); critical communications; ultra-reliable low latency communications (URLLC); massive machine-type communication (mMTC); agriculture; education; media and entertainment; public safety; transportation; health care; telehealth; electrical power; water distribution; wastewater treatment</t>
  </si>
  <si>
    <t>The Institute of Electrical and Electronic Engineers (IEEE) Future Networks International Network Generations Roadmap ( INGR) Applications and Services Working Group developed a Transdisciplinary Framework that extends across end-to-end ecosystems, and caters to different stages of priorities, resources, and technologies. The Transdisciplinary Framework is sustainable, structured, flexible, adaptable, and scalable. It may be used by academic stakeholders for new research topics of interest, industry stakeholders to develop solutions for roadmap identified opportunities while minimizing negative risks, and government stakeholders for governance and policy development. The 2023 edition provides additional details on the Applications and Services Transdisciplinary Framework from Smart Cities, developed in the 1st edition, and was extended towards Smart Communities that include both urban and non-urban areas in the 2021 and 2022 editions. This edition of the IEEE INGR Application and Services roadmap chapter includes: Transdisciplinary Framework: a dynamic sustainable framework for applications and services that extends across end-to-end ecosystems, and caters to the priorities, resources, and technologies for local urban and non-urban areas. Ecosystem of Ecosystems: intra-ecosystem and inter-ecosystem alignments for agriculture, education, electrical power, health care, media and entertainment, public safety, transportation, and water distribution and wastewater treatment ecosystems. Network of Networks: Future networks components (access, service delivery, operations and service management, and network extensions), use case categories and network operations enhancements. Governance Function of Functions: strategic and governance related functions to support local area objectives that include economic development, quality of life, stakeholder attraction and retention, and policy development. Transdisciplinary Framework Scenarios and Use Cases: climate change, smart cities, smart communities, pandemic response planning, and media and entertainment scenarios and use cases. The Applications and Services Working Group will extend the reach and depth of this framework to add new ecosystems and enhance existing ecosystems already addressed for future INGR editions.</t>
  </si>
  <si>
    <t>[Mangra, Narendra] George Mason Univ, Fairfax, VA 22030 USA; [Darema, Frederica] InfoSymbiot Syst Soc, Arlington, VA USA; [Darema, Frederica] Air Force Off Sci Res, Arlington, VA USA; [Darema, Frederica] Air Forces Chief Data Off, Arlington, VA USA; [Darema, Frederica] Air Force Off Sci Technol &amp; Engn, Arlington, VA USA; [Ghasempour, Alireza] Univ Appl Sci &amp; Technol, Informat &amp; Commun Technol Dept, Zurich, Switzerland; [Behmann, Fawzi] TelNet Management Consulting Inc, New Delhi, India; [Olsen, Thomas] Phoenix Contact Inc, New Delhi, India</t>
  </si>
  <si>
    <t>George Mason University; United States Department of Defense; United States Air Force; Air Force Office of Scientific Research (AFOSR)</t>
  </si>
  <si>
    <t>Mangra, N (corresponding author), George Mason Univ, Fairfax, VA 22030 USA.</t>
  </si>
  <si>
    <t>; Ghasempour, Alireza/O-1566-2013</t>
  </si>
  <si>
    <t>Mangra, Narena/0009-0007-1764-2199;</t>
  </si>
  <si>
    <t>2770-7660</t>
  </si>
  <si>
    <t>979-8-3503-2458-7</t>
  </si>
  <si>
    <t>IEEE Future Networks</t>
  </si>
  <si>
    <t>10.1109/FNWF58287.2023.10520468</t>
  </si>
  <si>
    <t>BX0FA</t>
  </si>
  <si>
    <t>WOS:001229556600059</t>
  </si>
  <si>
    <t>Przysucha, L; Sulich, A</t>
  </si>
  <si>
    <t>Mercier-Laurent, E; Kayakutlu, G; Owoc, ML; Wahid, A; Mason, K</t>
  </si>
  <si>
    <t>Przysucha, Lukasz; Sulich, Adam</t>
  </si>
  <si>
    <t>Crowdsourcing as a Tool for Smart City Within Sustainable Development</t>
  </si>
  <si>
    <t>ARTIFICIAL INTELLIGENCE FOR KNOWLEDGE MANAGEMENT, ENERGY AND SUSTAINABILITY, IFIP INTERNATIONAL WORKSHOP-AI4KMES 2023</t>
  </si>
  <si>
    <t>IFIP Advances in Information and Communication Technology</t>
  </si>
  <si>
    <t>10th International Workshop on Artificial Intelligence for Knowledge Management-AI4KMES</t>
  </si>
  <si>
    <t>SEP 30-OCT 01, 2023</t>
  </si>
  <si>
    <t>Crowdsourcing; Smart City; Sustainable Development</t>
  </si>
  <si>
    <t>INTELLIGENCE; QUALITY</t>
  </si>
  <si>
    <t>Increasingly, more individuals are opting to reside in urban areas, a trend that is driving city administrators to develop innovative strategies for effective urban resource management. The Smart City (SC) concept, increasingly adopted in various global metropolises, significantly enhances residents' quality of life, safety, social participation, and operational efficiency of urban areas, aligning with the crucial paradigm of Sustainable Development (SD). A key initiative underpinning the SC model is crowdsourcing, a method whereby urban administrations gather knowledge and feedback from their citizens. This approach, increasingly focused on SD aspects, is gaining prominence due to the current climate challenges and rapid dynamics of urban development. This paper presents findings from an examination of scientific literature indexed in the Scopus database, using keywords: 'crowdsourcing', 'smart cities', and 'sustainable development'. Employing Classical Literature Review (CLR) and Systematic Literature Review (SLR) methodologies, supplemented by bibliometric analysis with VOSviewer software, this study conducts an in-depth investigation of keywords and research themes closely linked to the development of crowdsourcing within the SC framework, specifically in the context of SD. The results are presented in the form of bibliometric maps and tables, highlighting identified keywords. SCs integrate science and technology to enhance urban life, addressing contemporary challenges by transforming urban areas into intelligent, efficient, and sustainable spaces. Crowdsourcing plays a pivotal role in this transformation, enabling community involvement in urban planning and decision-making. This study on crowdsourcing as a tool for SC initiatives within SD reveals numerous practical and theoretical implications and opens avenues for future research.</t>
  </si>
  <si>
    <t>[Przysucha, Lukasz; Sulich, Adam] Wroclaw Univ Econ &amp; Business, Fac Business Management, Komandorska 118-120, PL-53345 Wroclaw, Poland</t>
  </si>
  <si>
    <t>Przysucha, L (corresponding author), Wroclaw Univ Econ &amp; Business, Fac Business Management, Komandorska 118-120, PL-53345 Wroclaw, Poland.</t>
  </si>
  <si>
    <t>lukasz.przysucha@ue.wroc.pl</t>
  </si>
  <si>
    <t>Sulich, Adam/S-8960-2016; Sulich, Adam/M-7935-2019</t>
  </si>
  <si>
    <t>Sulich, Adam/0000-0001-8841-9102;</t>
  </si>
  <si>
    <t>1868-4238</t>
  </si>
  <si>
    <t>1868-422X</t>
  </si>
  <si>
    <t>978-3-031-61071-4; 978-3-031-61069-1; 978-3-031-61068-4</t>
  </si>
  <si>
    <t>IFIP ADV INF COMM TE</t>
  </si>
  <si>
    <t>10.1007/978-3-031-61069-1_15</t>
  </si>
  <si>
    <t>Computer Science, Artificial Intelligence; Computer Science, Information Systems; Green &amp; Sustainable Science &amp; Technology</t>
  </si>
  <si>
    <t>BY8WD</t>
  </si>
  <si>
    <t>WOS:001506380500015</t>
  </si>
  <si>
    <t>Ludwisiak, T; Mazur-Milecka, M</t>
  </si>
  <si>
    <t>Ludwisiak, Tomasz; Mazur-Milecka, Magdalena</t>
  </si>
  <si>
    <t>Automated Parking Management for Urban Efficiency: A Comprehensive Approach</t>
  </si>
  <si>
    <t>2024 16TH INTERNATIONAL CONFERENCE ON HUMAN SYSTEM INTERACTION, HSI 2024</t>
  </si>
  <si>
    <t>Conference on Human System Interaction</t>
  </si>
  <si>
    <t>16th International Conference on Human System Interaction (HSI)</t>
  </si>
  <si>
    <t>JUL 08-11, 2024</t>
  </si>
  <si>
    <t>Paris, FRANCE</t>
  </si>
  <si>
    <t>Effective parking management is essential for addressing the challenges of traffic congestion, city logistics, and air pollution in densely populated urban areas. This paper presents an algorithm designed to optimize parking management within city environments. The proposed system leverages deep learning models to accurately detect and classify street elements and events. Various algorithms, including automatic segmentation of urban landscapes, occupancy detection, and illegal parking violation detection, were developed and tested. To validate the system, cameras were installed facing streets and parking areas, and all algorithms were tested on real-world data. The segmentation network achieved a mean Average Precision (mAP) of 0.791. The occupancy detection algorithm showed a precision and recall of 0.97 on parking camera data, while the illegal parking violation detection system achieved precision and recall values of 0.971 and 0.958, respectively. This research contributes to smarter, more efficient urban parking solutions, enhancing overall city management.</t>
  </si>
  <si>
    <t>[Ludwisiak, Tomasz] OKE Poland, Jana Z Kolna 11, PL-80864 Gdansk, Poland; [Mazur-Milecka, Magdalena] Gdansk Univ Technol, G Narutowicza 11-12, PL-80233 Gdansk, Poland</t>
  </si>
  <si>
    <t>Fahrenheit Universities; Gdansk University of Technology</t>
  </si>
  <si>
    <t>Ludwisiak, T (corresponding author), OKE Poland, Jana Z Kolna 11, PL-80864 Gdansk, Poland.</t>
  </si>
  <si>
    <t>tomasz.ludwisiak@oke.pl; magdalena.milecka@pg.edu.pl</t>
  </si>
  <si>
    <t>National Centre for Research and Development under EU Smart Growth Operational Programme 2014-2020 [POIR.01.01.01-00-0186/19-00]</t>
  </si>
  <si>
    <t>National Centre for Research and Development under EU Smart Growth Operational Programme 2014-2020</t>
  </si>
  <si>
    <t>Smart Community system integrating LED lighting network with active monitoring and neighborhood communication, supported by The National Centre for Research and Development, POIR.01.01.01-00-0186/19-00 (2019-2022), under EU Smart Growth Operational Programme 2014-2020.</t>
  </si>
  <si>
    <t>2158-2246</t>
  </si>
  <si>
    <t>979-8-3503-6292-3; 979-8-3503-6291-6</t>
  </si>
  <si>
    <t>C HUM SYST INTERACT</t>
  </si>
  <si>
    <t>10.1109/HSI61632.2024.10613584</t>
  </si>
  <si>
    <t>Computer Science, Artificial Intelligence; Computer Science, Cybernetics; Computer Science, Interdisciplinary Applications</t>
  </si>
  <si>
    <t>BX4TJ</t>
  </si>
  <si>
    <t>WOS:001294372700061</t>
  </si>
  <si>
    <t>Kremzow-Tennie, S; Mecit, H</t>
  </si>
  <si>
    <t>Qaadan, S</t>
  </si>
  <si>
    <t>Kremzow-Tennie, Simeon; Mecit, Haydar</t>
  </si>
  <si>
    <t>On the Convergence of Electric Mobility and Energy Systems- Potentials and Challenges</t>
  </si>
  <si>
    <t>2024 22ND INTERNATIONAL CONFERENCE ON RESEARCH AND EDUCATION IN MECHATRONICS, REM 2024</t>
  </si>
  <si>
    <t>International Workshop on Research and Education in Mechatronics</t>
  </si>
  <si>
    <t>22nd International Conference on Research and Education in Mechatronics</t>
  </si>
  <si>
    <t>SEP 24-26, 2024</t>
  </si>
  <si>
    <t>German-Jordanian University, JORDAN</t>
  </si>
  <si>
    <t>German-Jordanian University</t>
  </si>
  <si>
    <t>Electromobility; Electric mobility; Energy systems; Research and development (R&amp;D); High-power charging (HPC); Smart cities; Virtual Power Plants (VPP); Sector coupling</t>
  </si>
  <si>
    <t>This paper delves into the evolving intersection of electric mobility and energy systems, highlighting the surge in electromobility worldwide and its implications. It emphasizes the necessity for robust charging infrastructures, particularly in urban areas, and advocates for the integration of high-power charging (HPC) stations with energy storage systems. The discussion extends to the broader concept of 'smart cities', where battery electric systems find innovative applications in residential and urban settings. Renewable energy integration, decentralization, and the role of Virtual Power Plants (VPPs) are explored as key components of this convergence. Furthermore, the paper examines bidirectional charging technologies such as Vehicle-to-X (V2X), encompassing applications like Vehicle-to-Load (V2L), Vehicle-to-Home (V2H), Vehicle-to-Vehicle (V2V), and Vehicle-to-Grid (V2G). Standardization efforts, notably ISO 15118-20, are emphasized for seamless integration of V2X into smart city frameworks and VPPs. Additionally, the authors recognize the potential of renewable hydrogen for fuel cell systems. In conclusion, the paper advocates for digital, intelligent energy management systems that harmonize energy generation, transportation, and distribution with future mobility paradigms. It underscores the importance of sector coupling, advocating collaboration between energy and mobility sectors for sustainable development.</t>
  </si>
  <si>
    <t>[Kremzow-Tennie, Simeon; Mecit, Haydar] Bochum Univ Appl Sci, Elect Vehicle Inst, Bochum, Germany</t>
  </si>
  <si>
    <t>Hochschule Bochum</t>
  </si>
  <si>
    <t>Mecit, H (corresponding author), Bochum Univ Appl Sci, Elect Vehicle Inst, Bochum, Germany.</t>
  </si>
  <si>
    <t>haydar.mecit@hs-bochum.de</t>
  </si>
  <si>
    <t>Kremzow-Tennie, Simeon/0000-0001-6672-4245</t>
  </si>
  <si>
    <t>2993-4583</t>
  </si>
  <si>
    <t>979-8-3315-0598-1; 979-8-3315-0597-4</t>
  </si>
  <si>
    <t>Inter Workshop Resea</t>
  </si>
  <si>
    <t>10.1109/REM63063.2024.10735617</t>
  </si>
  <si>
    <t>Education, Scientific Disciplines; Engineering, Electrical &amp; Electronic; Robotics</t>
  </si>
  <si>
    <t>Education &amp; Educational Research; Engineering; Robotics</t>
  </si>
  <si>
    <t>BY3CJ</t>
  </si>
  <si>
    <t>WOS:001412795600006</t>
  </si>
  <si>
    <t>Zhameshova, A; Sadykova, G; Alimzhanov, Y; Gorodnichev, M; Mansurova, A; Nugumanova, A; Perepelkin, V; Lebedev, D</t>
  </si>
  <si>
    <t>Zhameshova, Aishakhanym; Sadykova, Gulnara; Alimzhanov, Yermek; Gorodnichev, Maxim; Mansurova, Aigerim; Nugumanova, Aliya; Perepelkin, Vladislav; Lebedev, Danil</t>
  </si>
  <si>
    <t>Designing a smart city sustainability assessment information system based on the adapted SULPiTER methodology</t>
  </si>
  <si>
    <t>JOURNAL OF INFRASTRUCTURE POLICY AND DEVELOPMENT</t>
  </si>
  <si>
    <t>smart city; sustainable development; SULPiTER; passive crowdsourcing; opinion mining; intelligent system</t>
  </si>
  <si>
    <t>SOCIAL-MEDIA; CITIES</t>
  </si>
  <si>
    <t>Increasing number of smart cities, the rise of technology and urban population engagement in urban management, and the scarcity of open data for evaluating sustainable urban development determines the necessity of developing new sustainability assessment approaches. This study uses passive crowdsourcing together with the adapted SULPiTER (Sustainable Urban Logistics Planning to Enhance Regional freight transport) methodology to assess the sustainable development of smart cities. The proposed methodology considers economic, environmental, social, transport, communication factors and residents' satisfaction with the urban environment. The SULPiTER relies on experts in selection of relevant factors and determining their contribution to the value of a sustainability indicator. We propose an alternative approach based on automated data gathering and processing. To implement it, we build an information service around a formal knowledge base that accumulates alternative workflows for estimation of indicators and allows for automatic comparison of alternatives and aggregation of their results. A system architecture was proposed and implemented with the Astana Opinion Mining service as its part that can be adjusted to collect opinions in various impact areas. The findings hold value for early identification of problems, and increasing planning and policies efficiency in sustainable urban development.</t>
  </si>
  <si>
    <t>[Zhameshova, Aishakhanym; Sadykova, Gulnara] Univ Int Business, Dept Management &amp; Business, Alma Ata 050010, Kazakhstan; [Alimzhanov, Yermek; Gorodnichev, Maxim; Mansurova, Aigerim; Nugumanova, Aliya; Perepelkin, Vladislav; Lebedev, Danil] Astana IT Univ, Dept Computat &amp; Data Sci, Astana 010000, Kazakhstan</t>
  </si>
  <si>
    <t>Astana IT University</t>
  </si>
  <si>
    <t>Zhameshova, A (corresponding author), Univ Int Business, Dept Management &amp; Business, Alma Ata 050010, Kazakhstan.</t>
  </si>
  <si>
    <t>zhameshova.a@uib.kz</t>
  </si>
  <si>
    <t>Mansurova, Aigerim/MBW-2355-2025; Nugumanova, Aliya/AGV-6698-2022; Lebedev, Danil/Y-6077-2019</t>
  </si>
  <si>
    <t>Mansurova, Aigerim/0009-0003-1978-9574;</t>
  </si>
  <si>
    <t>Science Committee of the Ministry of Science and Higher Education of the Republic of Kazakhstan [BR10965311]</t>
  </si>
  <si>
    <t>Science Committee of the Ministry of Science and Higher Education of the Republic of Kazakhstan(Government of the Republic of KazakhstanMinistry of Science &amp; Higher Education of the Republic of KazakhstanScience Committee of the Ministry of Science &amp; Higher Education of the Republic of Kazakhstan)</t>
  </si>
  <si>
    <t>Acknowledgments: This research has been funded by the Science Committee of the Ministry of Science and Higher Education of the Republic of Kazakhstan (Grant No. BR10965311) . We are grateful to Aigerim Mussina for providing tools for data collection.</t>
  </si>
  <si>
    <t>ENPRESS PUBL LLC</t>
  </si>
  <si>
    <t>TUSTIN</t>
  </si>
  <si>
    <t>14701 MYFORD RD, STE B-1, TUSTIN, CA, UNITED STATES</t>
  </si>
  <si>
    <t>2572-7923</t>
  </si>
  <si>
    <t>2572-7931</t>
  </si>
  <si>
    <t>J INFRASTRUCT POLICY</t>
  </si>
  <si>
    <t>J. Infrastruct. Policy Dev.</t>
  </si>
  <si>
    <t>10.24294/jipd.v8i4.3106</t>
  </si>
  <si>
    <t>OT1U5</t>
  </si>
  <si>
    <t>WOS:001209446700020</t>
  </si>
  <si>
    <t>Liu, ZH; Chen, JL; Wang, QY</t>
  </si>
  <si>
    <t>Liu, Zhihong; Chen, Jilong; Wang, Qingyu</t>
  </si>
  <si>
    <t>Construction of a comprehensive evaluation model for old community renewal in Suzhou based on smart city concepts</t>
  </si>
  <si>
    <t>FRONTIERS OF ARCHITECTURAL RESEARCH</t>
  </si>
  <si>
    <t>Smart cities; Old community renewal; Comprehensive evaluation model; Suzhou case study; Micro-renovation</t>
  </si>
  <si>
    <t>Rapid urbanization in China presents complex challenges for urban development, particularly in older neighborhoods. The rise of digital cities and the shift from expansion to optimizing existing urban areas have highlighted significant issues related to infrastructure, regeneration, and the preservation of local characteristics. These challenges hinder sustainable urban development and negatively impact residents' quality of life, making the transition to smart cities imperative. This study uses Suzhou's old neighborhoods as a case study, employing big data and Geographic Information System (GIS) software to conduct a comprehensive quantitative assessment. Techniques such as kernel density and accessibility analysis reveal key issues in infrastructure, sustainability, and local characteristics, providing a data foundation for targeted strategies. Based on these findings, the paper proposes micro-renovation strategies aimed at enhancing community functionality and improving residents' quality of life through refined management. The study underscores that, under the ecological &amp; thorn; digital sustainable development framework, renewing old neighborhoods can address existing challenges while revitalizing cities towards smarter, greener, and more livable futures. (c) 2025 The Author(s). Publishing services by Elsevier B.V. on behalf of Higher Education Press and KeAi. This is an open access article under the CC BY-NC-ND license (http:// creativecommons.org/licenses/by-nc-nd/4.0/).</t>
  </si>
  <si>
    <t>[Liu, Zhihong] Soochow Univ, Ctr Chinese Urbanizat Studies, Suzhou 215000, Peoples R China; [Liu, Zhihong; Chen, Jilong; Wang, Qingyu] Soochow Univ, Dept Architecture, Suzhou 215000, Peoples R China</t>
  </si>
  <si>
    <t>Soochow University - China; Soochow University - China</t>
  </si>
  <si>
    <t>Liu, ZH (corresponding author), Soochow Univ, Ctr Chinese Urbanizat Studies, Suzhou 215000, Peoples R China.</t>
  </si>
  <si>
    <t>261607194@qq.com</t>
  </si>
  <si>
    <t>Wang, Qingyu/AAB-9106-2022</t>
  </si>
  <si>
    <t>National Social Science Foundation of China [22BSH086]; Research program of the Center for Chinese Urbanization Studies of Soochow University, Collaborative Innovation Center for New Urbanization and Social Governance of universities in Jiangsu [22CZHC012]; Chinese National Architecture Research Association [NAIC202425]; Key funded Project of the High Quality Project of Social Science Applied Research in Jiangsu Province [24SYA-005]</t>
  </si>
  <si>
    <t>National Social Science Foundation of China(National Office of Philosophy and Social Sciences); Research program of the Center for Chinese Urbanization Studies of Soochow University, Collaborative Innovation Center for New Urbanization and Social Governance of universities in Jiangsu; Chinese National Architecture Research Association; Key funded Project of the High Quality Project of Social Science Applied Research in Jiangsu Province</t>
  </si>
  <si>
    <t>This article was sponsored by the research programs of the National Social Science Foundation of China (Grant No. 22BSH086) , the research program of the Center for Chinese Urbanization Studies of Soochow University, Collaborative Innovation Center for New Urbanization and Social Governance of universities in Jiangsu (Grant No. 22CZHC012) , Chinese National Architecture Research Association (Grant No. NAIC202425) , and the Key funded Project of the High Quality Project of Social Science Applied Research in Jiangsu Province in 2024 (Grant No. 24SYA-005) .</t>
  </si>
  <si>
    <t>16 DONGHUANGCHENGGEN NORTH ST, Building 5, Room 411, BEIJING, DONGCHENG DISTRICT 100009, PEOPLES R CHINA</t>
  </si>
  <si>
    <t>2095-2635</t>
  </si>
  <si>
    <t>2095-2643</t>
  </si>
  <si>
    <t>FRONT ARCHIT RES</t>
  </si>
  <si>
    <t>Front. Archit. Res.</t>
  </si>
  <si>
    <t>10.1016/j.foar.2025.01.001</t>
  </si>
  <si>
    <t>Arts &amp; Humanities Citation Index (A&amp;HCI)</t>
  </si>
  <si>
    <t>6EY6Q</t>
  </si>
  <si>
    <t>WOS:001551753000001</t>
  </si>
  <si>
    <t>Kougias, C; Papadakaki, M</t>
  </si>
  <si>
    <t>Kougias, Constantine; Papadakaki, Maria</t>
  </si>
  <si>
    <t>Rethinking the 'smart city': From technology-led visions to citizen-centered governance-barriers and pathways in digital urban initiatives</t>
  </si>
  <si>
    <t>JOURNAL OF URBAN AFFAIRS</t>
  </si>
  <si>
    <t>Smart cities; citizen engagement; urban governance; obstacles; citizen participation</t>
  </si>
  <si>
    <t>KNOWLEDGE MANAGEMENT; PARTICIPATION; CITIES; ENGAGEMENT; SYSTEMS; DESIGN; LADDER; TRUST</t>
  </si>
  <si>
    <t>As urban areas worldwide embark on the journey toward smart city development, the active involvement of citizens in governance processes becomes paramount for sustainable and inclusive progress. This study seeks to conduct an examination of the barriers that impede citizen engagement within the framework of smart cities. By reviewing both existing literature and empirical data, it aims to discern and classify significant obstacles, offering insight into the diverse challenges that hinder citizens' effective participation. The categories of obstacles explored encompass technological barriers, access and inclusivity issues, information and awareness gaps, as well as bureaucratic and policy challenges. The paper underscores the interconnectedness of these barriers and their profound impact on the realization of smart cities' potential in addressing urban challenges. By recognizing and addressing these obstacles, policymakers and urban planners can pave the way for more inclusive, responsive, and effective smart city governance, ultimately contributing to the advancement of sustainable urban development. This study encourages further research and the implementation of strategies aimed at dismantling these barriers to foster increased citizen participation in shaping the smart cities of the future.</t>
  </si>
  <si>
    <t>[Kougias, Constantine; Papadakaki, Maria] Hellen Mediterranean Univ, Lab Hlth &amp; Rd Safety, Estavromenos, Iraklion 71410, Greece</t>
  </si>
  <si>
    <t>Hellenic Mediterranean University</t>
  </si>
  <si>
    <t>Kougias, C (corresponding author), Hellen Mediterranean Univ, Lab Hlth &amp; Rd Safety, Estavromenos, Iraklion 71410, Greece.</t>
  </si>
  <si>
    <t>kougiask@hmu.gr</t>
  </si>
  <si>
    <t>Kougias, Konstantinos/0000-0003-2475-3819</t>
  </si>
  <si>
    <t>Laboratory of Health and Road Safety (LaHeRS), Department of Social Work, Hellenic Mediterranean University</t>
  </si>
  <si>
    <t>The work was supported by the Laboratory of Health and Road Safety (LaHeRS), Department of Social Work, Hellenic Mediterranean University.</t>
  </si>
  <si>
    <t>ROUTLEDGE JOURNALS, TAYLOR &amp; FRANCIS LTD</t>
  </si>
  <si>
    <t>2-4 PARK SQUARE, MILTON PARK, ABINGDON OX14 4RN, OXON, ENGLAND</t>
  </si>
  <si>
    <t>0735-2166</t>
  </si>
  <si>
    <t>1467-9906</t>
  </si>
  <si>
    <t>J URBAN AFF</t>
  </si>
  <si>
    <t>J. Urban Aff.</t>
  </si>
  <si>
    <t>2025 JUN 1</t>
  </si>
  <si>
    <t>10.1080/07352166.2025.2502116</t>
  </si>
  <si>
    <t>3GJ0E</t>
  </si>
  <si>
    <t>WOS:001499686800001</t>
  </si>
  <si>
    <t>Wang, RF; Qiu, H; Liu, RY; Huo, H; Cheng, X; Liu, XF</t>
  </si>
  <si>
    <t>Wang, Renfang; Qiu, Hong; Liu, Ruyu; Huo, Huan; Cheng, Xu; Liu, Xiufeng</t>
  </si>
  <si>
    <t>A hybrid governance framework for adaptive and sustainable urban energy management</t>
  </si>
  <si>
    <t>Hybrid urban energy governance; Multi-Agent Systems; Internet of Things; Federated learning; Multi-objective optimization; Sustainable smart cities</t>
  </si>
  <si>
    <t>TRANSITIONS; ALGORITHM; OPTIMIZATION; ANALYTICS; CITY; IOT</t>
  </si>
  <si>
    <t>Rapid urbanization and escalating energy demands necessitate innovative solutions for sustainable and efficient energy management in smart cities. This paper presents a novel hybrid urban energy governance framework, distinguished by its unique architectural design that orchestrates a synergistic interplay of Multi-Agent Systems (MAS), Internet of Things (IoT), Cloud Computing, and Federated Learning. The framework's core technical novelty lies in its adaptive feedback loop: MAS facilitate decentralized, game-theoretic negotiations among urban areas for resource allocation, informed by real-time IoT data and privacy-preserving demand forecasts generated by Federated Learning. This local intelligence is then dynamically integrated with a cloud-based platform that performs multi-objective optimization (MOO) using evolutionary algorithms to achieve systemwide Pareto-optimal solutions for cost, environmental impact, and energy security. This continuous two-tiered decision-making, balancing local autonomy with global sustainability targets, creates a truly adaptive and resilient governance paradigm. Extensive simulations, using real-world datasets to represent diverse urban scenarios including peak demand and infrastructure challenges, demonstrate the framework's effectiveness in minimizing energy transaction costs, improving forecasting accuracy while ensuring data privacy, and promoting environmental sustainability. This decentralized, adaptive, and secure approach offers a promising pathway for efficient and resilient urban energy management, directly contributing to the development of sustainable smart cities by enhancing energy equity, supporting policy implementation, and optimizing resource use for long-term urban well-being.</t>
  </si>
  <si>
    <t>[Wang, Renfang; Qiu, Hong] Zhejiang Wanli Univ, Coll Big Data &amp; Software Engn, Ningbo 315200, Peoples R China; [Liu, Ruyu; Cheng, Xu; Liu, Xiufeng] Tech Univ Denmark, Dept Technol Management &amp; Econ, DK-2800 Lyngby, Denmark; [Huo, Huan] Univ Technol Sydney, Sch Comp Sci, 15 Broadway, Ultimo, NSW 2007, Australia</t>
  </si>
  <si>
    <t>Zhejiang Wanli University; Technical University of Denmark; University of Technology Sydney</t>
  </si>
  <si>
    <t>Qiu, H (corresponding author), Zhejiang Wanli Univ, Coll Big Data &amp; Software Engn, Ningbo 315200, Peoples R China.;Liu, XF (corresponding author), Tech Univ Denmark, Dept Technol Management &amp; Econ, DK-2800 Lyngby, Denmark.</t>
  </si>
  <si>
    <t>wangrf@zwu.edu.cn; qiuhong@zwu.edu.cn; ruliu@dtu.dk; huan.huo@uts.edu.au; xuche@dtu.dk; xiuli@dtu.dk</t>
  </si>
  <si>
    <t>Huohuanxin, Huohuanxin/OAL-0066-2025; Liu, Xiufeng/HNB-4570-2023</t>
  </si>
  <si>
    <t>Liu, Ruyu/0000-0003-2130-9122</t>
  </si>
  <si>
    <t>National Natural Science Foundation of China [61906170]; Food Science and Engineering, the Most Important Discipline of Zhejiang Province [ZCLY24F0301]; Basic Public Welfare Research Program of Zhejiang Province [LGF21F020023]; Natural Science Foundation of Ningbo Municipality [2022Z233, 2023J403, 2022S002, 2021Z050]</t>
  </si>
  <si>
    <t>National Natural Science Foundation of China(National Natural Science Foundation of China (NSFC)); Food Science and Engineering, the Most Important Discipline of Zhejiang Province; Basic Public Welfare Research Program of Zhejiang Province; Natural Science Foundation of Ningbo Municipality</t>
  </si>
  <si>
    <t>This work was supported in part by the National Natural Science Foundation of China under Grant 61906170, in part by the Food Science and Engineering, the Most Important Discipline of Zhejiang Province under Grant ZCLY24F0301, in part by the Basic Public Welfare Research Program of Zhejiang Province under Grant LGF21F020023, in part by the Natural Science Foundation of Ningbo Municipality under Grant 2022Z233, Grant 2023J403, Grant 2022S002, and Grant 2021Z050.</t>
  </si>
  <si>
    <t>JUL 15</t>
  </si>
  <si>
    <t>10.1016/j.scs.2025.106638</t>
  </si>
  <si>
    <t>6FE9K</t>
  </si>
  <si>
    <t>WOS:001551918500001</t>
  </si>
  <si>
    <t>Bozzo, R; Conca, A; Marangon, F</t>
  </si>
  <si>
    <t>Benitez, FG; Rossi, R</t>
  </si>
  <si>
    <t>Bozzo, Riccardo; Conca, Andrea; Marangon, Flavio</t>
  </si>
  <si>
    <t>Decision support system for city logistics: literature review, and guidelines for an ex-ante model</t>
  </si>
  <si>
    <t>17TH MEETING OF THE EURO WORKING GROUP ON TRANSPORTATION, EWGT2014</t>
  </si>
  <si>
    <t>17th Meeting of the EURO-Working-Group on Transportation (EWGT)</t>
  </si>
  <si>
    <t>JUL 02-04, 2014</t>
  </si>
  <si>
    <t>Seville, SPAIN</t>
  </si>
  <si>
    <t>City Logistics; literature reviews; ex-ante assessment</t>
  </si>
  <si>
    <t>FREIGHT TRANSPORT; URBAN</t>
  </si>
  <si>
    <t>The world is inexorably becoming urban. Since 2008, urban population is higher than the rural population. Therefore, cities are increasingly important systems for contemporary society. Phenomena such as urbanization and globalization have contributed to make urban centers more and more complex. One of the most important aspects is urban freight transportation, which is affected also by the spatial distribution of activities and residences. It follows that role of decision-makers is increasingly difficult due to limited economic and space resources that concern the urban areas. Besides, recent trends promoted by European Commission in the field of sustainable development require a profound reflections concerning the choice of transportation policies, and design of infrastructures. On the path towards to cities sustainability, local authorities have to make important decisions related to urban freight distribution. In this complex framework, the present paper describes the first phase of a two-year research project called SIPLUS Systems for Sustainable Urban Planning of Logistics. The goal of SIPLUS is development an ex-ante model for evaluation of interventions and investments in urban goods distribution, in favor of the municipalities. It is a decision support system for authorities and decision-makers. At the end of the project, there will be a pilot actions with the application of proposed models in at least one European city. This paper describes the first results, which mainly concern literature review, state of the art, analysis of European best practices in city logistics, and the general framework of proposed model. (C) 2014 The Authors. Published by Elsevier B.V.</t>
  </si>
  <si>
    <t>[Bozzo, Riccardo; Conca, Andrea] Polytech Sch Genoa, DITEN, Via Opera Pia 11, I-16145 Genoa, Italy; [Marangon, Flavio] DAppolonia SpA, I-16145 Genoa, Italy</t>
  </si>
  <si>
    <t>Conca, A (corresponding author), Polytech Sch Genoa, DITEN, Via Opera Pia 11, I-16145 Genoa, Italy.</t>
  </si>
  <si>
    <t>andrea.conca@unige.it</t>
  </si>
  <si>
    <t>10.1016/j.trpro.2014.10.033</t>
  </si>
  <si>
    <t>BE9FP</t>
  </si>
  <si>
    <t>WOS:000377412600056</t>
  </si>
  <si>
    <t>Abu Zaid, A; Belmekki, BEY; Alouini, MS</t>
  </si>
  <si>
    <t>Abu Zaid, Abdullah; Belmekki, Baha Eddine Youcef; Alouini, Mohamed-Slim</t>
  </si>
  <si>
    <t>eVTOL Communications and Networking in UAM: Requirements, Key Enablers, and Challenges</t>
  </si>
  <si>
    <t>IEEE COMMUNICATIONS MAGAZINE</t>
  </si>
  <si>
    <t>Electric vertical takeoff and landing (eVTOL) aircraft have attracted great attention during the last years as the long-awaited enabler of urban air mobility (UAM), allowing a more sustainable method of transportation and accelerating the development of smart cities. The operation of eVTOLs over urban areas introduces safety hazards for passengers, pedestrians, and buildings, which prioritises safety considerations. Ensuring the safe operation of eVTOLs requires studying their communication, networking, and computing requirements. In this article, we showcase eVTOL requirements in UAM in terms of coverage, data rate, latency, spectrum efficiency, networking, and computing. Then, we identify potential key technological enablers to address these requirements and their challenges. Finally, we conduct a comparative case study between the terrestrial and aerial communication infrastructures to serve eVTOLs in UAM.</t>
  </si>
  <si>
    <t>[Abu Zaid, Abdullah] KAUST, Commun Theory Lab CTL, Thuwal, Saudi Arabia; [Belmekki, Baha Eddine Youcef; Alouini, Mohamed-Slim] KAUST, Thuwal, Saudi Arabia</t>
  </si>
  <si>
    <t>King Abdullah University of Science &amp; Technology; King Abdullah University of Science &amp; Technology</t>
  </si>
  <si>
    <t>Abu Zaid, A (corresponding author), KAUST, Commun Theory Lab CTL, Thuwal, Saudi Arabia.</t>
  </si>
  <si>
    <t>abdullah.abuzaid@kaust.edu.sa; bahaeddine.belmekki@kaust.edu.sa; slim.alouini@kaust.edu.sa</t>
  </si>
  <si>
    <t>Abu Zaid, Abdullah/IAP-4511-2023; Alouini, Mohamed-Slim/I-2658-2018</t>
  </si>
  <si>
    <t>Belmekki, Baha Eddine Youcef/0000-0002-7634-4032; Alouini, Mohamed-Slim/0000-0003-4827-1793; Abu Zaid, Abdullah/0000-0003-2219-6940</t>
  </si>
  <si>
    <t>0163-6804</t>
  </si>
  <si>
    <t>1558-1896</t>
  </si>
  <si>
    <t>IEEE COMMUN MAG</t>
  </si>
  <si>
    <t>IEEE Commun. Mag.</t>
  </si>
  <si>
    <t>10.1109/MCOM.004.2300061</t>
  </si>
  <si>
    <t>W6GU0</t>
  </si>
  <si>
    <t>WOS:001092598600023</t>
  </si>
  <si>
    <t>Peixoto, JPJ; Costa, DG; Rocha, WDD; Portugal, P; Vasques, F</t>
  </si>
  <si>
    <t>Peixoto, Joao Paulo Just; Costa, Daniel G.; Rocha, Washington de J. S. da Franca; Portugal, Paulo; Vasques, Francisco</t>
  </si>
  <si>
    <t>On the positioning of emergencies detection units based on geospatial data of urban response centres</t>
  </si>
  <si>
    <t>Smart cities; Sustainable and resilient cities; Emergency detection; Sensors positioning; Urban infrastructure</t>
  </si>
  <si>
    <t>SMART CITIES; CITY; MANAGEMENT; BENCHMARK</t>
  </si>
  <si>
    <t>Urban areas have been subject to emergency situations with different causes and sometimes dramatic consequences. With the advent of smart cities technologies, multi-emergency detection units could be conceived and implemented taking advantage of affordable sensing technologies and efficient decision algorithms, allowing quick and distributed detection of emergencies. However, a recurrent problem has been the positioning and further deployment of such detection units in a way that the particularities of each target city are properly considered. In this sense, this article proposes the processing of geospatial data about existing urban infrastructure associated with some critical response after an emergency is detected, selecting hospitals, police stations, fire departments, and metro stations, in the target city. These infrastructures are then exploited to define the novel concept of mitigation zones, which indirectly express the perceived level of urban resilience to emergencies. Then, four positioning algorithms are proposed to exploit the mitigation zones considering a defined set of available detection units for deployment. Since the proposed approach is valid for any city, provided that geospatial data is available, it could be largely adopted to support different smart city systems, potentially bringing significant results in this area.</t>
  </si>
  <si>
    <t>State Univ Feira De Santana, PPGM UEFS, Feira De Santana, Brazil; [Costa, Daniel G.] Univ Porto, Fac Engn, INEGI, Porto, Portugal; Univ Porto, Fac Engn, INESC TEC, Porto, Portugal</t>
  </si>
  <si>
    <t>Universidade Estadual de Feira de Santana; Universidade do Porto; INESC TEC; Universidade do Porto</t>
  </si>
  <si>
    <t>Costa, DG (corresponding author), Univ Porto, Fac Engn, INEGI, Porto, Portugal.</t>
  </si>
  <si>
    <t>joao.just@ifba.edu.br; danielgcosta@uefs.br; danielgcosta@uefs.br; pportugal@fe.up.pt; vasques@fe.up.pt</t>
  </si>
  <si>
    <t>; Vasques, Francisco/B-2494-2013; Costa, Daniel/I-4928-2013; Peixoto, João Paulo/KDN-4851-2024; Franca-Rocha, Washington/B-6184-2013; Sant´´ anna da Franca-Rocha, Washington de Jesus/B-6184-2013; Portugal, Paulo/H-3286-2013</t>
  </si>
  <si>
    <t>Just Peixoto, João Paulo/0000-0003-3507-8249; Vasques, Francisco/0000-0003-3115-0901; Costa, Daniel/0000-0003-3988-8476; Sant´´ anna da Franca-Rocha, Washington de Jesus/0000-0002-2175-2792; Portugal, Paulo/0000-0002-6386-9753</t>
  </si>
  <si>
    <t>national funds through the FCT/MCTES (PIDDAC) [EXPL/EEI-COM/1089/2021, UIDB/50022/2020]; Coordenacao de Aperfeicoamento de Pessoal de Nivel Superior-Brasil (CAPES) [001]</t>
  </si>
  <si>
    <t>national funds through the FCT/MCTES (PIDDAC)(Fundacao para a Ciencia e a Tecnologia (FCT)); Coordenacao de Aperfeicoamento de Pessoal de Nivel Superior-Brasil (CAPES)(Coordenacao de Aperfeicoamento de Pessoal de Nivel Superior (CAPES))</t>
  </si>
  <si>
    <t>This work is financially supported by national funds through the FCT/MCTES (PIDDAC) , under the project EXPL/EEI-COM/1089/2021. It is also supported by INEGI-LAETA (FCT project UIDB/50022/2020) . Finally, this work was financed in part by the Coordenacao de Aperfeicoamento de Pessoal de Nivel Superior-Brasil (CAPES) -Finance Code 001.</t>
  </si>
  <si>
    <t>10.1016/j.scs.2023.104713</t>
  </si>
  <si>
    <t>JUN 2023</t>
  </si>
  <si>
    <t>L8OK3</t>
  </si>
  <si>
    <t>WOS:001025800300001</t>
  </si>
  <si>
    <t>Soriano-Gonzalez, R; Perez-Bernabeu, E; Ahsini, Y; Carracedo, P; Camacho, A; Juan, AA; Magoutas, B; de Bok, M; Renukappa, SH; Suresh, S</t>
  </si>
  <si>
    <t>Soriano-Gonzalez, Raquel; Perez-Bernabeu, Elena; Ahsini, Yusef; Carracedo, Patricia; Camacho, Andres; Juan, Angel A.; Magoutas, Babis; de Bok, Michiel; Renukappa, Suresh H.; Suresh, Subashini</t>
  </si>
  <si>
    <t>Analyzing Key Performance Indicators for Mobility Logistics in Smart and Sustainable Cities: A Case Study Centered on Barcelona</t>
  </si>
  <si>
    <t>LOGISTICS-BASEL</t>
  </si>
  <si>
    <t>logistics and transportation; smart city mobility; key performance indicators; data analytics</t>
  </si>
  <si>
    <t>IMPACT</t>
  </si>
  <si>
    <t>Background: This article identifies and examines key performance indicators (KPIs) related to citizen mobility logistics in smart and sustainable urban areas. It begins with a comprehensive literature review to identify essential KPIs, offering valuable insights for both public and private stakeholders, including policymakers and mobility service providers. Drawing from various mobility projects in smart cities, the study extracts common KPIs and best practices. The focus of the paper then turns to Barcelona, Spain, where KPIs that matter most are analyzed. Methods: Using open data from the city council spanning from 2017 onwards, the study provides insights into the evolving mobility logistics landscape. KPIs from other European cities are also considered by utilizing similar open data sources. This comparative analysis provides valuable benchmarks and reveals disparities in mobility logistics. Throughout this investigation, the paper emphasizes the role of data quality in KPI selection. Results: Reliable open data significantly influence indicator choices and present challenges when comparing cities. Remarkably, the findings consistently highlight environmental data as an area requiring attention in sustainable mobility logistics. Conclusions: This paper makes contributions by identifying and examining KPIs relevant to citizen mobility logistics in smart and sustainable urban areas. It offers insights by applying these KPIs to Barcelona and conducting comparative analyses with other European cities. These findings serve as a valuable resource for policymakers, city planners, and mobility experts.</t>
  </si>
  <si>
    <t>[Soriano-Gonzalez, Raquel; Perez-Bernabeu, Elena; Ahsini, Yusef; Carracedo, Patricia; Juan, Angel A.] Univ Politecn Valencia, Res Ctr Prod Management &amp; Engn, Alcoy 03802, Spain; [Camacho, Andres] Univ Politecn Valencia, Dept Commun, Alcoy 03802, Spain</t>
  </si>
  <si>
    <t>Universitat Politecnica de Valencia; Universitat Politecnica de Valencia</t>
  </si>
  <si>
    <t>Juan, AA (corresponding author), Univ Politecn Valencia, Res Ctr Prod Management &amp; Engn, Alcoy 03802, Spain.</t>
  </si>
  <si>
    <t>pcarracedo@eio.upv.es; acamacho@dcom.upv.es; ajuanp@upv.es</t>
  </si>
  <si>
    <t>Suresh, Subashini/I-2791-2015; CARRACEDO, PATRICIA/ABH-2431-2020; Perez-Bernabeu, Elena/E-3344-2018; García, Andrés/G-2037-2010; Camacho García, Andrés/G-2037-2010; Juan, Angel/GWZ-7540-2022</t>
  </si>
  <si>
    <t>Perez-Bernabeu, Elena/0000-0002-9221-7623; Ahsini, Yusef/0009-0006-5582-6725; Camacho García, Andrés/0000-0001-8542-4264; Soriano González, Raquel/0000-0002-1337-9561; Juan, Angel A/0000-0003-1392-1776; CARRACEDO, PATRICIA/0000-0002-9352-9565</t>
  </si>
  <si>
    <t>European Commission project UP2030</t>
  </si>
  <si>
    <t>European Commission project UP2030(European Union (EU)European Commission Joint Research Centre)</t>
  </si>
  <si>
    <t>No Statement Available</t>
  </si>
  <si>
    <t>2305-6290</t>
  </si>
  <si>
    <t>Logistics</t>
  </si>
  <si>
    <t>10.3390/logistics7040075</t>
  </si>
  <si>
    <t>Management; Operations Research &amp; Management Science</t>
  </si>
  <si>
    <t>Business &amp; Economics; Operations Research &amp; Management Science</t>
  </si>
  <si>
    <t>DF6A6</t>
  </si>
  <si>
    <t>WOS:001130641900001</t>
  </si>
  <si>
    <t>Sosik-Filipiak, K; Osypchuk, O</t>
  </si>
  <si>
    <t>Sosik-Filipiak, Katarzyna; Osypchuk, Oleksandra</t>
  </si>
  <si>
    <t>Identification of Solutions for Vulnerable Road Users Safety in Urban Transport Systems: Grounded Theory Research</t>
  </si>
  <si>
    <t>traffic measurements; transportation safety; sustainable traffic modes; urban transport systems; perceived safety; vulnerable road users; grounded theory research</t>
  </si>
  <si>
    <t>PUBLIC TRANSPORT; ACCIDENTS; SECURITY; IMPACT</t>
  </si>
  <si>
    <t>The share of road vehicles in urban transport systems is a challenge for modern and dynamically developing urban areas in accordance with the concept of sustainable and Smart Cities. Increasingly, there is a need to promote and adapt urban space to the movement of vulnerable road users (VRU). As part of a clear emphasis on the issue of pedestrians and other vulnerable road users, the aim of the article is to define the typology and hierarchy of solutions contributing to the increase in VRU safety in cities. The research process was based on the use of grounded theory. In the adopted research methodology, the use of the Delphi method made it possible to identify the approach of various European cities to the use and implementation of technical, technological and organizational solutions affecting safety. The research made it possible to evaluate individual solutions in VRU safety management and to indicate a list of recommendations for improving security, taking into account the views of international experts. In addition, the results of this study may enrich the current literature, helping to understand the perception of solutions implemented in urban transport systems as a holistic set of interrelated elements supporting pedestrian safety and increasing their role in cities.</t>
  </si>
  <si>
    <t>[Sosik-Filipiak, Katarzyna; Osypchuk, Oleksandra] Maritime Univ Szczecin, Fac Econ &amp; Transport Engn, 11 H Poboznego St, PL-70507 Szczecin, Poland</t>
  </si>
  <si>
    <t>Maritime University of Szczecin</t>
  </si>
  <si>
    <t>Sosik-Filipiak, K (corresponding author), Maritime Univ Szczecin, Fac Econ &amp; Transport Engn, 11 H Poboznego St, PL-70507 Szczecin, Poland.</t>
  </si>
  <si>
    <t>k.sosik@pm.szczecin.pl; o.osypchuk@pm.szczecin.pl</t>
  </si>
  <si>
    <t>Osypchuk, Oleksana/0000-0002-2712-245X</t>
  </si>
  <si>
    <t>GReen And SuStainable-kNoewledge EXpanded freight Transport in cities project [NOR/POLNOR/GRASS-NEXT/0072/2019]</t>
  </si>
  <si>
    <t>GReen And SuStainable-kNoewledge EXpanded freight Transport in cities project</t>
  </si>
  <si>
    <t>This paper was funded by GReen And SuStainable-kNoewledge EXpanded freight Transport in cities project financed under the Norwegian Financial Mechanism 2014-2021: NOR/POLNOR/GRASS-NEXT/0072/2019.</t>
  </si>
  <si>
    <t>10.3390/su151310568</t>
  </si>
  <si>
    <t>M5ZI4</t>
  </si>
  <si>
    <t>WOS:001030993500001</t>
  </si>
  <si>
    <t>Noussaiba, M; Razaque, A; Rahal, R</t>
  </si>
  <si>
    <t>Noussaiba, Melaouene; Razaque, Abdul; Rahal, Romadi</t>
  </si>
  <si>
    <t>Heterogeneous Algorithm for Efficient-Path Detection and Congestion Avoidance for a Vehicular-Management System</t>
  </si>
  <si>
    <t>ant-colony optimization; pheromone termite; congestion avoidance; energy consumption; end-to-end delay</t>
  </si>
  <si>
    <t>NETWORKS; PROTOCOL; NODE</t>
  </si>
  <si>
    <t>Finding reliable and efficient routes is a persistent problem in megacities. To address this problem, several algorithms have been proposed. However, there are still areas of research that require attention. Many traffic-related problems can be resolved with the help of smart cities that incorporate the Internet of Vehicles (IoV). On the other hand, due to rapid increases in the population and automobiles, traffic congestion has become a serious concern. This paper presents a heterogeneous algorithm called ant-colony optimization with pheromone termite (ACO-PT), which combines two state-of-the-art algorithms, pheromone termite (PT) and ant-colony optimization (ACO), to address efficient routing to improve energy efficiency, increase throughput, and shorten end-to-end latency. The ACO-PT algorithm seeks to provide an effective shortest path from a source to a destination for drivers in urban areas. Vehicle congestion is a severe issue in urban areas. To address this issue, a congestion-avoidance module is added to handle potential overcrowding. Automatic vehicle detection has also been a challenging issue in vehicle management. To address this issue, an automatic-vehicle-detection (AVD) module is employed with ACO-PT. The effectiveness of the proposed ACO-PT algorithm is demonstrated experimentally using network simulator-3 (NS-3) and Simulation of Urban Mobility (SUMO). Our proposed algorithm is compared with three cutting-edge algorithms. The results demonstrate that the proposed ACO-PT algorithm is superior to earlier algorithms in terms of energy usage, end-to-end delay, and throughput.</t>
  </si>
  <si>
    <t>[Noussaiba, Melaouene; Rahal, Romadi] Mohammad V Univ, Team Informat Res &amp; Indexing Documents, Texts &amp; Multimedia, ENSIAS, BP 713, Rabat, Morocco; [Razaque, Abdul] Gachon Univ South Korea, Sch Comp, Seongnam Si 13120, South Korea</t>
  </si>
  <si>
    <t>Mohammed V University in Rabat</t>
  </si>
  <si>
    <t>Razaque, A (corresponding author), Gachon Univ South Korea, Sch Comp, Seongnam Si 13120, South Korea.</t>
  </si>
  <si>
    <t>noussaiba.melaouene@um5r.ac.ma; arazaque@gachon.ac.kr; rahal.romadi@ensias.um5.ac.ma</t>
  </si>
  <si>
    <t>; Razaque, Abdul/AAA-6334-2020</t>
  </si>
  <si>
    <t>razaque, abdul/0000-0003-0409-3526;</t>
  </si>
  <si>
    <t>10.3390/s23125471</t>
  </si>
  <si>
    <t>K3VH1</t>
  </si>
  <si>
    <t>WOS:001015743900001</t>
  </si>
  <si>
    <t>Alkhatib, MII; Talei, A; Chang, TK; Pauwels, VRN; Chow, MF</t>
  </si>
  <si>
    <t>Alkhatib, Mohammed I. I.; Talei, Amin; Chang, Tak Kwin; Pauwels, Valentijn R. N.; Chow, Ming Fai</t>
  </si>
  <si>
    <t>An Urban Acoustic Rainfall Estimation Technique Using a CNN Inversion Approach for Potential Smart City Applications</t>
  </si>
  <si>
    <t>smart cities; artificial intelligence; acoustic rainfall sensing; audio denoising; data-driven forecasting; interoperable AI</t>
  </si>
  <si>
    <t>VISUAL FEATURES; CLASSIFICATION; RECOGNITION; MANAGEMENT; NETWORKS; SYSTEM; CITIES; NOISE; SOUND</t>
  </si>
  <si>
    <t>The need for robust rainfall estimation has increased with more frequent and intense floods due to human-induced land use and climate change, especially in urban areas. Besides the existing rainfall measurement systems, citizen science can offer unconventional methods to provide complementary rainfall data for enhancing spatial and temporal data coverage. This demand for accurate rainfall data is particularly crucial in the context of smart city innovations, where real-time weather information is essential for effective urban planning, flood management, and environmental sustainability. Therefore, this study provides proof-of-concept for a novel method of estimating rainfall intensity using its recorded audio in an urban area, which can be incorporated into a smart city as part of its real-time weather forecasting system. This study proposes a convolutional neural network (CNN) inversion model for acoustic rainfall intensity estimation. The developed CNN rainfall sensing model showed a significant improvement in performance over the traditional approach, which relies on the loudness feature as an input, especially for simulating rainfall intensities above 60 mm/h. Also, a CNN-based denoising framework was developed to attenuate unwanted noises in rainfall recordings, which achieved up to 98% accuracy on the validation and testing datasets. This study and its promising results are a step towards developing an acoustic rainfall sensing tool for citizen-science applications in smart cities. However, further investigation is necessary to upgrade this proof-of-concept for practical applications.</t>
  </si>
  <si>
    <t>[Alkhatib, Mohammed I. I.; Talei, Amin; Chang, Tak Kwin; Chow, Ming Fai] Monash Univ Malaysia, Sch Engn, Dept Civil Engn, Subang Jaya 47500, Selangor, Malaysia; [Pauwels, Valentijn R. N.] Monash Univ, Dept Civil Engn, Clayton, Vic 3800, Australia</t>
  </si>
  <si>
    <t>Monash University; Monash University Malaysia; Monash University</t>
  </si>
  <si>
    <t>Talei, A (corresponding author), Monash Univ Malaysia, Sch Engn, Dept Civil Engn, Subang Jaya 47500, Selangor, Malaysia.</t>
  </si>
  <si>
    <t>mohammed.alkhatib@monash.edu; amin.talei@monash.edu; takkwin@gmail.com; valentijn.pauwels@monash.edu; chow.mingfai@monash.edu</t>
  </si>
  <si>
    <t>Chow, M./I-1811-2016; Alkhatib, Mohammed/L-2338-2019; Chow, Ming Fai/I-1811-2016; Talei, Amin/ABA-5668-2021</t>
  </si>
  <si>
    <t>Talei, Amin/0000-0003-4971-0567; Pauwels, Valentijn/0000-0002-1290-9313; Alkhatib, Mohammed/0000-0003-1557-5950; Chow, Ming Fai/0000-0002-0732-5575;</t>
  </si>
  <si>
    <t>Ministry of Higher Education Malaysia; Monash University (Malaysia Campus) through the merit PhD scholarship</t>
  </si>
  <si>
    <t>Ministry of Higher Education Malaysia(Ministry of Education, Malaysia); Monash University (Malaysia Campus) through the merit PhD scholarship</t>
  </si>
  <si>
    <t>The authors acknowledge the financial support of Monash University (Malaysia Campus) through the merit PhD scholarship for Mohammed I.I. Alkhatib.</t>
  </si>
  <si>
    <t>10.3390/smartcities6060139</t>
  </si>
  <si>
    <t>EA0C7</t>
  </si>
  <si>
    <t>WOS:001136053100001</t>
  </si>
  <si>
    <t>Yang, PW; Wen, WS</t>
  </si>
  <si>
    <t>Yang, Peiwen; Wen, Weisong</t>
  </si>
  <si>
    <t>Tightly Joining Positioning and Control for Trustworthy Unmanned Aerial Vehicles Based on Factor Graph Optimization in Urban Transportation</t>
  </si>
  <si>
    <t>2023 IEEE 26TH INTERNATIONAL CONFERENCE ON INTELLIGENT TRANSPORTATION SYSTEMS, ITSC</t>
  </si>
  <si>
    <t>IEEE International Conference on Intelligent Transportation Systems-ITSC</t>
  </si>
  <si>
    <t>IEEE 26th International Conference on Intelligent Transportation Systems (ITSC)</t>
  </si>
  <si>
    <t>SEP 24-28, 2023</t>
  </si>
  <si>
    <t>Bilbao, SPAIN</t>
  </si>
  <si>
    <t>MODEL-PREDICTIVE CONTROL; NONLINEAR MPC</t>
  </si>
  <si>
    <t>Unmanned aerial vehicles (UAV) showed great potential in improving the efficiency of parcel delivery applications in the coming smart cities era. Unfortunately, the trustworthy positioning and control algorithms of the UAV are significantly challenged in complex urban areas. For example, the ubiquitous global navigation satellite system (GNSS) positioning can be degraded by the signal reflections from surrounding highrising buildings, leading to significantly increased positioning uncertainty. An additional challenge is introduced to the control algorithm due to the complex wind disturbances in urban canyons. Given the fact that the system positioning and control are highly correlated with each other, for example, the system dynamics of the control can largely help with the positioning, this paper proposed a joint positioning and control method (JPCM) based on factor graph optimization (FGO), which combines sensors' measurements and control intention. In particular, the positioning measurements are formulated as the factors in the factor graph model, such as the positioning from the GNSS. The model predictive control (MPC) is also formulated as the additional factors in the factor graph model. By solving the factor graph contributed by both the positioning factor and the MPC-based factors, the complementariness of positioning and control can be fully explored. To guarantee reliable system dynamic parameters, we validate the effectiveness of the proposed method using a simulated quadrotor system which showed significantly improved trajectory following performance. To benefit the research community, we open-source our code and make it available at https://github.com/ RoboticsPolyu/IPN_MPC.</t>
  </si>
  <si>
    <t>[Yang, Peiwen; Wen, Weisong] Hong Kong Polytech Univ, Dept Aeronaut &amp; Aviat Engn, Hong Kong, Peoples R China</t>
  </si>
  <si>
    <t>Hong Kong Polytechnic University</t>
  </si>
  <si>
    <t>Wen, WS (corresponding author), Hong Kong Polytech Univ, Dept Aeronaut &amp; Aviat Engn, Hong Kong, Peoples R China.</t>
  </si>
  <si>
    <t>welson.wen@polyu.edu.hk</t>
  </si>
  <si>
    <t>Guangdong Basic and Applied Basic Research Foundation [2021A1515110771]; University Grants Committee of Hong Kong under the scheme Research Impact Fund [R5009-21]; Faculty of Engineering, The Hong Kong Polytechnic University</t>
  </si>
  <si>
    <t>Guangdong Basic and Applied Basic Research Foundation; University Grants Committee of Hong Kong under the scheme Research Impact Fund; Faculty of Engineering, The Hong Kong Polytechnic University(Hong Kong Polytechnic University)</t>
  </si>
  <si>
    <t>This work was supported by funded by the Guangdong Basic and Applied Basic Research Foundation (2021A1515110771) and University Grants Committee of Hong Kong under the scheme Research Impact Fund (R5009-21). This research was also supported by the Faculty of Engineering, The Hong Kong Polytechnic University under the project Perceptionbased GNSS PPP-RTK/LVINS integrated navigation system for unmanned autonomous systems operating in urban canyons.</t>
  </si>
  <si>
    <t>2153-0009</t>
  </si>
  <si>
    <t>979-8-3503-9946-2</t>
  </si>
  <si>
    <t>IEEE INT C INTELL TR</t>
  </si>
  <si>
    <t>10.1109/ITSC57777.2023.10422537</t>
  </si>
  <si>
    <t>Automation &amp; Control Systems; Computer Science, Artificial Intelligence; Transportation Science &amp; Technology</t>
  </si>
  <si>
    <t>Automation &amp; Control Systems; Computer Science; Transportation</t>
  </si>
  <si>
    <t>BW6MU</t>
  </si>
  <si>
    <t>WOS:001178996703094</t>
  </si>
  <si>
    <t>Almasoud, AS; Alshahrani, HJ; Hassan, AQA; Almalki, NS; Motwakel, A</t>
  </si>
  <si>
    <t>Almasoud, Ahmed S.; Alshahrani, Hala J.; Hassan, Abdulkhaleq Q. A.; Almalki, Nabil Sharaf; Motwakel, Abdelwahed</t>
  </si>
  <si>
    <t>Modified Aquila Optimizer with Stacked Deep Learning-Based Sentiment Analysis of COVID-19 Tweets</t>
  </si>
  <si>
    <t>ELECTRONICS</t>
  </si>
  <si>
    <t>artificial intelligence; COVID-19; emotions; Twitter data; sentiment analysis</t>
  </si>
  <si>
    <t>CLASSIFICATION</t>
  </si>
  <si>
    <t>In recent times, global cities have been transforming from traditional cities to sustainable smart cities. In text sentiment analysis (SA), many people face critical issues namely urban traffic management, urban living quality, urban information security, urban energy usage, urban safety, etc. Artificial intelligence (AI)-based applications play important roles in dealing with these crucial challenges in text SA. In such scenarios, the classification of COVID-19-related tweets for text SA includes using natural language processing (NLP) and machine learning methodologies to classify tweet datasets based on their content. This assists in disseminating relevant information, understanding public sentiment, and promoting sustainable practices in urban areas during this pandemic. This article introduces a modified aquila optimizer with a stacked deep learning-based COVID-19 tweet Classification (MAOSDL-TC) technique for text SA. The presented MAOSDL-TC technique incorporates FastText, an effective and powerful text representation approach used for the generation of word embeddings. Furthermore, the MAOSDL-TC technique utilizes an attention-based stacked bidirectional long short-term memory (ASBiLSTM) model for the classification of sentiments that exist in tweets. To improve the detection results of the ASBiLSTM model, the MAO algorithm is applied for the hyperparameter tuning process. The presented MAOSDL-TC technique is validated on the benchmark tweets dataset. The experimental outcomes implied the promising results of the MAOSDL-TC technique compared to recent models in terms of different measures. This MAOSDL-TC technique improves accuracy and interpretability of sentiment prediction.</t>
  </si>
  <si>
    <t>[Almasoud, Ahmed S.] Prince Sultan Univ, Coll Comp &amp; Informat Sci, Dept Informat Syst, Riyadh 12435, Saudi Arabia; [Alshahrani, Hala J.] Princess Nourah bint Abdulrahman Univ, Coll Languages, Dept Appl Linguist, POB 84428, Riyadh 11671, Saudi Arabia; [Hassan, Abdulkhaleq Q. A.] King Khalid Univ, Coll Sci &amp; Arts Mahayil, Dept English &amp; Appl Linguist, Abha 62529, Saudi Arabia; [Almalki, Nabil Sharaf] King Saud Univ, Coll Educ, Dept Special Educ, Riyadh 12372, Saudi Arabia; [Motwakel, Abdelwahed] Prince Sattam bin Abdulaziz Univ, Coll Business Adm Hawtat Bani Tamim, Dept Management Informat Syst, Al Kharj 16278, Saudi Arabia</t>
  </si>
  <si>
    <t>Prince Sultan University; Princess Nourah bint Abdulrahman University; King Khalid University; King Saud University; Prince Sattam Bin Abdulaziz University</t>
  </si>
  <si>
    <t>Motwakel, A (corresponding author), Prince Sattam bin Abdulaziz Univ, Coll Business Adm Hawtat Bani Tamim, Dept Management Informat Syst, Al Kharj 16278, Saudi Arabia.</t>
  </si>
  <si>
    <t>almasoud@psu.edu.sa; abqaseem@kku.edu.sa; am.ismaeil@psau.edu.sa</t>
  </si>
  <si>
    <t>Hassan, Abdulkhaleq/HCH-6068-2022; Almasoud, Ahmed/ABH-4954-2020; Motwakel, Dr. Abdelwahed/AFM-6103-2022; Almalki, Prof. Nabil/GYU-6034-2022; Motwakel, Abdelwahed/AFM-6103-2022; Alshahrani, Hala/HSF-4878-2023</t>
  </si>
  <si>
    <t>Motwakel, Abdelwahed/0000-0003-4084-5457; Motwakel, Abdelwahed/0009-0006-1072-9884; Hassan, Abdulkhaleq/0000-0002-2653-5826; Almasoud, Ahmed/0000-0002-5026-7227</t>
  </si>
  <si>
    <t>Deanship of Scientific Research at King Khalid University [RGP2/185/44]; Princess Nourah bint Abdulrahman University Researchers Supporting Project, Princess Nourah bint Abdulrahman University, Riyadh, Saudi Arabia [PNURSP2022R281]; Research Supporting Project, King Saud University, Riyadh, Saudi Arabia [RSPD2023R521]; Prince Sattam bin Abdulaziz University [PSAU/2023/R/1444]; Future University in Egypt (FUE)</t>
  </si>
  <si>
    <t>Deanship of Scientific Research at King Khalid University(King Khalid UniversityKing Saud University); Princess Nourah bint Abdulrahman University Researchers Supporting Project, Princess Nourah bint Abdulrahman University, Riyadh, Saudi Arabia; Research Supporting Project, King Saud University, Riyadh, Saudi Arabia; Prince Sattam bin Abdulaziz University(Prince Sattam Bin Abdulaziz University); Future University in Egypt (FUE)(Egyptian Knowledge Bank (EKB))</t>
  </si>
  <si>
    <t>The authors extend their appreciation to the Deanship of Scientific Research at King Khalid University for funding this work through large group Research Project under grant number (RGP2/185/44). Princess Nourah bint Abdulrahman University Researchers Supporting Project number (PNURSP2022R281), Princess Nourah bint Abdulrahman University, Riyadh, Saudi Arabia. Research Supporting Project number (RSPD2023R521), King Saud University, Riyadh, Saudi Arabia. This study is supported via funding from Prince Sattam bin Abdulaziz University project number(PSAU/2023/R/1444). This study is partially funded by the Future University in Egypt (FUE).</t>
  </si>
  <si>
    <t>2079-9292</t>
  </si>
  <si>
    <t>ELECTRONICS-SWITZ</t>
  </si>
  <si>
    <t>Electronics</t>
  </si>
  <si>
    <t>10.3390/electronics12194125</t>
  </si>
  <si>
    <t>Computer Science, Information Systems; Engineering, Electrical &amp; Electronic; Physics, Applied</t>
  </si>
  <si>
    <t>Computer Science; Engineering; Physics</t>
  </si>
  <si>
    <t>U2FK8</t>
  </si>
  <si>
    <t>WOS:001083012700001</t>
  </si>
  <si>
    <t>Cuc, LD; Rad, D; Manate, D; Szentesi, SG; Dicu, A; Pantea, MF; Trifan, VA; Joldes, CSR; Bâtca-Dumitru, GC</t>
  </si>
  <si>
    <t>Cuc, Lavinia Denisia; Rad, Dana; Manate, Daniel; Szentesi, Silviu Gabriel; Dicu, Anca; Pantea, Mioara Florina; Trifan, Vanina Adoriana; Joldes, Cosmin Silviu Raul; Batca-Dumitru, Graziella Corina</t>
  </si>
  <si>
    <t>Representations of the Smart Green Concept and the Intention to Implement IoT in Romanian Real Estate Development</t>
  </si>
  <si>
    <t>sustainability; green building knowledge; operating cost factors; IoT implementation intentions; real estate developers; mediation analysis</t>
  </si>
  <si>
    <t>BARRIERS; CONSTRUCTION; BUILDINGS; TECHNOLOGIES; MANAGEMENT; ADOPTION; KNOWLEDGE; INTERNET; DRIVERS; THINGS</t>
  </si>
  <si>
    <t>Sustainable urban development has come to play an essential role in establishing and growing future sustainable cities, or smart cities, which are urban areas that have an optimum carbon footprint, are nature-friendly, and are smart enough to enhance energy efficiency. This study is based on qualitative research in which data were collected from interviews with real estate development specialists. The interviews were addressed to a total of 30 real estate developers from Romania between July and December 2022 and were conducted using the Zoom interface. The aim of this research was to analyze whether familiarity with the smart green concept influences the decision to implement the IoT on a large scale at the organizational level through the perception of specific determining factors in choosing the development of green building projects considering the operational costs. The results revealed a significant indirect effect of green building knowledge on large-scale IoT implementation through the mediator of the perception of operating cost factors, supporting our hypothesis. The direct effect in the presence of the mediator was not found to be significant anymore. Hence, there is full complementary mediation by the perception of operating cost factors on the relationship between green building knowledge and large-scale IoT implementation.</t>
  </si>
  <si>
    <t>[Cuc, Lavinia Denisia; Manate, Daniel; Szentesi, Silviu Gabriel; Pantea, Mioara Florina; Trifan, Vanina Adoriana] Aurel Vlaicu Univ Arad, Fac Econ, Arad 310025, Romania; [Rad, Dana] Aurel Vlaicu Univ Arad, Fac Educ Sci Psychol &amp; Social Sci, Arad 310025, Romania; [Dicu, Anca] Aurel Vlaicu Univ Arad, Fac Food Engn, Arad 310025, Romania; [Joldes, Cosmin Silviu Raul] Bucharest Univ Econ Studies, Fac Int Business &amp; Econ, Bucharest 010374, Romania; [Batca-Dumitru, Graziella Corina] Bucharest Univ Econ Studies, Fac Accounting &amp; Management Informat, Dept Accounting &amp; Audit, Bucharest 010374, Romania</t>
  </si>
  <si>
    <t>Aurel Vlaicu University of Arad; Aurel Vlaicu University of Arad; Aurel Vlaicu University of Arad; Bucharest University of Economic Studies; Bucharest University of Economic Studies</t>
  </si>
  <si>
    <t>Manate, D (corresponding author), Aurel Vlaicu Univ Arad, Fac Econ, Arad 310025, Romania.;Rad, D (corresponding author), Aurel Vlaicu Univ Arad, Fac Educ Sci Psychol &amp; Social Sci, Arad 310025, Romania.</t>
  </si>
  <si>
    <t>lavinia.cuc@uav.ro; dana.rad@uav.ro; daniel.manate@uav.ro; silviu.szentesi@uav.ro; anca.dicu@uav.ro; mioara.pantea@uav.ro; vanina.trifan@uav.ro; cosmin@cosminjoldes.ro; corina.dumitru@cig.ase.ro</t>
  </si>
  <si>
    <t>Rad, Dana/A-9272-2010; JOLDES, COSMIN SILVIU RAUL/HNQ-7467-2023; SZENTESI, Silviu Gabriel/A-7943-2011; Pantea, Mioara/AGW-8807-2022; Cuc, Lavinia Denisia/AAI-6979-2021; dicu, anca/H-2942-2016; Pantea, Mioara Florina/IQV-6019-2023; Trifan, Vanina Adoriana/JCE-6400-2023; Manate, Daniel/B-9254-2013</t>
  </si>
  <si>
    <t>Bâtcă Dumitru, Graziella Corina/0000-0003-0976-0463; Rad, Dana/0000-0001-6754-3585; JOLDES, Cosmin Silviu Raul/0000-0003-3937-3667; Cuc, Lavinia Denisia/0000-0002-6416-259X; Pantea, Mioara Florina/0000-0003-2557-285X; Trifan, Vanina Adoriana/0000-0001-9835-5982; Szentesi, Silviu Gabriel/0000-0001-7254-040X; Manate, Daniel/0000-0001-7548-1388</t>
  </si>
  <si>
    <t>MAY 9</t>
  </si>
  <si>
    <t>10.3390/su15107777</t>
  </si>
  <si>
    <t>H8CC1</t>
  </si>
  <si>
    <t>WOS:000998166900001</t>
  </si>
  <si>
    <t>Che, DF; Su, M; Ma, BD; Chen, F; Liu, YN; Wang, D; Sun, YE</t>
  </si>
  <si>
    <t>Che, Defu; Su, Min; Ma, Baodong; Chen, Feng; Liu, Yining; Wang, Duo; Sun, Yanen</t>
  </si>
  <si>
    <t>A Three-Dimensional Triangle Mesh Integration Method for Oblique Photography Model Data</t>
  </si>
  <si>
    <t>BUILDINGS</t>
  </si>
  <si>
    <t>oblique photography data; 3D model; data integration; triangle mesh cutting; 3D reconstruction</t>
  </si>
  <si>
    <t>Oblique photography 3D models are increasingly used in 3D modeling and visualization, urban planning and design, smart cities, smart mines, and other fields. To ensure that 3D models can be replaced and updated, it is necessary to deal with the model holes and incomplete areas caused by the incorrect matching of feature points in the modeling process. Moreover, in 3D models of the planning and management of certain mining areas or urban areas to be developed, regions can also be delineated for replacements and updates. Due to the unsatisfactory display effect of the manually modeled models used to replace and update, the authenticity of the model texture and the detail characteristics of the model triangle meshes cannot be guaranteed during integration. Therefore, this paper proposes a 3D model triangle mesh integration method for oblique photography data which integrates the real and complete 3D models used for replacement with the incomplete part or the part of the original model that needs to be replaced. The experimental results show that this method can integrate the original terrain model and the replacement model efficiently and quickly, the integrated model has no gap, and the display effect is good, effectively achieving model repair or model update and replacement.</t>
  </si>
  <si>
    <t>[Che, Defu; Su, Min; Ma, Baodong; Chen, Feng; Liu, Yining] Northeastern Univ, Inst Geoinformat &amp; Digital Mine Res, Shenyang 110819, Peoples R China; [Che, Defu; Su, Min; Ma, Baodong; Chen, Feng; Liu, Yining] Northeastern Univ, Key Lab, Minist Educ Safe Min Deep Met Mines, Shenyang 110819, Peoples R China; [Wang, Duo] Shen Kan Engn &amp; Technol Corp, MCC, Shenyang 110100, Peoples R China; [Sun, Yanen] Feny Corp Ltd, Changsha 410600, Peoples R China</t>
  </si>
  <si>
    <t>Northeastern University - China; Northeastern University - China</t>
  </si>
  <si>
    <t>Che, DF (corresponding author), Northeastern Univ, Inst Geoinformat &amp; Digital Mine Res, Shenyang 110819, Peoples R China.;Che, DF (corresponding author), Northeastern Univ, Key Lab, Minist Educ Safe Min Deep Met Mines, Shenyang 110819, Peoples R China.</t>
  </si>
  <si>
    <t>chedefu@mail.neu.edu.cn</t>
  </si>
  <si>
    <t>ma, baodong/KBT-7810-2024</t>
  </si>
  <si>
    <t>National Natural Science Foundation of China [41871310]; Fundamental Research Funds for the Central Universities [N17241004, N2201007]</t>
  </si>
  <si>
    <t>National Natural Science Foundation of China(National Natural Science Foundation of China (NSFC)); Fundamental Research Funds for the Central Universities(Fundamental Research Funds for the Central Universities)</t>
  </si>
  <si>
    <t>This research was conducted with support from the National Natural Science Foundation of China (Grant No. 41871310), and the Fundamental Research Funds for the Central Universities(Grant Nos. N17241004 and N2201007).</t>
  </si>
  <si>
    <t>2075-5309</t>
  </si>
  <si>
    <t>BUILDINGS-BASEL</t>
  </si>
  <si>
    <t>10.3390/buildings13092266</t>
  </si>
  <si>
    <t>S8CW9</t>
  </si>
  <si>
    <t>WOS:001073402400001</t>
  </si>
  <si>
    <t>AlQahtani, AAS; Alamleh, H</t>
  </si>
  <si>
    <t>Paul, R</t>
  </si>
  <si>
    <t>AlQahtani, Ali Abdullah S.; Alamleh, Hosam</t>
  </si>
  <si>
    <t>Optimizing Smart Home Performance and User Convenience with RSSI-based Proximity Detection</t>
  </si>
  <si>
    <t>2023 IEEE 13TH ANNUAL COMPUTING AND COMMUNICATION WORKSHOP AND CONFERENCE, CCWC</t>
  </si>
  <si>
    <t>IEEE 13th Annual Computing and Communication Workshop and Conference (CCWC)</t>
  </si>
  <si>
    <t>MAR 08-11, 2023</t>
  </si>
  <si>
    <t>Smart home; Smarthome; Smart home Management Center; IoT; RSSI; BLE</t>
  </si>
  <si>
    <t>As the global population continues to urbanize, cities are becoming the main drivers of energy consumption and greenhouse gas emissions. By 2050, it is projected that 70% of the world's population will live in urban areas, placing a significant strain on current city systems and governance. To address this challenge, city planners and urban designers are turning to the concept of smart cities which utilize advanced technology to improve the lives of residents. One of the key elements of smart cities is the integration of smart homes, which are becoming increasingly popular as a means to improve energy efficiency and provide added value to users. This paper presents a novel approach for enhancing user convenience and improving the performance of smart home systems. The proposed system utilizes Received Signal Strength Indicator (RSSI) to establish proximity between devices and provides customized services based on proximity detection. The proposed algorithm addresses smart home systems in a more applicable manner by introducing self-calibration, which uses data already collected by devices in the system to locate devices in the home and build a smart home map for the smart home devices. Experiments conducted in this study demonstrate the feasibility of using RSSI to establish proximity between devices. Moreover, the results show that it is possible to differentiate between distances and establish proximity in terms of other devices.</t>
  </si>
  <si>
    <t>[AlQahtani, Ali Abdullah S.] North Carolina A&amp;T State Univ, Comp Syst Technol, Greensboro, NC 27405 USA; [Alamleh, Hosam] Univ North Carolina, Comp Sci, Wilmington, NC USA</t>
  </si>
  <si>
    <t>University of North Carolina; North Carolina A&amp;T State University; University of North Carolina; University of North Carolina Wilmington</t>
  </si>
  <si>
    <t>AlQahtani, AAS (corresponding author), North Carolina A&amp;T State Univ, Comp Syst Technol, Greensboro, NC 27405 USA.</t>
  </si>
  <si>
    <t>alqahtani.aasa@gmail.com; hosam.amleh@gmail.com</t>
  </si>
  <si>
    <t>Amleh, Hosam/0000-0003-3455-6616</t>
  </si>
  <si>
    <t>979-8-3503-3286-5</t>
  </si>
  <si>
    <t>10.1109/CCWC57344.2023.10099153</t>
  </si>
  <si>
    <t>Computer Science, Artificial Intelligence; Computer Science, Interdisciplinary Applications; Telecommunications</t>
  </si>
  <si>
    <t>BV1QP</t>
  </si>
  <si>
    <t>WOS:000995182600051</t>
  </si>
  <si>
    <t>Hriekova, O</t>
  </si>
  <si>
    <t>Arsenyeva, O; Romanova, T; Sukhonos, M; Tsegelnyk, Y</t>
  </si>
  <si>
    <t>Hriekova, Olesia</t>
  </si>
  <si>
    <t>Analysis of Urban Freight Distribution Management Methods on the Principles of Green Logistics</t>
  </si>
  <si>
    <t>SMART TECHNOLOGIES IN URBAN ENGINEERING, STUE-2022</t>
  </si>
  <si>
    <t>Lecture Notes in Networks and Systems</t>
  </si>
  <si>
    <t>International Conference on Smart Technologies in Urban Engineering (STUE)</t>
  </si>
  <si>
    <t>JUN 09-11, 2022</t>
  </si>
  <si>
    <t>Kharkiv, UKRAINE</t>
  </si>
  <si>
    <t>Green logistics; Vehicle Routing Problem; Ecologistics; Environment</t>
  </si>
  <si>
    <t>DELIVERY; VEHICLES; IMPACT</t>
  </si>
  <si>
    <t>Transport network of the city is an important component and serves for distribution of different goods. The effective and sustainable solution of the distribution of goods in urban areas follows the concepts of City logistics. It is aimed at fast and reliable transportation of goods in terms of effective and ecological standards of distributions. Therefore, the researchers are looking for different approaches that allow for fast and reliable logistics operations carried out by vehicles and waste disposal services. The wide application of environmentally friendly vehicles in urban logistics can help to mitigate such problems as environmental pollution, global warming, etc. To shed light on the introduction of environmentally friendly vehicles in urban logistics, the article conducted a systematic review of the empty list literature on this topic.</t>
  </si>
  <si>
    <t>[Hriekova, Olesia] OM Beketov Natl Univ Urban Econ Kharkiv, 17 Marshala Bazhanova St, UA-61002 Kharkiv, Ukraine</t>
  </si>
  <si>
    <t>Ministry of Education &amp; Science of Ukraine; O.M. Beketov National University of Urban Economy in Kharkiv</t>
  </si>
  <si>
    <t>Hriekova, O (corresponding author), OM Beketov Natl Univ Urban Econ Kharkiv, 17 Marshala Bazhanova St, UA-61002 Kharkiv, Ukraine.</t>
  </si>
  <si>
    <t>olesia.hriekova@kname.edu.ua</t>
  </si>
  <si>
    <t>; Hriekova, Olesia/GYU-0302-2022</t>
  </si>
  <si>
    <t>Hriekova, Olesia/0000-0002-2088-6828;</t>
  </si>
  <si>
    <t>2367-3370</t>
  </si>
  <si>
    <t>2367-3389</t>
  </si>
  <si>
    <t>978-3-031-20140-0; 978-3-031-20141-7</t>
  </si>
  <si>
    <t>LECT NOTE NETW SYST</t>
  </si>
  <si>
    <t>10.1007/978-3-031-20141-7_73</t>
  </si>
  <si>
    <t>Green &amp; Sustainable Science &amp; Technology; Engineering, Civil</t>
  </si>
  <si>
    <t>Science &amp; Technology - Other Topics; Engineering</t>
  </si>
  <si>
    <t>BU5ZU</t>
  </si>
  <si>
    <t>WOS:000921206500067</t>
  </si>
  <si>
    <t>Raman, R; Datta, U</t>
  </si>
  <si>
    <t>Jain, K; Mishra, V; Pradhan, B</t>
  </si>
  <si>
    <t>Raman, Rewati; Datta, Ushnata</t>
  </si>
  <si>
    <t>The Role of 'Unmanned Aerial Vehicles' in Smart City Planning and Management</t>
  </si>
  <si>
    <t>PROCEEDINGS OF UASG 2021: WINGS 4 SUSTAINABILITY</t>
  </si>
  <si>
    <t>Lecture Notes in Civil Engineering</t>
  </si>
  <si>
    <t>2nd International Conference on Unmanned Aerial Systems in Geomatics (UASG)</t>
  </si>
  <si>
    <t>APR 02-04, 2021</t>
  </si>
  <si>
    <t>Roorkee, INDIA</t>
  </si>
  <si>
    <t>Information and communication technologies; Smart city management; Smart city planning; Unmanned aerial vehicles</t>
  </si>
  <si>
    <t>UAV; INTERNET; IOT; THINGS; COMMUNICATION; ARCHITECTURE; ENVIRONMENT; CHALLENGES; PRIVACY; SCHEME</t>
  </si>
  <si>
    <t>A massive wave of urbanisation has grasped both developed and developing nations in the last decade. Various studies showcase the rising trend of rapid urbanisation growth due to demographic shifts, catalysed by numerous global and local parameters. India is professed to house 50 percent of its population in urban areas by 2030. The urban citizen's rising expectations regarding infrastructure, amenities and safety will dovetail with this phenomenon. To cater to the demands of increased urbanisation, the concept of Smart cities is being advocated as an apt solution. Even so, there is widespread ambiguity about the challenges associated with adopting smart solutions into the existing urban social form. Though there have been many tentative explanations regarding the basic framework of a smart city, there are no known validated definitions. The main notable feature is the use of information and communication technologies (ICTs) within the cyclic dynamics of a city to facilitate the smooth and cost-effective working of urban areas. This ICT infrastructure enables real-time data collection, analysis, response, and storage. This has been deemed beneficial due to the increase in efficiency of operation and management services involved with the day-to-day functioning of any urban area. Smart cities advocate using information and communication technologies (ICTs) within the dynamics of a city to enable the real-time collection, analysis, and storage of big data. This is beneficial due to the increased efficiency of operation and management services involved with an urban area's daily functioning. One such technological intervention is the 'drone' or the 'unmanned aerial vehicles (UAVs)'. UAVs have a wide variety of uses in a smart urban fabric, from geospatial integration to traffic management, surveillance, disaster response, etc. In the current nascent stage of research and development of UAVs as one of the innovative solutions for smart cities in India, questions arise regarding privacy, cost of production, technical knowledge, safety and security with their large-scale use. This paper aims to assess the applicability of UAVs in overall smart city planning and management. The feasibility analysis method is adopted to analyse the felicitousness of UAVs in a smart city's planning and design phases. The results of the study undertaken in this paper highlight the challenges and opportunities in the planning and management of smart cities by integrating UAVs. The paper enumerates the relevance and appropriate benefits of using UAVs to plan, design, and perpetuate Indian smart cities.</t>
  </si>
  <si>
    <t>[Raman, Rewati] Indian Inst Technol BHU Varanasi, Dept Architecture Planning &amp; Design, Varanasi, Uttar Pradesh, India; [Datta, Ushnata] Indian Inst Technol Roorkee, Dept Architecture &amp; Planning, Roorkee, Uttar Pradesh, India</t>
  </si>
  <si>
    <t>Indian Institute of Technology System (IIT System); Indian Institute of Technology BHU Varanasi (IIT BHU Varanasi); Indian Institute of Technology System (IIT System); Indian Institute of Technology (IIT) - Roorkee</t>
  </si>
  <si>
    <t>Raman, R (corresponding author), Indian Inst Technol BHU Varanasi, Dept Architecture Planning &amp; Design, Varanasi, Uttar Pradesh, India.</t>
  </si>
  <si>
    <t>rraman.apd@iitbhu.ac.in; udatta@ar.iitr.ac.in</t>
  </si>
  <si>
    <t>; DATTA, USHNATA/ACH-9423-2022; Raman, Rewati/AAE-2995-2020</t>
  </si>
  <si>
    <t>Raman, Rewati/0000-0003-3969-2086; Datta, Ushnata/0000-0003-2438-0100;</t>
  </si>
  <si>
    <t>2366-2557</t>
  </si>
  <si>
    <t>2366-2565</t>
  </si>
  <si>
    <t>978-3-031-19311-8; 978-3-031-19309-5; 978-3-031-19308-8</t>
  </si>
  <si>
    <t>LECT NOTES CIVIL ENG</t>
  </si>
  <si>
    <t>10.1007/978-3-031-19309-5_8</t>
  </si>
  <si>
    <t>Engineering, Aerospace; Green &amp; Sustainable Science &amp; Technology; Geography, Physical</t>
  </si>
  <si>
    <t>Engineering; Science &amp; Technology - Other Topics; Physical Geography</t>
  </si>
  <si>
    <t>BV2CY</t>
  </si>
  <si>
    <t>WOS:001003469100008</t>
  </si>
  <si>
    <t>Potsiou, C; Doulamis, N; Bakalos, N; Gkeli, M; Ioannidis, C; Markouizou, S</t>
  </si>
  <si>
    <t>Potsiou, Chryssy; Doulamis, Nikolaos; Bakalos, Nikolaos; Gkeli, Maria; Ioannidis, Charalabos; Markouizou, Selena</t>
  </si>
  <si>
    <t>A Prototype Machine Learning Tool Aiming to Support 3D Crowdsourced Cadastral Surveying of Self-Made Cities</t>
  </si>
  <si>
    <t>LAND</t>
  </si>
  <si>
    <t>3D Cadastre; crowdsourcing; 3D mapping; machine learning; indoor localization; informal development</t>
  </si>
  <si>
    <t>Land administration and management systems (LAMSs) have already made progress in the field of 3D Cadastre and the visualization of complex urban properties to support property markets and provide geospatial information for the sustainable management of smart cities. However, in less developed economies, with informally developed urban areas-the so-called self-made cities-the 2D LAMSs are left behind. Usually, they are less effective and mainly incomplete since a large number of informal constructions remain unregistered. This paper presents the latest results of an innovative on-going research aiming to structure, test and propose a low-cost but reliable enough methodology to support the simultaneous and fast implementation of both 2D land parcel and 3D property unit registration of informal, multi-story and unregistered constructions. An Indoor Positioning System (IPS) built upon low-cost Bluetooth technology combined with an innovative machine learning algorithm and connected with a 3D LADM-based cadastral mapping mobile application are the two key components of the technical solution under investigation. The proposed solution is tested for the first floor of a multi-room office building. The main conclusions concern the potential, usability and reliability of the method.</t>
  </si>
  <si>
    <t>[Potsiou, Chryssy; Doulamis, Nikolaos; Bakalos, Nikolaos; Gkeli, Maria; Ioannidis, Charalabos; Markouizou, Selena] Natl Tech Univ Athens, Sch Rural &amp; Surveying Engn, Lab Photogrammetry, Athens 15780, Greece</t>
  </si>
  <si>
    <t>Gkeli, M (corresponding author), Natl Tech Univ Athens, Sch Rural &amp; Surveying Engn, Lab Photogrammetry, Athens 15780, Greece.</t>
  </si>
  <si>
    <t>gkelimaria@mail.ntua.gr</t>
  </si>
  <si>
    <t>Potsiou, Chryssy/AAO-9709-2021; Doulamis, Anastasios/AAL-5972-2021; Ioannidis, Charalabos/AAF-1979-2019</t>
  </si>
  <si>
    <t>European Union [872931]; Marie Curie Actions (MSCA) [872931] Funding Source: Marie Curie Actions (MSCA)</t>
  </si>
  <si>
    <t>European Union(European Union (EU)); Marie Curie Actions (MSCA)(Marie Curie Actions)</t>
  </si>
  <si>
    <t>This paper has received funding from the European Union's Horizon 2020 research and innovation program under the Marie Sklodowska-Curie grant agreement No 872931, YADES Improved Resilience and Sustainable Reconstruction of Cultural Heritage Areas to cope with Climate Change and Other Hazards based on Innovative Algorithms and Modelling Tools.</t>
  </si>
  <si>
    <t>2073-445X</t>
  </si>
  <si>
    <t>LAND-BASEL</t>
  </si>
  <si>
    <t>Land</t>
  </si>
  <si>
    <t>10.3390/land12010008</t>
  </si>
  <si>
    <t>Environmental Studies</t>
  </si>
  <si>
    <t>8C4YW</t>
  </si>
  <si>
    <t>WOS:000917616600001</t>
  </si>
  <si>
    <t>Kumar, P; Pal, A; Hsieh, SH</t>
  </si>
  <si>
    <t>Skatulla, S; Beushausen, H</t>
  </si>
  <si>
    <t>Kumar, Pavan; Pal, Aritra; Hsieh, Shang-Hsien</t>
  </si>
  <si>
    <t>A Review of Smart City Maturity Assessment Models</t>
  </si>
  <si>
    <t>ADVANCES IN INFORMATION TECHNOLOGY IN CIVIL AND BUILDING ENGINEERING, ICCCBE 2022, VOL 2</t>
  </si>
  <si>
    <t>19th International Conference on Computing in Civil and Building Engineering-ICCCBE</t>
  </si>
  <si>
    <t>OCT 26-28, 2022</t>
  </si>
  <si>
    <t>Cape Town, SOUTH AFRICA</t>
  </si>
  <si>
    <t>Smart city; maturity models; maturity frameworks; assessment methods</t>
  </si>
  <si>
    <t>The urban population is expected to increase from 56.61% (2021) to 68% (2050), hinting at an enormous population inflow in urban areas across the globe. As governments worldwide toward a sustainable way of life with sustainable development goals (SDG), today's urban areas encounter challenges such as pollution, overcrowding, housing, traffic, and poor infrastructure. Smart Cities intends to identify an intelligent and efficient way of facing these challenges and reducing the complexity of challenges in urban areas. Although the implementation of Smart-cities worldwide is increasing with the support of policies, smart cities tend to mature in multiple directions at their own pace at different levels, attributed to the uniqueness of the cities in a particular geographical area. Consequently, tracking a trail of the smart city's holistic maturity advancement becomes crucial. Therefore, this paper reviews the existing smart-city maturity assessment models and proposes an outlook of a well-defined holistic smart-city maturity assessment model, which is expected to aid the implementation and efficient management of smart cities across the world.</t>
  </si>
  <si>
    <t>[Kumar, Pavan; Pal, Aritra; Hsieh, Shang-Hsien] Natl Taiwan Univ, Dept Civil Engn, Taipei, Taiwan</t>
  </si>
  <si>
    <t>National Taiwan University</t>
  </si>
  <si>
    <t>Kumar, P (corresponding author), Natl Taiwan Univ, Dept Civil Engn, Taipei, Taiwan.</t>
  </si>
  <si>
    <t>d10521028@ntu.edu.tw</t>
  </si>
  <si>
    <t>Hsieh, Shang-Hsien/B-5484-2009</t>
  </si>
  <si>
    <t>National Science Technology Council, Taiwan [MOST 111-2923-E-002-010-MY3, MOST 111-2621-M-002-008]</t>
  </si>
  <si>
    <t>National Science Technology Council, Taiwan</t>
  </si>
  <si>
    <t>This research has been supported by the National Science Technology Council, Taiwan with grants MOST 111-2923-E-002-010-MY3 and MOST 111-2621-M-002-008 .</t>
  </si>
  <si>
    <t>978-3-031-32517-5; 978-3-031-32515-1; 978-3-031-32514-4</t>
  </si>
  <si>
    <t>10.1007/978-3-031-32515-1_8</t>
  </si>
  <si>
    <t>BY8VN</t>
  </si>
  <si>
    <t>WOS:001505511300008</t>
  </si>
  <si>
    <t>Mahrez, Z; Sabir, E; Badidi, E; Saad, W; Sadik, M</t>
  </si>
  <si>
    <t>Mahrez, Zineb; Sabir, Essaid; Badidi, Elarbi; Saad, Walid; Sadik, Mohamed</t>
  </si>
  <si>
    <t>Smart Urban Mobility: When Mobility Systems Meet Smart Data</t>
  </si>
  <si>
    <t>Artificial intelligence; autonomous vehicles; connected vehicles; electric mobility; intelligent transportation systems; Internet of Things; open data; routing vehicle; smart mobility</t>
  </si>
  <si>
    <t>MANAGEMENT; INFORMATION; PREDICTION; TRANSPORT; ACCURACY; NETWORKS; INTERNET</t>
  </si>
  <si>
    <t>Cities around the world are expanding dramatically, with urban population growth reaching nearly 2.5 billion people in urban areas and road traffic growth exceeding 1.2 billion cars by 2050. The economic contribution of the transport sector represents 5% of the GDP in Europe and casts an average of US $482.05 billion in the United States. These figures indicate the rapid rise of industrial cities and the urgent need to move from traditional cities to smart cities. This article provides a survey of different approaches and technologies such as intelligent transportation systems (ITS) that leverage communication technologies to help maintain road users safe while driving, as well as support autonomous mobility through the optimization of control systems. The role of ITS is strengthened when combined with accurate artificial intelligence models that are built to optimize urban planning, analyze crowd behavior and predict traffic conditions. AI-driven ITS is becoming possible thanks to the existence of a large volume of mobility data generated by billions of users through their use of new technologies and online social media. The optimization of urban planning enhances vehicle routing capabilities and solves traffic congestion problems, as discussed in this paper. From an ecological perspective, we discuss the measures and incentives provided to foster the use of mobility systems. We also underline the role of the political will in promoting open data in the transport sector, considered as an essential ingredient for developing technological solutions necessary for cities to become healthier and more sustainable.</t>
  </si>
  <si>
    <t>[Mahrez, Zineb; Sabir, Essaid; Sadik, Mohamed] Hassan II Univ Casablanca, ENSEM, NEST Res Grp, Casablanca 20000, Morocco; [Sabir, Essaid] Univ Quebec Montreal UQAM, Dept Comp Sci, Montreal, PQ H2L 2C4, Canada; [Badidi, Elarbi] UAE Univ, Coll Informat Technol, Al Ain 15551, U Arab Emirates; [Saad, Walid] Wireless VT, Blacksburg, VA 24061 USA; [Saad, Walid] Virginia Tech, Dept Elect &amp; Comp Engn, Blacksburg, VA 24061 USA</t>
  </si>
  <si>
    <t>Hassan II University of Casablanca; University of Quebec; University of Quebec Montreal; United Arab Emirates University; Virginia Polytechnic Institute &amp; State University</t>
  </si>
  <si>
    <t>Sabir, E (corresponding author), Hassan II Univ Casablanca, ENSEM, NEST Res Grp, Casablanca 20000, Morocco.</t>
  </si>
  <si>
    <t>essaid.sabir@gmail.com</t>
  </si>
  <si>
    <t>Mohamed, Sadik/AFQ-1324-2022; Saad, Walid/C-7978-2018; Badidi, Elarbi/ISS-7621-2023; Sabir, Essaid/HZL-7607-2023; Sadik, Mohamed/AFQ-1324-2022</t>
  </si>
  <si>
    <t>Mohamed, Sadik/0000-0003-4918-9804; Saad, Walid/0000-0003-2247-2458; Sabir, Essaid/0000-0001-9946-5761; Mahrez, Zineb/0000-0002-3119-5168; Badidi, Elarbi/0000-0001-9121-8766</t>
  </si>
  <si>
    <t>Moroccan Ministry of Higher Education and Scientific Research through the Mobicity Project; National Centre for Scientific and Technical Research; U.S. National Science Foundation [CNS-2025377]</t>
  </si>
  <si>
    <t>Moroccan Ministry of Higher Education and Scientific Research through the Mobicity Project; National Centre for Scientific and Technical Research; U.S. National Science Foundation(National Science Foundation (NSF))</t>
  </si>
  <si>
    <t>This work was supported in part by the Moroccan Ministry of Higher Education and Scientific Research through the Mobicity Project and in part by the National Centre for Scientific and Technical Research. The work of Walid Saad was supported by the U.S. National Science Foundation under Grant CNS-2025377.</t>
  </si>
  <si>
    <t>10.1109/TITS.2021.3084907</t>
  </si>
  <si>
    <t>JUN 2021</t>
  </si>
  <si>
    <t>3R1QN</t>
  </si>
  <si>
    <t>WOS:000733527500001</t>
  </si>
  <si>
    <t>Ahmed, F; Massarotti, N; Mauro, A; Normino, G</t>
  </si>
  <si>
    <t>Ahmed, F.; Massarotti, N.; Mauro, A.; Normino, G.</t>
  </si>
  <si>
    <t>A novel Ground Source heat exchanger in an underground metro tunnel</t>
  </si>
  <si>
    <t>40TH UIT INTERNATIONAL HEAT TRANSFER CONFERENCE, UIT 2023</t>
  </si>
  <si>
    <t>Journal of Physics Conference Series</t>
  </si>
  <si>
    <t>40th UIT International Heat Transfer Conference</t>
  </si>
  <si>
    <t>JUN 26-28, 2023</t>
  </si>
  <si>
    <t>Assisi, ITALY</t>
  </si>
  <si>
    <t>Ground Source Heat Pump; Decarbonization; 3D numerical model; Sustainable; Cooling; Underground metro tunnel</t>
  </si>
  <si>
    <t>TEMPERATURE</t>
  </si>
  <si>
    <t>Using Ground Coupled Heat Pump ( GCHP) systems in urban areas can be particularly difficult due to space or legislative constraints, other than excessive costs due to drilling. To overcome these problems, the authors proposed to use Artificial Ground Freezing (AGF) probes, used for tunnel excavation, as Ground Heat Exchangers (GHE). It is a widespread practice to seal the probes in the tunnel after the completion. The conversion of existing AGF probes into GHE for GCHP allows us to avoid additional drilling costs, and other space or legislative constraints associated with the use of GCHP systems in urban areas. Such systems could be developed to use underground urban transportation tunnels for heating and cooling in smart cities. These systems were tested after the construction of two tunnels, as part of the GeoGRID project, in Piazza Municipio, Naples, Italy. The data obtained from the experimental setup have been analysed and used for validation of a finite element model developed by the authors to simulate heat transfer between the probes and the surrounding ground. A simplified pipe flow model was introduced, in combination with a 3D model of the ground, to reduce the complexity and computational effort to solve the discretized equations. The simulation results have been compared with experimental data, showing a good agreement, and observing differences in the range of 2 - 5 %. The model can therefore be used as a predictive tool for the development of this type of innovative heat exchanger.</t>
  </si>
  <si>
    <t>[Ahmed, F.; Massarotti, N.; Mauro, A.; Normino, G.] Univ Naples Parthenope, Dept Engn, Isola C4, I-80143 Naples, Italy</t>
  </si>
  <si>
    <t>Parthenope University Naples</t>
  </si>
  <si>
    <t>Ahmed, F (corresponding author), Univ Naples Parthenope, Dept Engn, Isola C4, I-80143 Naples, Italy.</t>
  </si>
  <si>
    <t>Fawad.ahmed001@studenti.uniparthenope.it</t>
  </si>
  <si>
    <t>ahmed, fawad/0000-0002-5156-2180</t>
  </si>
  <si>
    <t>GEODE (Geothermal energy for Decarbonization) [CUP B43D18000230007]; [REACT-EU CUP I65F21001390001]</t>
  </si>
  <si>
    <t>GEODE (Geothermal energy for Decarbonization);</t>
  </si>
  <si>
    <t>The authors acknowledge the funding for green thematic doctoral research program under the projects of GEOGRID reference number CUP B43D18000230007 and GEODE (Geothermal energy for Decarbonization) reference number REACT-EU CUP I65F21001390001.</t>
  </si>
  <si>
    <t>1742-6588</t>
  </si>
  <si>
    <t>1742-6596</t>
  </si>
  <si>
    <t>J PHYS CONF SER</t>
  </si>
  <si>
    <t>10.1088/1742-6596/2685/1/012037</t>
  </si>
  <si>
    <t>Thermodynamics</t>
  </si>
  <si>
    <t>BY4GK</t>
  </si>
  <si>
    <t>WOS:001441224500037</t>
  </si>
  <si>
    <t>Bangui, H; Buhnova, B</t>
  </si>
  <si>
    <t>Shakshuki, E; Yasar, A</t>
  </si>
  <si>
    <t>Bangui, Hind; Buhnova, Barbora</t>
  </si>
  <si>
    <t>Recent Advances in Machine-Learning Driven Intrusion Detection in Transportation: Survey</t>
  </si>
  <si>
    <t>12TH INTERNATIONAL CONFERENCE ON AMBIENT SYSTEMS, NETWORKS AND TECHNOLOGIES (ANT) / THE 4TH INTERNATIONAL CONFERENCE ON EMERGING DATA AND INDUSTRY 4.0 (EDI40) / AFFILIATED WORKSHOPS</t>
  </si>
  <si>
    <t>12th International Conference on Ambient Systems, Networks and Technologies (ANT) / 4th International Conference on Emerging Data and Industry 4.0 (EDI40)</t>
  </si>
  <si>
    <t>MAR 23-26, 2021</t>
  </si>
  <si>
    <t>Warsaw, POLAND</t>
  </si>
  <si>
    <t>Machine learning; VANET; UAV; Intrusion Detection Systems; Trust; Security</t>
  </si>
  <si>
    <t>AD HOC NETWORKS; DATA ANALYTICS; BIG DATA; SECURITY; SYSTEM; CHALLENGES; INTERNET; MODEL</t>
  </si>
  <si>
    <t>Rapid developments in Intelligent Transportation Systems (ITSs) have emerged as a new research field for building sustainable smart cities. VANET (vehicular ad hoc network) is one of the emergent transportation technologies that has a great impact on ensuring mainly traffic management and road safety in urban areas by efficiently using data sharing among vehicles. To further increase the security and safety of passengers and drivers, ITSs are continually striving to make the fusion of emergent network technologies to provide more reliable and efficient services. Relating VANET to UAV (unmanned aerial vehicle) is an example of this fusion, where UAVs act as an assistant to vehicles aiming to extend the network connectivity while efficiently avoiding obstacles (e.g., Buildings) and providing high data delivery ratios. However, VANET and UAV are still critical security subjects that must be addressed. Advanced Machine Learning (e.g., Deep Learning) techniques have recently been used to protect VANET and UAV communications against various cyber attacks that deteriorate the integrity, confidentiality, and availability of vehicular data. Thus, in this paper, we focus on reviewing related work on machine learning techniques for intrusion detection systems in VANET- and UAV-aided networks. We also highlight the main open research challenges in literature and provide hints for improving security in ITSs. (C) 2021 The Authors. Published by Elsevier B.V.</t>
  </si>
  <si>
    <t>[Bangui, Hind; Buhnova, Barbora] Masaryk Univ, Fac Informat, Brno 60200, Czech Republic</t>
  </si>
  <si>
    <t>Masaryk University</t>
  </si>
  <si>
    <t>Bangui, H (corresponding author), Masaryk Univ, Fac Informat, Brno 60200, Czech Republic.</t>
  </si>
  <si>
    <t>hind.bangui@mail.muni.cz</t>
  </si>
  <si>
    <t>; Bangui, Hind/ABF-6092-2021; Buhnova, Barbora/J-3364-2013</t>
  </si>
  <si>
    <t>Buhnova, Barbora/0000-0003-4205-101X; Bangui, Hind/0000-0003-2689-0382;</t>
  </si>
  <si>
    <t>ERDF/ESF CyberSecurity, CyberCrime and Critical Information Infrastructures Center of Excellence [CZ.02.1.01/0.0/0.0/16_019/0000822]</t>
  </si>
  <si>
    <t>ERDF/ESF CyberSecurity, CyberCrime and Critical Information Infrastructures Center of Excellence</t>
  </si>
  <si>
    <t>The work was supported from ERDF/ESF CyberSecurity, CyberCrime and Critical Information Infrastructures Center of Excellence (No. CZ.02.1.01/0.0/0.0/16_019/0000822).</t>
  </si>
  <si>
    <t>10.1016/j.procs.2021.04.014</t>
  </si>
  <si>
    <t>BR8RS</t>
  </si>
  <si>
    <t>WOS:000672800000117</t>
  </si>
  <si>
    <t>Castanho, MS; Ferreira, FAF; Carayannis, EG; Ferreira, JJM</t>
  </si>
  <si>
    <t>Castanho, Mariana S.; Ferreira, Fernando A. F.; Carayannis, Elias G.; Ferreira, Joao J. M.</t>
  </si>
  <si>
    <t>SMART-C: Developing a Smart City Assessment System Using Cognitive Mapping and the Choquet Integral</t>
  </si>
  <si>
    <t>IEEE TRANSACTIONS ON ENGINEERING MANAGEMENT</t>
  </si>
  <si>
    <t>Smart cities; Economics; Sustainable development; Sociology; Statistics; Business; Choquet integral (CI); cognitive mapping; smart cities; sustainability; sustainable development; multiple-criteria decision analysis (MCDA); SMART-C</t>
  </si>
  <si>
    <t>Rapid urbanization, high city population growth rates, technological development, environmental impacts, and human wellbeing in urban areas have over the years become increasingly challenging concerns. These trends are related to the complex, multiple factors to be considered when evaluating smart cities, that is, municipalities that seek to improve residents quality of life by combining new technologies and environmentally sustainable practices. The above tendencies thus add to the myriad of indicators that need to be included in smart city assessments, whose intricacy hinders related decision-making processes. Based on the principles of multiple-criteria decision analysis, this paper seeks to integrate cognitive mapping and the Choquet integral to develop an assessment system that facilitates the evaluation of smart cities, which was named SMART-C.The research includes a panel of experts on smart cities who identifies the evaluation criteria and their respective interactions. The results of a real-life application of the assessment system developed in this paper are validated both by the panel members and a representative of the Lisboa E-Nova nonprofit association of the Lisbon City Councils Environment and Energy Department. These experts confirm that the proposed evaluation system facilitates making distinctions between cities according to how fully they develop Smartness. The advantages and limitations of this assessment framework are also discussed.</t>
  </si>
  <si>
    <t>[Castanho, Mariana S.] Univ Inst Lisbon, ISCTE Business Sch, P-1649026 Lisbon, Portugal; [Ferreira, Fernando A. F.] Univ Inst Lisbon, BRU IUL, ISCTE Business Sch, P-1649026 Lisbon, Portugal; [Ferreira, Fernando A. F.] Univ Memphis, Fogelman Coll Business &amp; Econ, Memphis, TN 38152 USA; [Carayannis, Elias G.] George Washington Univ, Sch Business, Dept Informat Syst &amp; Technol Management, Washington, DC 20052 USA; [Ferreira, Joao J. M.] Univ Beira Interior, NECE Res Unit, P-6200209 Covilha, Portugal</t>
  </si>
  <si>
    <t>Instituto Universitario de Lisboa; Instituto Universitario de Lisboa; University of Memphis; George Washington University; Universidade da Beira Interior</t>
  </si>
  <si>
    <t>Ferreira, JJM (corresponding author), Univ Beira Interior, NECE Res Unit, P-6200209 Covilha, Portugal.</t>
  </si>
  <si>
    <t>mscoa1@iscte-iul.pt; fernando.alberto.ferreira@iscte.pt; caraye@gwu.edu; jjmf@ubi.pt</t>
  </si>
  <si>
    <t>Carayannis, Elias/AAV-2092-2020; CARAYANNIS, ELIAS/H-3075-2014; Ferreira, João/K-7669-2012; Ferreira, João/K-7669-2012</t>
  </si>
  <si>
    <t>CARAYANNIS, ELIAS/0000-0003-2348-4311; Ferreira, João/0000-0002-5928-2474; Ferreira, João/0000-0002-5928-2474</t>
  </si>
  <si>
    <t>0018-9391</t>
  </si>
  <si>
    <t>1558-0040</t>
  </si>
  <si>
    <t>IEEE T ENG MANAGE</t>
  </si>
  <si>
    <t>IEEE Trans. Eng. Manage.</t>
  </si>
  <si>
    <t>10.1109/TEM.2019.2909668</t>
  </si>
  <si>
    <t>Business; Engineering, Industrial; Management</t>
  </si>
  <si>
    <t>Business &amp; Economics; Engineering</t>
  </si>
  <si>
    <t>RB9RU</t>
  </si>
  <si>
    <t>WOS:000632443100019</t>
  </si>
  <si>
    <t>Lu, CW; Huang, JC; Chen, C; Shu, MH; Hsu, CW; Bapu, BRT</t>
  </si>
  <si>
    <t>Lu, Chun-Wei; Huang, Jui-Chan; Chen, Chen; Shu, Ming-Hung; Hsu, Chih-Wei; Bapu, B. R. Tapas</t>
  </si>
  <si>
    <t>An energy-efficient smart city for sustainable green tourism industry</t>
  </si>
  <si>
    <t>Sustainable green tourism industry strategies; Data-driven approach; Green Management Framework; Smart cities; Smart tourism; Energy-efficient</t>
  </si>
  <si>
    <t>CITIES; SECURE; IOT</t>
  </si>
  <si>
    <t>In recent times, Tourism and Travel are considered a flexible, dynamic, and ever-growing industry. The Smart Tourism Destinations concept arises from the advancement of smart cities. Since information technologies are considered a key competitive element of a city's destination, tourism companies invest extensively in smart system initiatives. Moreover, the smart city concept and related approaches are increasingly recognized by cities worldwide to optimize sustainable environments. Furthermore, a smart tourist city faces the challenge of creating urban areas that residents and tourists can experience together, particularly in cities that pose new tourism challenges. This paper proposes the Data-Driven Sustainable Smart City Framework (DDSSCF) for sustainable green tourism strategies and policies. This paper explores the aspects of technologies essential for creating a smart city and a fashionable tourism destination. The preservation of the climate, protected cultural heritage, and natural resources would contribute to an environment, the economic, social sustainable field of tourism by reducing hazardous pollutants and energy usage. Therefore, based on the preservation limit, it has been classified into three components includes-green architecture, green waste, and green energy as a part of the green management framework at the same time. Hence, green tourism, including marketing efforts, such as green marketing, are necessary for the vision of successful adequate green management activities. The experimental results show that the proposed method enhances efficiency ratio when compared to other existing methods.</t>
  </si>
  <si>
    <t>[Lu, Chun-Wei; Chen, Chen] Fuzhou Univ Int Studies &amp; Trade, Fuzhou, Fujian, Peoples R China; [Huang, Jui-Chan] Yango Univ, Fuzhou 350015, Peoples R China; [Shu, Ming-Hung; Hsu, Chih-Wei] Natl Kaohsiung Univ Sci &amp; Technol, Dept Ind Engn &amp; Management, Kaohsiung 80778, Taiwan; [Shu, Ming-Hung] Kaohsiung Med Univ, Dept Healthcare Adm &amp; Med Informat, Kaohsiung 80708, Taiwan; [Bapu, B. R. Tapas] SA Engn Coll, Dept Elect &amp; Commun Engn, Chennai, Tamil Nadu, India</t>
  </si>
  <si>
    <t>National Kaohsiung University of Science &amp; Technology; Kaohsiung Medical University; S.A. Engineering College</t>
  </si>
  <si>
    <t>Hsu, CW (corresponding author), Natl Kaohsiung Univ Sci &amp; Technol, Dept Ind Engn &amp; Management, Kaohsiung 80778, Taiwan.</t>
  </si>
  <si>
    <t>chunweilu@stust.edu.tw; wish0718@outlook.com; cool-16@163.com; workman@nkust.edu.tw; i108143102@sina.com; tapasbapusaec@gmail.com</t>
  </si>
  <si>
    <t>Shu, Ming-Hung/AAT-7702-2021; Bapu, B. R. Ramesh/J-7973-2019; Lu, Chun-yi/JXN-8290-2024; Huang, Yi-June/HWS-6510-2023; Hsu, Chih-Wei/ABI-1472-2020</t>
  </si>
  <si>
    <t>10.1016/j.seta.2021.101494</t>
  </si>
  <si>
    <t>JUL 2021</t>
  </si>
  <si>
    <t>XD0NF</t>
  </si>
  <si>
    <t>WOS:000722406900010</t>
  </si>
  <si>
    <t>Razmjoo, A; Nezhad, MM; Kaigutha, LG; Marzband, M; Mirjalili, S; Pazhoohesh, M; Memon, S; Ehyaei, MA; Piras, G</t>
  </si>
  <si>
    <t>Razmjoo, Armin; Nezhad, Meysam Majidi; Kaigutha, Lisa Gakenia; Marzband, Mousa; Mirjalili, Seyedali; Pazhoohesh, Mehdi; Memon, Saim; Ehyaei, Mehdi A.; Piras, Giuseppe</t>
  </si>
  <si>
    <t>Investigating Smart City Development Based on Green Buildings, Electrical Vehicles and Feasible Indicators</t>
  </si>
  <si>
    <t>smart cities; policy; green buildings; electric vehicles; indicators</t>
  </si>
  <si>
    <t>RENEWABLE ENERGY; POLICY-MAKING; CITIES; INTEGRATION; CHALLENGES; INNOVATION; INTERNET; MARKET; INITIATIVES; BLOCKCHAIN</t>
  </si>
  <si>
    <t>With a goal of achieving net-zero emissions by developing Smart Cities (SCs) and industrial decarbonization, there is a growing desire to decarbonize the renewable energy sector by accelerating green buildings (GBs) construction, electric vehicles (EVs), and ensuring long-term stability, with the expectation that emissions will need to be reduced by at least two thirds by 2035 and by at least 90% by 2050. Implementing GBs in urban areas and encouraging the use of EVs are cornerstones of transition towards SCs, and practical actions that governments can consider to help with improving the environment and develop SCs. This paper investigates different aspects of smart cities development and introduces new feasible indicators related to GBs and EVs in designing SCs, presenting existing barriers to smart cities development, and solutions to overcome them. The results demonstrate that feasible and achievable policies such as the development of the zero-energy, attention to design parameters, implementation of effective indicators for GBs and EVs, implementing strategies to reduce the cost of production of EVs whilst maintaining good quality standards, load management, and integrating EVs successfully into the electricity system, are important in smart cities development. Therefore, strategies to governments should consider the full dynamics and potential of socio-economic and climate change by implementing new energy policies on increasing investment in EVs, and GBs development by considering energy, energy, techno-economic, and environmental benefits.</t>
  </si>
  <si>
    <t>[Razmjoo, Armin] Univ Politecn Catalunya UPC, Escola Tecn Super dEngn Ind Barcelona ETSEIB, Av Diagonal 647, Barcelona 08028, Spain; [Nezhad, Meysam Majidi; Piras, Giuseppe] Sapienza Univ Rome, Dept Astronaut Elect &amp; Energy Engn DIAEE, I-00185 Rome, Italy; [Kaigutha, Lisa Gakenia; Marzband, Mousa] North Umbria Univ Newcastle, Fac Engn &amp; Environm, Dept Maths, Newcastle Upon Tyne NE1 8ST, Tyne &amp; Wear, England; [Marzband, Mousa] King Abdulaziz Univ, Ctr Res Excellence Renewable Energy &amp; Power Syst, Jeddah 21589, Saudi Arabia; [Mirjalili, Seyedali] Torrens Univ Australia, Ctr Artificial Intelligence Res &amp; Optimisat AIRO, Adelaide, SA 5000, Australia; [Mirjalili, Seyedali] Yonsei Univ, Yonsei Frontier Lab YFL, Seoul 03722, South Korea; [Pazhoohesh, Mehdi] De Montfort Univ, Sch Engn &amp; Sustainable Dev, Leicester LE1 9BH, Leics, England; [Memon, Saim] London South Bank Univ, London Ctr Energy Engn, Sch Engn, Solar Thermal Vacuum Engn Res Grp, 103 Borough Rd, London SE1 0AA, England; [Ehyaei, Mehdi A.] Islamic Azad Univ, Dept Mech Engn, Pardis Branch, Pardis New City 1468995513, Iran</t>
  </si>
  <si>
    <t>Universitat Politecnica de Catalunya; Sapienza University Rome; King Abdulaziz University; Torrens University Australia; Yonsei University; De Montfort University; London South Bank University; Islamic Azad University</t>
  </si>
  <si>
    <t>Razmjoo, A (corresponding author), Univ Politecn Catalunya UPC, Escola Tecn Super dEngn Ind Barcelona ETSEIB, Av Diagonal 647, Barcelona 08028, Spain.</t>
  </si>
  <si>
    <t>arminupc1983@gmail.com; Meysam.majidinezhad@uniroma1.it; gakenia.kaigutha@northumbria.ac.uk; mousa.marzband@northumbria.ac.uk; ali.mirjalili@gmail.com; mehdi.pazhoohesh@dmu.ac.uk; s.memon@lsbu.ac.uk; aliehyaei@yahoo.com; giuseppe.piras@uniroma1.it</t>
  </si>
  <si>
    <t>Marzband, Mousa/C-1686-2017; Memon, Saim/M-6599-2018; Mirjalili, Seyedali/P-1372-2018; Piras, Giuseppe/AAL-9812-2021; Pazhoohesh, Mehdi/ABG-2011-2020; Mirjalili, Seyedali/P-1372-2018; Memon, Saim/M-6599-2018; Razmjoo, Armin/ACN-0329-2022</t>
  </si>
  <si>
    <t>Marzband, Mousa/0000-0003-3482-609X; Pazhoohesh, Mehdi/0000-0001-7268-3355; Razmjoo, Armin/0000-0001-9415-4649; Memon, Saim/0000-0003-2598-8935; Mirjalili, Seyedali/0000-0002-1443-9458; Mirjalili, Seyedali/0000-0002-1443-9458; PIRAS, GIUSEPPE/0000-0002-2800-3962; Memon, Saim/0000-0003-2598-8935;</t>
  </si>
  <si>
    <t>10.3390/su13147808</t>
  </si>
  <si>
    <t>TO5TW</t>
  </si>
  <si>
    <t>WOS:000676974700001</t>
  </si>
  <si>
    <t>Smith, H; Medero, GM; De Narváez, SC; Mera, WC</t>
  </si>
  <si>
    <t>Smith, Harry; Medero, Gabriela M.; De Narvaez, Stephanie Crane; Mera, Wilmar Castro</t>
  </si>
  <si>
    <t>Exploring the relevance of 'smart city' approaches to low-income communities in Medellin, Colombia</t>
  </si>
  <si>
    <t>GEOJOURNAL</t>
  </si>
  <si>
    <t>Smart cities; Community data; Community management; Low-income; Global South</t>
  </si>
  <si>
    <t>CAPABILITY APPROACH; DIGITAL CITY; INITIATIVES</t>
  </si>
  <si>
    <t>Smart city approaches have tended to be top-down, techno-centric/corporate and expensive approaches which are promoted by large, global companies. Smart city narratives focus on their expected capacity to improve citizens' quality of life. However, can technology-driven and municipally-led smart city initiatives address the issues faced by poor and vulnerable communities in urban and peri-urban areas? This paper explores key aspects of the implementation of smart city approaches in the Global South taking as a case study the Colombian city of Medellin, which has been recognized internationally for its social innovation and is considered a smart city by the Inter-American Development Bank. The paper draws on a local, national and international literature review; interviews with key local stakeholders involved in smart city initiatives; and an international workshop on smart cities and community data management organized by the authors in Medellin and bringing together three perspectives: academia, government and community. The paper provides a reflection on the concept of smart city, data management and citizen participation in smart city initiatives in Medellin, contrasting each of these with the literature. Our research found gaps between broader conceptualisations and community-oriented intentions in smart city initiatives in Medellin, as well as very low uptake and reported impact of such initiatives. We conclude that a redefinition of smart city approaches that may respond to the needs of the population while improving liveability is still urgently needed, and we set out a series of questions for an international research agenda on low-income community-oriented smart city research.</t>
  </si>
  <si>
    <t>[Smith, Harry; Medero, Gabriela M.; De Narvaez, Stephanie Crane; Mera, Wilmar Castro] Heriot Watt Univ, Sch Energy Geosci Infrastruct &amp; Soc, Urban Inst, Edinburgh, Midlothian, Scotland</t>
  </si>
  <si>
    <t>Heriot Watt University</t>
  </si>
  <si>
    <t>Smith, H (corresponding author), Heriot Watt Univ, Sch Energy Geosci Infrastruct &amp; Soc, Urban Inst, Edinburgh, Midlothian, Scotland.</t>
  </si>
  <si>
    <t>H.C.Smith@hw.ac.uk</t>
  </si>
  <si>
    <t>Smith, Harry/0000-0003-0922-5575; Medero, Gabriela/0000-0002-6689-1702</t>
  </si>
  <si>
    <t>United Kingdom's Global Challenges Research Fund via the Scottish Funding Council</t>
  </si>
  <si>
    <t>This research was funded by the United Kingdom's Global Challenges Research Fund via the Scottish Funding Council.</t>
  </si>
  <si>
    <t>0343-2521</t>
  </si>
  <si>
    <t>1572-9893</t>
  </si>
  <si>
    <t>GeoJournal</t>
  </si>
  <si>
    <t>10.1007/s10708-022-10574-y</t>
  </si>
  <si>
    <t>JAN 2022</t>
  </si>
  <si>
    <t>A1FL3</t>
  </si>
  <si>
    <t>Green Submitted, hybrid</t>
  </si>
  <si>
    <t>WOS:000745776300001</t>
  </si>
  <si>
    <t>Alwan, AA; Ciupala, MA; Brimicombe, AJ; Ghorashi, SA; Baravalle, A; Falcarin, P</t>
  </si>
  <si>
    <t>Alwan, Ahmed Abdulhasan; Ciupala, Mihaela Anca; Brimicombe, Allan J.; Ghorashi, Seyed Ali; Baravalle, Andres; Falcarin, Paolo</t>
  </si>
  <si>
    <t>Data quality challenges in large-scale cyber-physical systems: A systematic review</t>
  </si>
  <si>
    <t>INFORMATION SYSTEMS</t>
  </si>
  <si>
    <t>Cyber-physical systems (CPS); Wireless Sensor Networks(WSN); Data quality management; Data quality dimensions; Smart cities; Quality of observations</t>
  </si>
  <si>
    <t>SMART BUILDINGS; DATA-MANAGEMENT; SENSOR; FRAMEWORK; INTERNET; TRANSPORTATION; INFORMATION; THINGS</t>
  </si>
  <si>
    <t>Cyber-physical systems (CPSs) are integrated systems engineered to combine computational control algorithms and physical components such as sensors and actuators, effectively using an embedded communication core. Smart cities can be viewed as large-scale, heterogeneous CPSs that utilise technologies like the Internet of Things (IoT), surveillance, social media, and others to make informed decisions and drive the innovations of automation in urban areas. Such systems incorporate multiple layers and complex structure of hardware, software, analytical algorithms, business knowledge and communication networks, and operate under noisy and dynamic conditions. Thus, large-scale CPSs are vulnerable to enormous technical and operational challenges that may compromise the quality of data of their applications and accordingly reduce the quality of their services. This paper presents a systematic literature review to investigate data quality challenges in smart-cities large-scale CPSs and to identify the most common techniques used to address these challenges. This systematic literature review showed that significant work had been conducted to address data quality management challenges in smart cities, large-scale CPS applications. However, still, more is required to provide a practical, comprehensive data quality management solution to detect errors in sensor nodes' measurements associated with the main data quality dimensions of accuracy, timeliness, completeness, and consistency. No systematic or generic approach was demonstrated for detecting sensor nodes and sensor node networks failures in large-scale CPS applications. Moreover, further research is required to address the challenges of ensuring the quality of the spatial and temporal contextual attributes of sensor nodes' observations. (C) 2021 Published by Elsevier Ltd.</t>
  </si>
  <si>
    <t>[Alwan, Ahmed Abdulhasan; Ciupala, Mihaela Anca; Brimicombe, Allan J.; Ghorashi, Seyed Ali; Falcarin, Paolo] Univ East London, ACE Sch Architecture Comp &amp; Engn, Docklands Campus,Univ Way, London E16 2RD, England; [Baravalle, Andres] Akamai Technol Ltd, London, England</t>
  </si>
  <si>
    <t>Falcarin, P (corresponding author), Univ East London, ACE Sch Architecture Comp &amp; Engn, Docklands Campus,Univ Way, London E16 2RD, England.</t>
  </si>
  <si>
    <t>a.alwan@uel.ac.uk; m.a.ciupala@uel.ac.uk; a.j.brimicombe@uel.ac.uk; s.a.ghorashi@uel.ac.uk; a.baravalle@akamai.com; falcarin@uel.ac.uk</t>
  </si>
  <si>
    <t>; Ghorashi, Seyed Ali/N-7566-2015; Falcarin, Paolo/B-6635-2015; Baravalle, Andres/AGJ-5642-2022</t>
  </si>
  <si>
    <t>ALWAN, Ahmed A/0000-0002-4906-9047; CIUPALA, Mihaela Anca/0000-0002-1782-0430; Ghorashi, Seyed Ali/0000-0002-2910-9208; Falcarin, Paolo/0000-0003-1933-5348; Baravalle, Anes/0000-0002-6971-9385;</t>
  </si>
  <si>
    <t>University of East London, UK</t>
  </si>
  <si>
    <t>This study was supported by the University of East London, UK, through the PhD scholarship scheme. The financial support is greatly acknowledged.</t>
  </si>
  <si>
    <t>0306-4379</t>
  </si>
  <si>
    <t>1873-6076</t>
  </si>
  <si>
    <t>INFORM SYST</t>
  </si>
  <si>
    <t>Inf. Syst.</t>
  </si>
  <si>
    <t>10.1016/j.is.2021.101951</t>
  </si>
  <si>
    <t>DEC 2021</t>
  </si>
  <si>
    <t>YD3XN</t>
  </si>
  <si>
    <t>WOS:000740349400004</t>
  </si>
  <si>
    <t>Yang, JJ; Zhu, ZX; Kee, T; Xuan, ZJ; Qin, SR</t>
  </si>
  <si>
    <t>Yang, Jianjun; Zhu, Zixuan; Kee, Tris; Xuan, Zejun; Qin, Shuran</t>
  </si>
  <si>
    <t>Coupled evaluation and forecasting of smart city sustainability with Kolmogorov-Arnold networks</t>
  </si>
  <si>
    <t>ENVIRONMENTAL AND SUSTAINABILITY INDICATORS</t>
  </si>
  <si>
    <t>Smart cities; Sustainable development; Comprehensive evaluation; Coupling coordination degree; TOPSIS; Kolmogorov; Arnold networks</t>
  </si>
  <si>
    <t>Smart cities face the challenge of balancing infrastructure development, pollution management and ecological sustainability, especially in unevenly developed regions in China's urban areas. A specific gap in current practice is the absence of integrated forecasting and evaluation tools capable of addressing regional disparities and optimising sustainable urban planning. To fill the gap, this study proposes a novel integrated evaluation framework that combines TOPSIS, Coupled Coordination and Kolmogorov-Arnold Networks (KANs) for timeseries forecasting of indicators for systematic sustainability evaluation. The results indicate that the overall coordination level of China's 21 smart cities has gradually improved, exhibiting progressive coordination characteristics. The comprehensive evaluation framework effectively reflects the long-term changes in smart city development and reveals potential synergies between regions. This study provides an evaluation basis and a practical path for regional differentiation policy and optimal resource allocation.</t>
  </si>
  <si>
    <t>[Yang, Jianjun; Kee, Tris] Hong Kong Polytech Univ, Dept Bldg &amp; Real Estate, Hong Kong, Peoples R China; [Zhu, Zixuan] Univ Hong Kong, Dept Elect &amp; Elect Engn, Hong Kong, Peoples R China; [Xuan, Zejun; Qin, Shuran] Guangdong Inst Arts &amp; Sci, Zhanjiang, Peoples R China</t>
  </si>
  <si>
    <t>Hong Kong Polytechnic University; University of Hong Kong</t>
  </si>
  <si>
    <t>Kee, T (corresponding author), Hong Kong Polytech Univ, Dept Bldg &amp; Real Estate, Hong Kong, Peoples R China.</t>
  </si>
  <si>
    <t>jianjunn.yang@connect.polyu.hk; zixuan.zhu-zzx@connect.polyu.hk; tris.kee@polyu.edu.hk; newxzj@163.com; 709177044@qq.com</t>
  </si>
  <si>
    <t>Zhu, Zixuan/0009-0001-7759-1852</t>
  </si>
  <si>
    <t>2665-9727</t>
  </si>
  <si>
    <t>ENVIRON SUSTAIN IND</t>
  </si>
  <si>
    <t>Environ. Sustain. Indic.</t>
  </si>
  <si>
    <t>10.1016/j.indic.2025.100783</t>
  </si>
  <si>
    <t>Environmental Sciences; Environmental Studies</t>
  </si>
  <si>
    <t>5DS3C</t>
  </si>
  <si>
    <t>WOS:001533240000001</t>
  </si>
  <si>
    <t>Zhao, PF; Li, SQ; Hu, PJH; Cao, ZD; Gu, CH; Yan, XH; Huo, D; Hernando-Gil, I</t>
  </si>
  <si>
    <t>Zhao, Pengfei; Li, Shuangqi; Hu, Paul Jen-Hwa; Cao, Zhidong; Gu, Chenghong; Yan, Xiaohe; Huo, Da; Hernando-Gil, Ignacio</t>
  </si>
  <si>
    <t>Two-Stage Co-Optimization for Utility-Social Systems With Social-Aware P2P Trading</t>
  </si>
  <si>
    <t>IEEE TRANSACTIONS ON COMPUTATIONAL SOCIAL SYSTEMS</t>
  </si>
  <si>
    <t>Water heating; Optimization; Costs; Cogeneration; Water resources; Resistance heating; Peer-to-peer computing; Distributionally robust optimization (DRO); peer-to-peer (P2P) trading; smart city; social-aware management; water-energy-social nexus</t>
  </si>
  <si>
    <t>ENERGY HUBS; MANAGEMENT; MULTIENERGY; OPERATION; STORAGE; GAME</t>
  </si>
  <si>
    <t>Effective utility system management is fundamental and critical for ensuring the normal activities, operations, and services in cities and urban areas. In that regard, the advanced information and communication technologies underpinning smart cities enable close linkages and coordination of different subutility systems, which is now attracting research attention. To increase operational efficiency, we propose a two-stage optimal co-management model for an integrated urban utility system comprised of water, power, gas, and heating systems, namely, integrated water-energy hubs (IWEHs). The proposed IWEH facilitates coordination between multienergy and water sectors via close energy conversion and can enhance the operational efficiency of an integrated urban utility system. In particular, we incorporate social-aware peer-to-peer (P2P) resource trading in the optimization model, in which operators of an IWEH can trade energy and water with other interconnected IWEHs. To cope with renewable generation and load uncertainties and mitigate their negative impacts, a two-stage distributionally robust optimization (DRO) is developed to capture the uncertainties, using a semidefinite programming reformulation. To demonstrate our model's effectiveness and practical values, we design representative case studies that simulate four interconnected IWEH communities. The results show that DRO is more effective than robust optimization (RO) and stochastic optimization (SO) for avoiding excessive conservativeness and rendering practical utilities, without requiring enormous data samples. This work reveals a desirable methodological approach to optimize the water-energy-social nexus for increased economic and system-usage efficiency for the entire (integrated) urban utility system. Furthermore, the proposed model incorporates social participations by citizens to engage in urban utility management for increased operation efficiency of cities and urban areas.</t>
  </si>
  <si>
    <t>[Zhao, Pengfei; Cao, Zhidong] Chinese Acad Sci, Inst Automat, State Key Lab Management &amp; Control Complex Syst, Beijing 100864, Peoples R China; [Zhao, Pengfei; Cao, Zhidong] Univ Chinese Acad Sci, Sch Artificial Intelligence, Beijing 100864, Peoples R China; [Li, Shuangqi; Gu, Chenghong] Univ Bath, Dept Elect &amp; Elect Engn, Bath BA2 7AY, Avon, England; [Li, Shuangqi] Beijing Inst Technol, Natl Engn Lab Elect Vehicles, Beijing 100081, Peoples R China; [Hu, Paul Jen-Hwa] Univ Utah, David Eccles Sch Business, Salt Lake City, UT 84112 USA; [Yan, Xiaohe] North China Elect Power Univ, State Key Lab Alternate Elect Power Syst Renewabl, Beijing 102206, Peoples R China; [Huo, Da] Cranfield Univ, Sch Water Energy &amp; Environm, Bedford MK43 0AL, England; [Hernando-Gil, Ignacio] Univ Bordeaux, ESTIA Inst Technol, F-64210 Bidart, France</t>
  </si>
  <si>
    <t>Chinese Academy of Sciences; Institute of Automation, CAS; Chinese Academy of Sciences; University of Chinese Academy of Sciences, CAS; University of Bath; Beijing Institute of Technology; Utah System of Higher Education; University of Utah; North China Electric Power University; Cranfield University; Universite de Bordeaux</t>
  </si>
  <si>
    <t>Cao, ZD (corresponding author), Chinese Acad Sci, Inst Automat, State Key Lab Management &amp; Control Complex Syst, Beijing 100864, Peoples R China.</t>
  </si>
  <si>
    <t>pengfei.zhao@ia.ac.cn; sqli9966@gmail.com; paul.hu@eccles.utah.edu; zhidong.cao@ia.ac.cn; c.gu@bath.ac.uk; x.yan@ncepu.edu.cn; da.huo@ncl.ac.uk; i.hernandogi@estia.fr</t>
  </si>
  <si>
    <t>; Li, Shuangqi/AAD-8666-2019; Yan, xiaohe/NZO-5177-2025; Gu, Chenghong/AAF-1190-2019; pengfei, zhao/ACU-2509-2022</t>
  </si>
  <si>
    <t>Li, Shuangqi/0000-0002-2935-8546; Hernando-Gil, Ignacio/0000-0002-6868-0685; Cao, Zhidong/0000-0001-5936-6822; Gu, Chenghong/0000-0002-3306-767X; Huo, Da/0000-0002-3617-7751;</t>
  </si>
  <si>
    <t>National Natural Science Foundation of China [72025404, 71621002]; New Generation Artificial Intelligence Development Plan of China (2015-2030) [2021ZD0111205]; Beijing Natural Science Foundation [L192012]; Beijing Nova Program [Z201100006820085]</t>
  </si>
  <si>
    <t>National Natural Science Foundation of China(National Natural Science Foundation of China (NSFC)); New Generation Artificial Intelligence Development Plan of China (2015-2030); Beijing Natural Science Foundation(Beijing Natural Science Foundation); Beijing Nova Program(Beijing Municipal Science &amp; Technology Commission)</t>
  </si>
  <si>
    <t>This work was supported in part by the National Natural Science Foundation of China under Grant 72025404 and Grant 71621002, in part by the New Generation Artificial Intelligence Development Plan of China (2015-2030) under Grant 2021ZD0111205, in part by the Beijing Natural Science Foundation under Grant L192012, and in part by the Beijing Nova Program under Grant Z201100006820085.</t>
  </si>
  <si>
    <t>2329-924X</t>
  </si>
  <si>
    <t>IEEE T COMPUT SOC SY</t>
  </si>
  <si>
    <t>IEEE Trans. Comput. Soc. Syst.</t>
  </si>
  <si>
    <t>10.1109/TCSS.2022.3200032</t>
  </si>
  <si>
    <t>AUG 2022</t>
  </si>
  <si>
    <t>Computer Science, Cybernetics; Computer Science, Information Systems</t>
  </si>
  <si>
    <t>O2HW6</t>
  </si>
  <si>
    <t>WOS:000849245900001</t>
  </si>
  <si>
    <t>Lan, SL; Tseng, ML; Yang, C; Huisingh, D</t>
  </si>
  <si>
    <t>Lan, Shulin; Tseng, Ming-Lang; Yang, Chen; Huisingh, Donald</t>
  </si>
  <si>
    <t>Trends in sustainable logistics in major cities in China</t>
  </si>
  <si>
    <t>SCIENCE OF THE TOTAL ENVIRONMENT</t>
  </si>
  <si>
    <t>Luenberger productivity index; Logistics total factor productivity; Sustainable megacities</t>
  </si>
  <si>
    <t>SUPPLY CHAIN MANAGEMENT; ECONOMIC-DEVELOPMENT; PERFORMANCE; EFFICIENCY; SYSTEMS; EUROPE; IMPACT</t>
  </si>
  <si>
    <t>Smart cities have become the development direction pursued by city leaders to address challenges related to rapid growth in urban areas. The sustainable development of the logistics sector has important practical significance for the evolution of smart cities. This study assessed the inefficiency rate and total factor productivity (TFP) of logistics in 36 Chinese cities from 2006 to 2015. The directional distance function (DDF) and Luenberger productivity index analytical approaches were used to assess the relevant parameters. The results revealed that the logistics system inefficiency rate of the eastern region was much higher than that of the central and western regions, while that of the western region was slightly higher than that of the central region. This study identified the main constraints of the logistics TFP in different regions in China. This finding is used to promote policy-making and investment planning to improve China's competitive advantage. The results documented that the central region of China needs to accelerate logistics reforms and use its location advantage of its location to form an organic connection with the eastern and western regions. Countries can use such metrics to take actions to improve their logistics performance, as such an improvement has a causal relationship with economic development. (C) 2020 Elsevier B.V. All rights reserved.</t>
  </si>
  <si>
    <t>[Lan, Shulin] Univ Chinese Acad Sci, Sch Econ &amp; Management, Beijing, Peoples R China; [Tseng, Ming-Lang] Asia Univ Taiwan, Inst Innovat &amp; Circular Econ, Taichung, Taiwan; [Tseng, Ming-Lang] China Med Univ, Dept Med Res, Taichung, Taiwan; [Yang, Chen] Beijing Inst Technol, Sch Comp Sci &amp; Technol, Beijing, Peoples R China; [Huisingh, Donald] Univ Tennessee, Inst Secure &amp; Sustainable Environm, Knoxville, TN USA; [Tseng, Ming-Lang] Univ Kebangsaan Malaysia, Fac Econ &amp; Management, Bangi, Malaysia</t>
  </si>
  <si>
    <t>Chinese Academy of Sciences; University of Chinese Academy of Sciences, CAS; Asia University Taiwan; China Medical University Taiwan; Beijing Institute of Technology; University of Tennessee System; University of Tennessee Knoxville; Universiti Kebangsaan Malaysia</t>
  </si>
  <si>
    <t>Tseng, ML (corresponding author), Asia Univ Taiwan, Inst Innovat &amp; Circular Econ, Taichung, Taiwan.</t>
  </si>
  <si>
    <t>lanshulin@ucas.ac.cn; tsengminglang@asia.edu.tw; yangchen666@bit.edu.cn; dhuisingh@utk.edu</t>
  </si>
  <si>
    <t>Tseng, Ming Lang/M-9051-2014; YANG, Chen/NGS-6948-2025</t>
  </si>
  <si>
    <t>Tseng, Ming Lang/0000-0002-2702-3590;</t>
  </si>
  <si>
    <t>University of Chinese Academy of Sciences [MOST108-2221-E-468 -004 -MY2]</t>
  </si>
  <si>
    <t>University of Chinese Academy of Sciences(Chinese Academy of Sciences)</t>
  </si>
  <si>
    <t>This study was supported by the University of Chinese Academy of Sciences in 2019 and partially funded by MOST108-2221-E-468 -004 -MY2</t>
  </si>
  <si>
    <t>0048-9697</t>
  </si>
  <si>
    <t>1879-1026</t>
  </si>
  <si>
    <t>SCI TOTAL ENVIRON</t>
  </si>
  <si>
    <t>Sci. Total Environ.</t>
  </si>
  <si>
    <t>APR 10</t>
  </si>
  <si>
    <t>10.1016/j.scitotenv.2019.136381</t>
  </si>
  <si>
    <t>KJ9JB</t>
  </si>
  <si>
    <t>WOS:000512369600146</t>
  </si>
  <si>
    <t>Kshirsagar, PR; Manoharan, H; Algahtani, A; Tirth, V; Islam, S</t>
  </si>
  <si>
    <t>Kshirsagar, Pravin R.; Manoharan, Hariprasath; Algahtani, Ali; Tirth, Vineet; Islam, Saiful</t>
  </si>
  <si>
    <t>OPERATIONAL COLLECTION STRATEGY FOR MONITORING SMART WASTE MANAGEMENT SYSTEM USING SHORTEST PATH ALGORITHM</t>
  </si>
  <si>
    <t>JOURNAL OF ENVIRONMENTAL PROTECTION AND ECOLOGY</t>
  </si>
  <si>
    <t>waste management system; smart bins; urban areas; wireless sensors. Internet of Things (IoT)</t>
  </si>
  <si>
    <t>One of the significant challenges that are existing in many smart cities for managing the waste level of bins has been addressed in this article for growth of urban areas. Many concerns that are related in direct connection with management and separation of waste material have been investigated. The process of separating waste materials will have direct impact on generation of revenue for entire city. Thus, the proposed method provides solution for increasing the revenue by considering low weight age and distance with minimised statistical values. The same technique has been incorporated in presence of wireless sensors and is plotted in MATLAB by apprehending the values through Thing Speak. To evaluate the efficiency of proposed method two different traditional methods are considered where statistical values of projected method outperforms the existing method by an increased percentage of 78%. Also the revenue generated at many urban areas is much higher which is considered as one major advantage at each connected areas.</t>
  </si>
  <si>
    <t>[Kshirsagar, Pravin R.] AVN Inst Engn &amp; Technol, Dept Elect &amp; Commun Engn, Hyderabad, India; [Manoharan, Hariprasath] Audisankara Coll Engn &amp; Technol, Dept Elect &amp; Commun Engn, Gudur, Andhra Pradesh, India; [Algahtani, Ali; Tirth, Vineet] King Khalid Univ, Coll Engn, Mech Engn Dept, Abha 61411, Saudi Arabia; [Algahtani, Ali; Tirth, Vineet] King Khalid Univ Guraiger, Res Ctr Adv Mat Sci RCAMS, Abha 61413, Asir, Saudi Arabia; [Islam, Saiful] King Khalid Univ, Coll Engn, Civil Engn Dept, Abha 61411, Asir, Saudi Arabia</t>
  </si>
  <si>
    <t>King Khalid University; King Khalid University</t>
  </si>
  <si>
    <t>Kshirsagar, PR (corresponding author), AVN Inst Engn &amp; Technol, Dept Elect &amp; Commun Engn, Hyderabad, India.</t>
  </si>
  <si>
    <t>kshirsagarpravin619@gmail.com</t>
  </si>
  <si>
    <t>Manoharan, Hariprasath/C-5163-2019; Tirth, Vineet/N-6149-2018; Kshirsagar, Pravin/AAA-7008-2022; islam, saiful/AAC-7140-2019; Algahtani, Ali/AAH-9990-2019</t>
  </si>
  <si>
    <t>SCIBULCOM LTD</t>
  </si>
  <si>
    <t>PO BOX 249, 1113 SOFIA, BULGARIA</t>
  </si>
  <si>
    <t>1311-5065</t>
  </si>
  <si>
    <t>J ENVIRON PROT ECOL</t>
  </si>
  <si>
    <t>J. Environ. Prot. Ecol.</t>
  </si>
  <si>
    <t>SV8PY</t>
  </si>
  <si>
    <t>WOS:000664081000012</t>
  </si>
  <si>
    <t>Pavlenko, V; Ponomarenko, I; Morhulets, O; Ponomarenko, D; Danylchenko, D</t>
  </si>
  <si>
    <t>Pavlenko, D; Tryshyn, P; Honchar, N; Kozlova, O</t>
  </si>
  <si>
    <t>Pavlenko, Volodymyr; Ponomarenko, Ihor; Morhulets, Oksana; Ponomarenko, Dmytro; Danylchenko, Dmytro</t>
  </si>
  <si>
    <t>Synergy of Blockchain and Artificial Intelligence for Decentralized Smart Energy Management</t>
  </si>
  <si>
    <t>SMART INNOVATIONS IN ENERGY AND MECHANICAL SYSTEMS, SIEMS-2025</t>
  </si>
  <si>
    <t>1st International Conference on Smart Innovations in Energy and Mechanical Systems-SIEMS</t>
  </si>
  <si>
    <t>MAY 12-14, 2025</t>
  </si>
  <si>
    <t>Zaporizhzhia, UKRAINE</t>
  </si>
  <si>
    <t>Artificial Intelligence; Electricity; Blockchain Technologies; Smart Grid Technologies; Information; Smart Cities; Sustainable Development Goals</t>
  </si>
  <si>
    <t>There is a strong link between sustainable development goals and the transformation of smart grid technologies in urban areas. Digitization significantly influences the development of information systems in smart cities, enabling realtime monitoring of key processes and informed decision-making based on defined indicators. Blockchain and artificial intelligence are increasingly recognized for improving urban infrastructure efficiency, with big data processing algorithms playing a critical role in advancing energy systems. This study aims to explore the integration of blockchain and artificial intelligence in decentralized smart energy management, focusing on optimizing energy distribution, enhancing system security, and improving efficiency in smart grid technologies. The research examines a smart grid architecture model, emphasizing the role of AI-driven adaptive algorithms and blockchain-based transparent transactions in urban energy systems. Innovative digital technologies like AI and blockchain are essential for achieving a zero-carbon footprint and promoting environmental sustainability. A smart grid architecture model highlights the crucial interconnection between energy system components in enhancing urban energy efficiency. At the city level, energy management ensures process optimization and risk mitigation. Blockchain contributes by securing transparent and reliable transactions, while AI enhances energy efficiency and addresses consumer demands with flexible, adaptive algorithms. Continuous testing and optimization of these algorithms are crucial, as advancements in big data processing drive smart cities toward new levels of energy efficiency and sustainability.</t>
  </si>
  <si>
    <t>[Pavlenko, Volodymyr; Morhulets, Oksana] Natl Univ Life &amp; Environm Sci Ukraine, Kyiv, Ukraine; [Ponomarenko, Ihor] State Univ Trade &amp; Econ, Kyiv, Ukraine; [Ponomarenko, Dmytro] Int Univ Business &amp; Law, Mykolaiv, Ukraine; [Danylchenko, Dmytro] Natl Tech Univ, Kharkiv Polytech Inst, Kharkiv, Ukraine</t>
  </si>
  <si>
    <t>National University of Life &amp; Environmental Sciences of Ukraine; State University of Trade &amp; Economics; Ministry of Education &amp; Science of Ukraine; National Technical University Kharkiv Polytechnic Institute</t>
  </si>
  <si>
    <t>Danylchenko, D (corresponding author), Natl Tech Univ, Kharkiv Polytech Inst, Kharkiv, Ukraine.</t>
  </si>
  <si>
    <t>dmytro.danylchenko@khpi.edu.ua</t>
  </si>
  <si>
    <t>978-3-031-95190-9; 978-3-031-95191-6</t>
  </si>
  <si>
    <t>10.1007/978-3-031-95191-6_18</t>
  </si>
  <si>
    <t>Energy &amp; Fuels; Engineering, Mechanical</t>
  </si>
  <si>
    <t>Energy &amp; Fuels; Engineering</t>
  </si>
  <si>
    <t>BZ4BY</t>
  </si>
  <si>
    <t>WOS:001576256300018</t>
  </si>
  <si>
    <t>Zhuang, HR; Zhang, J; Sivaparthipan, CB; Muthu, BA</t>
  </si>
  <si>
    <t>Zhuang, Haoran; Zhang, Jian; Sivaparthipan, C. B.; Muthu, Bala Anand</t>
  </si>
  <si>
    <t>Sustainable Smart City Building Construction Methods</t>
  </si>
  <si>
    <t>NARX-ANN (non-linear autoregressive artificial neural network); DHW (domestic hot water); fuzzy controller; PID controller; RES-PP (renewable energy source power plant)</t>
  </si>
  <si>
    <t>COMFORT MANAGEMENT; ENERGY; PREFABRICATION; DESIGN</t>
  </si>
  <si>
    <t>In a global world, the human population invariably increases while resources gradually decrease as cities and towns constantly consume resources to satisfy their needs and requirements. At this point, it is very necessary to focus on making these urban areas more sustainable and greener. The need for some advanced and automated systems improves the situation, which leads to the innovation of smart cities. Smart city is the concept that helps in developing sustainable cities via optimized resource utilization methods. In smart city development, various sensing technologies can be used that can sense and utilize natural resources in better ways, like storing rainwater to use afterward, intelligent and smart control system, smart infrastructure monitoring system, smart healthcare system, smart transportation system, and smart system for energy consumption and generation by various facilities. To make the city smart and sustainable with efficient energy consumption, we propose renewable solar and wind energy-enabled hybrid heating and cooling HVAC-DHW (heating, ventilation, and air conditioning-Domestic Hot Water) system in which energy consumption is evaluated using optimized NARX-ANN and fuzzy controller based on user needs, dynamic behavior of the atmospheric environment, and spatial distribution of energy supply. To achieve the proposed goal, first, via sensor, heating and cooling effect of environment and building is sensed and these sensed inputs are then fed into deep-learning-based NARX-ANN that forecast internal building temperature. This forecasted temperature is fed into a fuzzy controller for optimizing output based on user demand. This processed information leads to energy distribution based on their requirement using a smart energy sensing system. Based on the experimentation result and performance analysis, it was found that the proposed system is more robust and has a high control response in comparison to the existing systems with minimum energy consumption. The analytical results support the feasibility of the proposed framework architecture to facilitate energy conserving in smart city buildings.</t>
  </si>
  <si>
    <t>[Zhuang, Haoran; Zhang, Jian] Shanghai Jiao Tong Univ, Sch Design, Shanghai 200240, Peoples R China; [Zhang, Jian] China Inst Urban Governance, Shanghai 200030, Peoples R China; [Sivaparthipan, C. B.] SNS Coll Technol, Dept Comp Sci &amp; Engn, Coimbatore 641035, Tamil Nadu, India; [Muthu, Bala Anand] VRS Coll Engn &amp; Technol, Dept Comp Sci &amp; Engn, Vizhuppuram 605602, Tamil Nadu, India</t>
  </si>
  <si>
    <t>Shanghai Jiao Tong University; SNS College of Technology</t>
  </si>
  <si>
    <t>Zhang, J (corresponding author), Shanghai Jiao Tong Univ, Sch Design, Shanghai 200240, Peoples R China.;Zhang, J (corresponding author), China Inst Urban Governance, Shanghai 200030, Peoples R China.</t>
  </si>
  <si>
    <t>meteorgege_924@sjtu.edu.cn; zjian@sjtu.edu.cn; sivaparthipanece@gmail.com; balavdy@gmail.com</t>
  </si>
  <si>
    <t>CB, Sivaparthipan/AAC-9406-2020; CB, SIVAPARTHIPAN/AAC-9406-2020; Muthu, BalaAnand/AAD-4673-2019; M, Bala Anand/AFO-6912-2022</t>
  </si>
  <si>
    <t>CB, SIVAPARTHIPAN/0000-0002-5389-4330; M, Bala Anand/0000-0002-9509-6943</t>
  </si>
  <si>
    <t>10.3390/su12124947</t>
  </si>
  <si>
    <t>MM6ZP</t>
  </si>
  <si>
    <t>WOS:000550303500001</t>
  </si>
  <si>
    <t>Faugère, L; White, C; Montreuil, B</t>
  </si>
  <si>
    <t>Faugere, Louis; White, Chelsea, III; Montreuil, Benoit</t>
  </si>
  <si>
    <t>Mobile Access Hub Deployment for Urban Parcel Logistics</t>
  </si>
  <si>
    <t>city logistics; mobile hubs; dynamic use of urban space; micro-consolidation; capillary logistics networks; physical internet</t>
  </si>
  <si>
    <t>TRANSPORTATION SYSTEMS; FREIGHT TRANSPORT; MODELS; SUSTAINABILITY; DELIVERY; VEHICLES; IMPACTS; CITIES; DEPOTS</t>
  </si>
  <si>
    <t>Last-mile logistics is an essential yet highly expensive component of city logistics responsible for many nuisances in urban areas. Mobile access hubs are flexible consolidation and transshipment points aiming at creating more sustainable city logistics systems by dynamically using urban space as logistics facilities. In this paper, we examine the potential of mobile access hub deployments for urban parcel logistics by identifying the impact of design parameters on economic and environmental performance. We propose a mathematical modeling framework and an integer program to assess the performance of mobile access hub deployments, and study the impact of a set of design parameters through synthetic cases and an illustrative case inspired from a large parcel express carrier's operations. Results indicate design flexibility relative to the location of hubs and pronounced advantages in highly variable environments. The illustrative case shows significant savings potential in terms of cost and time efficiency as well as environmental sustainability. It emphasizes a trade-off between operational efficiency and environmental sustainability that can be balanced to achieve global sustainability goals while being economically sound.</t>
  </si>
  <si>
    <t>[Faugere, Louis; Montreuil, Benoit] Georgia Inst Technol, Sch Ind &amp; Syst Engn, Phys Internet Ctr, Atlanta, GA USA; [White, Chelsea, III; Montreuil, Benoit] Georgia Inst Technol, Supply Chain &amp; Logist Inst, Sch Ind &amp; Syst Engn, Atlanta, GA 30332 USA; [White, Chelsea, III] Georgia Inst Technol, Schneider Natl Chair Transportat &amp; Logist, Atlanta, GA 30332 USA; [Montreuil, Benoit] Georgia Inst Technol, Coca Cola Mat Handling &amp; Distribut Chair, Atlanta, GA 30332 USA</t>
  </si>
  <si>
    <t>University System of Georgia; Georgia Institute of Technology; University System of Georgia; Georgia Institute of Technology; University System of Georgia; Georgia Institute of Technology; University System of Georgia; Georgia Institute of Technology</t>
  </si>
  <si>
    <t>Faugère, L (corresponding author), Georgia Inst Technol, Sch Ind &amp; Syst Engn, Phys Internet Ctr, Atlanta, GA USA.</t>
  </si>
  <si>
    <t>benoit.montreuil@isye.gatech.edu; chip.white@isye.gatech.edu; benoit.montreuil@isye.gatech.edu</t>
  </si>
  <si>
    <t>Faugere, Louis/AAL-8635-2020</t>
  </si>
  <si>
    <t>Montreuil, Benoit/0000-0001-9909-9212; Faugere, Louis/0000-0001-6835-6714</t>
  </si>
  <si>
    <t>Schneider National Chair in Transportation and Logistics; Coca-Cola Material Handling and Distribution Chair</t>
  </si>
  <si>
    <t>This research was undertaken, in part, thanks to funding from the Schneider National Chair in Transportation and Logistics and the Coca-Cola Material Handling and Distribution Chair.</t>
  </si>
  <si>
    <t>10.3390/su12177213</t>
  </si>
  <si>
    <t>NO9OB</t>
  </si>
  <si>
    <t>WOS:000569814300001</t>
  </si>
  <si>
    <t>Hu, Y; Work, DB</t>
  </si>
  <si>
    <t>Hu, Yue; Work, Daniel B.</t>
  </si>
  <si>
    <t>Robust Tensor Recovery with Fiber Outliers for Traffic Events</t>
  </si>
  <si>
    <t>ACM TRANSACTIONS ON KNOWLEDGE DISCOVERY FROM DATA</t>
  </si>
  <si>
    <t>Robust tensor recovery; tensor factorization; multilinear analysis; outlier detection; traffic events; urban computing</t>
  </si>
  <si>
    <t>MISSING DATA; MATRIX; RANK; FLOW; CONGESTION; ALGORITHM</t>
  </si>
  <si>
    <t>Event detection is gaining increasing attention in smart cities research. Large-scale mobility data serves as an important tool to uncover the dynamics of urban transportation systems, and more often than not the dataset is incomplete. In this article, we develop a method to detect extreme events in large traffic datasets, and to impute missing data during regular conditions. Specifically, we propose a robust tensor recovery problem to recover low-rank tensors under fiber-sparse corruptions with partial observations, and use it to identify events, and impute missing data under typical conditions. Our approach is scalable to large urban areas, taking full advantage of the spatio-temporal correlations in traffic patterns. We develop an efficient algorithm to solve the tensor recovery problem based on the alternating direction method of multipliers (ADMM) framework. Compared with existing l(1) norm regularized tensor decomposition methods, our algorithm can exactly recover the values of uncorrupted fibers of a low-rank tensor and find the positions of corrupted fibers under mild conditions. Numerical experiments illustrate that our algorithm can achieve exact recovery and outlier detection even with missing data rates as high as 40% under 5% gross corruption, depending on the tensor size and the Tucker rank of the low rank tensor. Finally, we apply our method on a real traffic dataset corresponding to downtown Nashville, TN and successfully detect the events like severe car crashes, construction lane closures, and other large events that cause significant traffic disruptions.</t>
  </si>
  <si>
    <t>[Hu, Yue; Work, Daniel B.] Vanderbilt Univ, 1025 16th Ave S, Nashville, TN 37212 USA</t>
  </si>
  <si>
    <t>Vanderbilt University</t>
  </si>
  <si>
    <t>Hu, Y (corresponding author), Vanderbilt Univ, 1025 16th Ave S, Nashville, TN 37212 USA.</t>
  </si>
  <si>
    <t>yue.hu@vanderbilt.edu; dan.work@vanderbilt.edu</t>
  </si>
  <si>
    <t>National Science Foundation [CMMI-1727785]</t>
  </si>
  <si>
    <t>National Science Foundation(National Science Foundation (NSF))</t>
  </si>
  <si>
    <t>This material is based upon the work supported by the National Science Foundation under Grant No. CMMI-1727785. Authors addresses: Y. Hu and D. B. Work, Vanderbilt University, 1025 16th Ave S, Nashville, Nashville; emails: {yue.hu, dan.work}@vanderbilt.edu.</t>
  </si>
  <si>
    <t>1556-4681</t>
  </si>
  <si>
    <t>1556-472X</t>
  </si>
  <si>
    <t>ACM T KNOWL DISCOV D</t>
  </si>
  <si>
    <t>ACM Trans. Knowl. Discov. Data</t>
  </si>
  <si>
    <t>10.1145/3417337</t>
  </si>
  <si>
    <t>Computer Science, Information Systems; Computer Science, Software Engineering</t>
  </si>
  <si>
    <t>PQ8UL</t>
  </si>
  <si>
    <t>WOS:000606818300006</t>
  </si>
  <si>
    <t>Parihar, M; Dasari, N; Bhagwat, K</t>
  </si>
  <si>
    <t>Somani, AK; Mundra, A; Doss, R; Bhattacharya, S</t>
  </si>
  <si>
    <t>Parihar, Mahendra; Dasari, Nagaraju; Bhagwat, Kedar</t>
  </si>
  <si>
    <t>Smart City Solution: Enhancing Capacity Utilization of Mass Rapid Transit System (MRTS) for Economic Viability with Special Reference to Jaipur Metro Rail Network</t>
  </si>
  <si>
    <t>SMART SYSTEMS: INNOVATIONS IN COMPUTING (SSIC 2021)</t>
  </si>
  <si>
    <t>Smart Innovation Systems and Technologies</t>
  </si>
  <si>
    <t>3rd International Conference on Smart Systems - Innovations in Computing (SSIC)</t>
  </si>
  <si>
    <t>JAN 22-23, 2021</t>
  </si>
  <si>
    <t>Development in a planned manner always make optimal use of available resources and helps in economic growth. Traditionally, with reference to land-use pattern, in most of the cases the development has been taken place in un-planned manner, which no-doubt in short-run might have provided some desirable solutions, but in long run over period of time with the expansion of population and economic activities too, they are more painful. Therefore, development in planned manner is necessary for sustainable growth. Hence, in Indian context, having look at growth and development of many urban areas over period of time is unplanned manner in many respects are creating now much of the problems and less of solutions. Problems such as housing, sanitation, pollution, overcrowded areas, transportation, safety, etc. are some of the issues our cities are facing today. This gives bigger challenges to sustainability. Thus, Government of India very recently introduced the concept of smart cities and trying to developed modern cities with all required facilities and supporting system in a planned manner so in long run it may further contribute in economic growth. Therefore, in phase manner our government selected some specific cities to begin with and try to develop them further in the form of smart cities by removing the bottlenecks such as transportation issues, housing problem, infrastructure inadequacies, lack of public utility services, congestion and emissions, employment generation, resource utilization, etc. Again, through optimal use of available resources and further develop required facilities and resources we can bring solution to the smart cities concept and move ahead. Thus, in current study an attempt is being made to understand how underutilization of capacity can create problem for making our cities smarter. Amongst many essentials of smart cities, transport and transport infrastructure plays an important role in growth and development of urban areas into smart cities. For the purpose of the study, we have taken Jaipur Metro rail as a case, since existing network is not fully utilized given certain bottlenecks, which further create barriers to make our city smarter. Further, the underutilization of the capacity leads to non-viability of operation. Hence, the study undertaken will also look at possibility of enhancing capacity utilization of existing mass rapid transit system (MRTS), i.e. Jaipur Metro Rail as smart city solution and bring operation viability. Moreover, since effective and efficient public transportation is very important for the making of smart cities, which is again no doubt need of hour also, our study will try to bring possible solution relating to capacity utilization of Jaipur Metro Rail and make it more appropriate so it can further play very effective role in development of Jaipur city in much smarter way.</t>
  </si>
  <si>
    <t>[Parihar, Mahendra] Deemed Be Univ, Mukesh Patel Sch Technol Management &amp; Engn, SVKMs NMIMS, Mumbai 400056, Maharashtra, India; [Dasari, Nagaraju] Manipal Univ Jaipur, Jaipur 303007, Rajasthan, India; [Bhagwat, Kedar] SCMHRD, Infrastruct Dev &amp; Management, Pune, Maharashtra, India</t>
  </si>
  <si>
    <t>SVKM's NMIMS (Deemed to be University); Manipal University Jaipur; Symbiosis International University; Symbiosis Centre for Management &amp; Human Resource Development (SCMHRD)</t>
  </si>
  <si>
    <t>Parihar, M (corresponding author), Deemed Be Univ, Mukesh Patel Sch Technol Management &amp; Engn, SVKMs NMIMS, Mumbai 400056, Maharashtra, India.</t>
  </si>
  <si>
    <t>Nagaraju, Dasari/0000-0001-7633-5104; Bhagwat, Kedar/0000-0001-8670-951X; parihar, mahena/0000-0002-4385-9777</t>
  </si>
  <si>
    <t>2190-3018</t>
  </si>
  <si>
    <t>2190-3026</t>
  </si>
  <si>
    <t>978-981-16-2877-1; 978-981-16-2876-4</t>
  </si>
  <si>
    <t>SMART INNOV SYST TEC</t>
  </si>
  <si>
    <t>10.1007/978-981-16-2877-1_6</t>
  </si>
  <si>
    <t>Computer Science, Artificial Intelligence; Computer Science, Interdisciplinary Applications</t>
  </si>
  <si>
    <t>BT0TQ</t>
  </si>
  <si>
    <t>WOS:000792444300006</t>
  </si>
  <si>
    <t>Mangra, N; Ghasempour, A; Behmann, F; Darema, F; Badombena-Wanta, S; Olsen, T; Kloza, B; Borst, M</t>
  </si>
  <si>
    <t>Mangra, Narendra; Ghasempour, Alireza; Behmann, Fawzi; Darema, Frederica; Badombena-Wanta, Souma; Olsen, Thomas; Kloza, Brad; Borst, Matt</t>
  </si>
  <si>
    <t>Applications and Services</t>
  </si>
  <si>
    <t>2022 IEEE FUTURE NETWORKS WORLD FORUM, FNWF</t>
  </si>
  <si>
    <t>OCT 12-14, 2022</t>
  </si>
  <si>
    <t>Montreal, CANADA</t>
  </si>
  <si>
    <t>The Institute of Electrical and Electronic Engineers (IEEE) Future Networks International Network Generations Roadmap (INGR) Applications and Services Working Group developed a Transdisciplinary Framework that is sustainable, structured, flexible, adaptable, and scalable framework that extends across end-to-end ecosystems, and caters to different stages of priorities, resources, and technologies. The framework may be used by academic stakeholders for new research topics of interest, industry stakeholders to develop solutions for roadmap identified opportunities while minimizing negative risks, and government stakeholders for governance and policy development. The 2022 edition provides additional details on the Applications and Services Transdisciplinary Framework from Smart Cities, developed in the 1st edition, and was extended towards Smart Communities that include both urban and non-urban areas in the 2021 edition. This edition of the IEEE INGR Application and Services roadmap chapter includes: center dot Applications and Services Framework: a dynamic sustainable framework for applications and services that extends across end-to-end ecosystems, and caters to the priorities, resources, and technologies for local urban and non-urban areas. circle Ecosystem of Ecosystems: intra-ecosystem and inter-ecosystem alignments for agriculture, education, electrical power, health care, media and entertainment, public safety, transportation, and water distribution and wastewater treatment ecosystems. circle Network of Networks: Future networks components (access, service delivery, operations and service management, and network extensions), use case categories and network operations enhancements. circle Governance Function of Functions: strategic and governance related functions to support local area objectives that include economic development, quality of life, stakeholder attraction and retention, and policy development. center dot Transdisciplinary Framework Scenarios and Use Cases: smart cities, smart regions, and pandemic planning scenarios The Applications and Services working group will extend the reach and depth of this framework to add new ecosystems and enhance the existing ecosystems already addressed for future INGR editions.</t>
  </si>
  <si>
    <t>[Mangra, Narendra] GlobeNet LLC, New Orleans, LA 70112 USA; [Behmann, Fawzi] Telnet Management Consulting Inc, Round Rock, TX USA; [Behmann, Fawzi] InfoSymbiot Syst Soc, Round Rock, TX USA; [Kloza, Brad; Borst, Matt] IEEE Future Networks Initiat, Round Rock, TX USA</t>
  </si>
  <si>
    <t>Mangra, N (corresponding author), GlobeNet LLC, New Orleans, LA 70112 USA.</t>
  </si>
  <si>
    <t>Ghasempour, Alireza/O-1566-2013</t>
  </si>
  <si>
    <t>IEEE COMPUTER SOC</t>
  </si>
  <si>
    <t>LOS ALAMITOS</t>
  </si>
  <si>
    <t>10662 LOS VAQUEROS CIRCLE, PO BOX 3014, LOS ALAMITOS, CA 90720-1264 USA</t>
  </si>
  <si>
    <t>978-1-6654-6250-1</t>
  </si>
  <si>
    <t>Telecommunications</t>
  </si>
  <si>
    <t>BV0RW</t>
  </si>
  <si>
    <t>WOS:000976972800015</t>
  </si>
  <si>
    <t>Isa, SS; Lima, OF Jr; Vieira, JGV</t>
  </si>
  <si>
    <t>Isa, Selma Setsumi; Lima Jr, Orlando Fontes; Vidal Vieira, Jose Geraldo</t>
  </si>
  <si>
    <t>Urban consolidation centers: Impact analysis by stakeholder</t>
  </si>
  <si>
    <t>RESEARCH IN TRANSPORTATION ECONOMICS</t>
  </si>
  <si>
    <t>Urban consolidation center; Economic evaluation; Stakeholders; Socio-economic impact; The Kaldor-Hicks criterion</t>
  </si>
  <si>
    <t>CITY LOGISTICS; BARRIERS; COST; MODELS</t>
  </si>
  <si>
    <t>An Urban Consolidation Center is a city logistics solution that contributes to reducing the negative effects of transportation activities in urban areas, but few projects have been implemented fully and financial sustainability is commonly mentioned as a constraint to their implementation. The objective of this research is two-fold: to present a methodology to include socio-environmental impact monetization in the economic evaluation of urban consolidation center projects and to discuss the result of UCC project economic evaluations considering foundations of Welfare Economics. For this purpose, the impacts for each stakeholder were identified, their monetization was incorporated in the analysis and the results were discussed in light of the Kaldor-Hicks criterion. Two Brazilian cases are used to apply the proposed methodology. The results show that when socio-environmental impacts, such as a reduction in traffic congestion and pollution emissions, are incorporated into the economic evaluation, implementation is justified for cities with high levels of traffic congestion. This study might improve the future analysis of urban consolidation center projects by performing a more comprehensive economic evaluation. Notably, it includes social, environmental and monetary benefits for different stakeholders, and is relevant for practitioners and public administrators.</t>
  </si>
  <si>
    <t>[Isa, Selma Setsumi; Lima Jr, Orlando Fontes] Univ Estadual Campinas, Sch Civil Engn Architecture &amp; Urban Design, Learning Lab Logist &amp; Transport, 951 Albert Einstein,3o Floor,Room 02, BR-13083852 Campinas, SP, Brazil; [Vidal Vieira, Jose Geraldo] Univ Fed Sao Carlos, Dept Prod Engn CCGT, 3 KM 110, BR-18072780 Sorocaba, SP, Brazil</t>
  </si>
  <si>
    <t>Universidade Estadual de Campinas; Universidade Federal de Sao Carlos</t>
  </si>
  <si>
    <t>Isa, SS (corresponding author), Univ Estadual Campinas, Sch Civil Engn Architecture &amp; Urban Design, Learning Lab Logist &amp; Transport, 951 Albert Einstein,3o Floor,Room 02, BR-13083852 Campinas, SP, Brazil.</t>
  </si>
  <si>
    <t>selma.isa@terra.com.br; oflimaj@fec.unicamp.br; jose-vidal@ufscar.br</t>
  </si>
  <si>
    <t>; Vieira, Jose/F-6631-2015; Lima, Orlando/A-5285-2013</t>
  </si>
  <si>
    <t>Isa, Selma/0000-0003-0427-3607;</t>
  </si>
  <si>
    <t>National Council for Scientific and Technological Development (CNPq), Brazil [309024/2019-6, 3099172019-0, 409128-2018-0]</t>
  </si>
  <si>
    <t>National Council for Scientific and Technological Development (CNPq), Brazil(Conselho Nacional de Desenvolvimento Cientifico e Tecnologico (CNPQ))</t>
  </si>
  <si>
    <t>The authors would like to thank National Council for Scientific and Technological Development (CNPq), Brazil for supporting some parts of the study (process n0 309024/2019-6; 3099172019-0; 409128-2018-0).</t>
  </si>
  <si>
    <t>0739-8859</t>
  </si>
  <si>
    <t>1875-7979</t>
  </si>
  <si>
    <t>RES TRANSP ECON</t>
  </si>
  <si>
    <t>Res. Transp. Econ.</t>
  </si>
  <si>
    <t>10.1016/j.retrec.2021.101045</t>
  </si>
  <si>
    <t>Economics; Transportation</t>
  </si>
  <si>
    <t>XN7FW</t>
  </si>
  <si>
    <t>WOS:000729667200038</t>
  </si>
  <si>
    <t>Mahmood, K; Arshad, J; Chaudhry, SA; Kumari, S</t>
  </si>
  <si>
    <t>Mahmood, Khalid; Arshad, Jehangir; Chaudhry, Shehzad Ashraf; Kumari, Saru</t>
  </si>
  <si>
    <t>An enhanced anonymous identity-based key agreement protocol for smart grid advanced metering infrastructure</t>
  </si>
  <si>
    <t>INTERNATIONAL JOURNAL OF COMMUNICATION SYSTEMS</t>
  </si>
  <si>
    <t>advanced metering infrastructure; anonymity; identity-based key establishment; key establishment; smart grid</t>
  </si>
  <si>
    <t>AUTHENTICATION; MANAGEMENT; SECURITY; SCHEME</t>
  </si>
  <si>
    <t>Sprouting populace mass within the urban areas furnishes critical challenges of providing uninterruptible community services to fulfill the primitive needs of inhabitants in smart cities. Smart cities facilitate and uplift the living standards of inhabitants through various smart systems or infrastructures, and smart grid is one of them. Secure transmission is a key requirement in the advanced metering infrastructure (AMI) of most smart grids, and key establishment cryptographic protocols can be used to achieve such a requirement. Designing efficient and secure key establishment protocols for AMI remains challenging. For example, in this paper, we reveal several weaknesses in the identity-based key establishment protocol of Mohammadali et al (published in IEEE Trans Smart Grid, 2017), which is based on elliptic curves. We then improve their protocol and prove its security in the random oracle model. We also demonstrate that the improved protocol achieves both anonymity and untraceability, before presenting a comparative summary of the security and computational overheads of the proposed protocol and several other existing protocols.</t>
  </si>
  <si>
    <t>[Mahmood, Khalid] COMSATS Univ Islamabad, Dept Comp Sci, Sahiwal Campus, Sahiwal, Pakistan; [Arshad, Jehangir] COMSATS Univ Islamabad, Dept Elect &amp; Comp Engn, Sahiwal Campus, Sahiwal, Pakistan; [Chaudhry, Shehzad Ashraf] Istanbul Gelisim Univ Istanbul, Fac Engn &amp; Architecture, Dept Comp Engn, Istanbul, Turkey; [Kumari, Saru] Ch Charan Singh Univ, Dept Math, Meerut, Uttar Pradesh, India</t>
  </si>
  <si>
    <t>COMSATS University Islamabad (CUI); COMSATS University Islamabad (CUI); Chaudhary Charan Singh University</t>
  </si>
  <si>
    <t>Chaudhry, SA (corresponding author), Istanbul Gelisim Univ Istanbul, Fac Engn &amp; Architecture, Dept Comp Engn, Istanbul, Turkey.</t>
  </si>
  <si>
    <t>ashraf.shehzad.ch@gmail.com</t>
  </si>
  <si>
    <t>Kumari, Saru/K-2038-2019; Mahmood, Khalid/AAE-9552-2020; Arshad, Jehangir/AAF-7718-2021; Chaudhry, Shehzad/Y-3430-2019</t>
  </si>
  <si>
    <t>Chaudhry, Shehzad Ashraf/0000-0002-9321-6956; Arshad, Jehangir/0000-0002-9196-0458; Mahmood, Khalid/0000-0001-5046-7766; Kumari, Saru/0000-0003-4929-5383;</t>
  </si>
  <si>
    <t>1074-5351</t>
  </si>
  <si>
    <t>1099-1131</t>
  </si>
  <si>
    <t>INT J COMMUN SYST</t>
  </si>
  <si>
    <t>Int. J. Commun. Syst.</t>
  </si>
  <si>
    <t>NOV 10</t>
  </si>
  <si>
    <t>e4137</t>
  </si>
  <si>
    <t>10.1002/dac.4137</t>
  </si>
  <si>
    <t>AUG 2019</t>
  </si>
  <si>
    <t>JF4KB</t>
  </si>
  <si>
    <t>WOS:000482820100001</t>
  </si>
  <si>
    <t>Lokaj, Z; Srotyr, M; Vanis, M; Mlada, M</t>
  </si>
  <si>
    <t>Lokaj, Zdenek; Srotyr, Martin; Vanis, Miroslav; Mlada, Michal</t>
  </si>
  <si>
    <t>Methodology of Functional and Technical Evaluation of Cooperative Intelligent Transport Systems and Its Practical Application</t>
  </si>
  <si>
    <t>cooperative systems; evaluation methodology; telematics; functional evaluation; impact assessment; user acceptance</t>
  </si>
  <si>
    <t>USER ACCEPTANCE</t>
  </si>
  <si>
    <t>In the area of smart cities, great emphasis is placed on many different fields such as energetics, information systems, and transportation. All of these should lead to a simplification of life thanks to smart technologies. If we talk about the transportation field, the main issues related to this area are safety, traffic efficiency, or the environment. Another condition is the successful acceptance of any new technology by its users. Cooperative systems prove to be a suitable solution for these issues, especially in urban areas. Today, pilot implementations of cooperative systems in European countries are being carried out. However, before they are put into full operation, they need to be tested, evaluated, and assessed. This article focuses on the latter two points, i.e., evaluation and assessment of the cooperative systems. For this purpose, a methodology was created, which describes the procedure chosen in the evaluation and assessment of cooperative systems in the Czech Republic and a demonstration of its use by example. The methodology is focused on three main areas, which in this case are functional evaluation, user acceptance, and impact assessment. For the area of user acceptance, the main source was questionnaires, impact assessment relied on measured data while functional evaluation was based on discussions with the drivers, evaluating the cooperative systems, the measured data, and the expert observations. All collected and measured data were then processed and some of the results of the evaluation of the selected service are presented at the end of this article.</t>
  </si>
  <si>
    <t>[Lokaj, Zdenek; Srotyr, Martin; Vanis, Miroslav; Mlada, Michal] Czech Tech Univ, Fac Transportat Sci, Prague 11000, Czech Republic</t>
  </si>
  <si>
    <t>Czech Technical University Prague</t>
  </si>
  <si>
    <t>Vanis, M (corresponding author), Czech Tech Univ, Fac Transportat Sci, Prague 11000, Czech Republic.</t>
  </si>
  <si>
    <t>lokaj@fd.cvut.cz; srotyr@fd.cvut.cz; vanismir@fd.cvut.cz; mladamic@fd.cvut.cz</t>
  </si>
  <si>
    <t>; Srotyr, Martin/K-3222-2012; Vaniš, Miroslav/JTS-3862-2023</t>
  </si>
  <si>
    <t>Šrotýř, Martin/0000-0003-0049-4381; Vaniš, Miroslav/0000-0002-7589-6206; Lokaj, Zdenek/0000-0002-0624-0430;</t>
  </si>
  <si>
    <t>European Union (CEF), within the C-ROADS project</t>
  </si>
  <si>
    <t>European Union (CEF), within the C-ROADS project(Marie Curie ActionsEuropean Union (EU))</t>
  </si>
  <si>
    <t>This research was funded by European Union (CEF), within the C-ROADS project, grant number C-Roads_CZ_2015-CZ-TM-0188-M.</t>
  </si>
  <si>
    <t>10.3390/app11209700</t>
  </si>
  <si>
    <t>WR5VS</t>
  </si>
  <si>
    <t>WOS:000714567500001</t>
  </si>
  <si>
    <t>Marin-Plaza, P; Yagüe, D; Royo, F; de Miguel, MA; Moreno, FM; Ruiz-de-la-Cuadra, A; Viadero-Monasterio, F; Garcia, J; San Roman, JL; Armingol, JM</t>
  </si>
  <si>
    <t>Marin-Plaza, Pablo; Yague, David; Royo, Francisco; Angel de Miguel, Miguel; Miguel Moreno, Francisco; Ruiz-de-la-Cuadra, Alejandro; Viadero-Monasterio, Fernando; Garcia, Javier; Luis San Roman, Jose; Maria Armingol, Jose</t>
  </si>
  <si>
    <t>Project ARES: Driverless Transportation System. Challenges and Approaches in an Unstructured Road</t>
  </si>
  <si>
    <t>autonomous vehicles; driverless car; intelligent transportation; unstructured road; software architecture</t>
  </si>
  <si>
    <t>CONTROLLER; VEHICLES; ROBOT</t>
  </si>
  <si>
    <t>The expansion of electric vehicles in urban areas has paved the way toward the era of autonomous vehicles, improving the performance in smart cities and upgrading related driving problems. This field of research opens immediate applications in the tourism areas, airports or business centres by greatly improving transport efficiency and reducing repetitive human tasks. This project shows the problems derived from autonomous driving such as vehicle localization, low coverage of 4G/5G and GPS, detection of the road and navigable zones including intersections, detection of static and dynamic obstacles, longitudinal and lateral control and cybersecurity aspects. The approaches proposed in this article are sufficient to solve the operational design of the problems related to autonomous vehicle application in the special locations such as rough environment, high slopes and unstructured terrain without traffic rules.</t>
  </si>
  <si>
    <t>[Marin-Plaza, Pablo; Viadero-Monasterio, Fernando; Luis San Roman, Jose] Univ Carlos III Madrid, Mech Engn Dept, Av Univ 30, Madrid 28911, Spain; [Marin-Plaza, Pablo; Luis San Roman, Jose; Maria Armingol, Jose] Univ Carlos III Madrid, Inst Seguridad Vehiculos Automoviles ISVA, Av Univ 30, Madrid 28911, Spain; [Yague, David; Angel de Miguel, Miguel; Miguel Moreno, Francisco; Ruiz-de-la-Cuadra, Alejandro; Maria Armingol, Jose] Univ Carlos III Madrid, Syst &amp; Automat Engn Dept, Av Univ 30, Madrid 28911, Spain; [Royo, Francisco; Garcia, Javier] Univ Carlos III Madrid, Comp Sci &amp; Software Engn Dept, Av Univ 30, Madrid 28911, Spain</t>
  </si>
  <si>
    <t>Universidad Carlos III de Madrid; Universidad Carlos III de Madrid; Universidad Carlos III de Madrid; Universidad Carlos III de Madrid</t>
  </si>
  <si>
    <t>Marin-Plaza, P (corresponding author), Univ Carlos III Madrid, Mech Engn Dept, Av Univ 30, Madrid 28911, Spain.;Marin-Plaza, P; Armingol, JM (corresponding author), Univ Carlos III Madrid, Inst Seguridad Vehiculos Automoviles ISVA, Av Univ 30, Madrid 28911, Spain.;Armingol, JM (corresponding author), Univ Carlos III Madrid, Syst &amp; Automat Engn Dept, Av Univ 30, Madrid 28911, Spain.</t>
  </si>
  <si>
    <t>pamarinp@ing.uc3m.es; dayaguec@inf.uc3m.es; froyo@pa.uc3m.es; mimiguel@ing.uc3m.es; franmore@ing.uc3m.es; aruizla@inf.uc3m.es; fviadero@ing.uc3m.es; jgarciag@inf.uc3m.es; jlsanro@ing.uc3m.es; armingol@ing.uc3m.es</t>
  </si>
  <si>
    <t>Plaza, Pablo/G-3462-2015; San Román, José Luis/L-9187-2014; Viadero-Monasterio, Fernando/HZI-5915-2023; Marin Plaza, Pablo/G-3462-2015; Armingol, José María/K-6816-2014; de Miguel, Miguel Ángel/GRR-9202-2022; Armingol, José/K-6816-2014; San Román, José/L-9187-2014; García-Guzmán, Javier/L-4666-2014</t>
  </si>
  <si>
    <t>San Román, José Luis/0000-0002-1698-4900; Yagüe-Cuevas, David/0000-0001-9679-5589; Viadero-Monasterio, Fernando/0000-0003-3639-8340; Marin Plaza, Pablo/0000-0001-7196-434X; Armingol, José María/0000-0002-3353-9956; Royo Velasco, Francisco/0000-0002-7741-1639; MIGUEL, MIGUEL ANGEL DE/0000-0001-5683-9524; GARCIA GUZMAN, JAVIER/0000-0001-6039-795X;</t>
  </si>
  <si>
    <t>Spanish Government through the CICYT projects [PID2019-104793RB-C31, RTI2018-096036-B-C21]; Comunidad de Madrid through SEGVAUTO-4.0-CM [P2018/EMT-4362]; EAI of the Ministry of Science and Innovation of the Government of Spain [RTI2018-095143-B-C21]</t>
  </si>
  <si>
    <t>Spanish Government through the CICYT projects(Spanish Government); Comunidad de Madrid through SEGVAUTO-4.0-CM(Comunidad de Madrid); EAI of the Ministry of Science and Innovation of the Government of Spain</t>
  </si>
  <si>
    <t>Research is supported by the Spanish Government through the CICYT projects (PID2019-104793RB-C31 and RTI2018-096036-B-C21), the Comunidad de Madrid through SEGVAUTO-4.0-CM (P2018/EMT-4362) and through EAI of the Ministry of Science and Innovation of the Government of Spain project RTI2018-095143-B-C21.</t>
  </si>
  <si>
    <t>10.3390/electronics10151753</t>
  </si>
  <si>
    <t>TV6XM</t>
  </si>
  <si>
    <t>WOS:000681863900001</t>
  </si>
  <si>
    <t>Lazaroiu, C; Roscia, M</t>
  </si>
  <si>
    <t>Lazaroiu, Cristian; Roscia, Mariacristina</t>
  </si>
  <si>
    <t>Smart District through IoT and Blockchain</t>
  </si>
  <si>
    <t>2017 IEEE 6TH INTERNATIONAL CONFERENCE ON RENEWABLE ENERGY RESEARCH AND APPLICATIONS (ICRERA)</t>
  </si>
  <si>
    <t>International Conference on Renewable Energy Research and Applications</t>
  </si>
  <si>
    <t>6th IEEE INTERNATIONAL CONFERENCE on RENEWABLE ENERGY RESEARCH and APPLICATIONS (ICRERA 2017)</t>
  </si>
  <si>
    <t>NOV 05-08, 2017</t>
  </si>
  <si>
    <t>San Diego, CA</t>
  </si>
  <si>
    <t>Home and Building automation; IoT; Blockchain; Smart Grid; Smart devices</t>
  </si>
  <si>
    <t>The increasing trend of people moving to urban areas and the associated urbanization process require facing challenges regarding city infrastructures capability to cover citizens needs for energy, water, transportation, healthcare, education, safety. The smart urban teclmologies represent an important contribution to the sustainable development of cities, making smart cities a reality. The concept of Home Automation must he considered in relation to the new technologies and the new smart users and the house will no longer be regarded as a single entity, hut as a fundamental part of the new concept of city. The idea of smart cities is developing extremely rapidly, integrating smart grid, services, building, house and appliances, these subsystems must be able to interact, connect, and control remotely, collaboratively, to achieve a better quality of life, sustainability, energy saving, social and economic development. The widespread of Smart City depends heavily on the capability of users to understand and handle the ICT, IoT and BC. The paper designs a smart district model that is the step necessary to build a Smart City using new technologies and the role of an efficient energy management system integrated into a platform based on an IoT and BC approach for a replicable model and can be implemented.</t>
  </si>
  <si>
    <t>[Lazaroiu, Cristian] Univ Politehn Bucuresti, Dept Power Syst, Bucharest, Romania; [Roscia, Mariacristina] Univ Bergamo, Dept Engn &amp; Appl Sci, Dalmine, BG, Italy</t>
  </si>
  <si>
    <t>National University of Science &amp; Technology POLITEHNICA Bucharest; University of Bergamo</t>
  </si>
  <si>
    <t>Lazaroiu, C (corresponding author), Univ Politehn Bucuresti, Dept Power Syst, Bucharest, Romania.</t>
  </si>
  <si>
    <t>cristian.lazaroiu@upb.ro; cristina.roscia@unibg.it</t>
  </si>
  <si>
    <t>; Roscia, Cristina/AAR-7410-2020; Lazaroiu, George Cristian/A-8153-2012</t>
  </si>
  <si>
    <t>roscia, mariacristina/0000-0001-9422-9508; Lazaroiu, George Cristian/0000-0002-6749-5891</t>
  </si>
  <si>
    <t>2377-6897</t>
  </si>
  <si>
    <t>978-1-5386-2095-3</t>
  </si>
  <si>
    <t>INT CONF RENEW ENERG</t>
  </si>
  <si>
    <t>Green &amp; Sustainable Science &amp; Technology; Energy &amp; Fuels; Engineering, Electrical &amp; Electronic</t>
  </si>
  <si>
    <t>Science &amp; Technology - Other Topics; Energy &amp; Fuels; Engineering</t>
  </si>
  <si>
    <t>BJ6IE</t>
  </si>
  <si>
    <t>WOS:000426708600070</t>
  </si>
  <si>
    <t>Ndaguba, E; Cilliers, J; Ghosh, S; Herath, S; Mussi, ET</t>
  </si>
  <si>
    <t>Ndaguba, Emeka; Cilliers, Jua; Ghosh, Sumita; Herath, Shanaka; Mussi, Eveline Tancredo</t>
  </si>
  <si>
    <t>Operability of Smart Spaces in Urban Environments: A Systematic Review on Enhancing Functionality and User Experience</t>
  </si>
  <si>
    <t>smart spaces; interoperability; user experience; artificial intelligence; Internet of Things (IoT); smart space management</t>
  </si>
  <si>
    <t>THIN-FILMS; TECHNOLOGIES; OXIDE</t>
  </si>
  <si>
    <t>This literature review highlights the emergence of the Internet of Things (IoT) and the proliferation of connected devices as the driving force behind the adoption of smart spaces. This review also discusses the various applications of smart spaces, including smart homes, smart cities, and smart healthcare: (1) Background: the aim of this research is to provide a comprehensive overview of the concept of smart spaces, including their key features, technologies, and applications in built environments and urban areas; (2) Methods: The study adopts a qualitative approach, drawing on secondary sources, such as academic journals, reports, and online sources; (3) Results: The findings suggest that smart spaces have the potential to transform the way people interact with their environment and each other. They could improve efficiency, safety, and quality of life. However, there are also concerns about privacy and security in relation to the collection and use of personal data; (4) Conclusions: The study concludes that smart spaces have significant theoretical and practical implications for various fields, including architecture, urban planning, and healthcare. The theoretical implications include the need for new models and frameworks to understand the complex relationships between technology, space, and society. The practical implications involve the development of new standards and regulations to ensure the responsible and ethical use of smart spaces.</t>
  </si>
  <si>
    <t>[Ndaguba, Emeka] Univ Free State, Ctr Dev Support, ZA-9301 Bloemfontein, South Africa; [Ndaguba, Emeka; Cilliers, Jua; Ghosh, Sumita; Herath, Shanaka; Mussi, Eveline Tancredo] Univ Technol Sydney, Fac Design Architecture &amp; Bldg, Sch Built Environm, Ultimo, NSW 2007, Australia; [Cilliers, Jua] North West Univ, Unit Environm Sci &amp; Management, ZA-2531 Potchefstroom, South Africa</t>
  </si>
  <si>
    <t>University of the Free State; University of Technology Sydney; North West University - South Africa</t>
  </si>
  <si>
    <t>Ndaguba, E (corresponding author), Univ Free State, Ctr Dev Support, ZA-9301 Bloemfontein, South Africa.;Ndaguba, E (corresponding author), Univ Technol Sydney, Fac Design Architecture &amp; Bldg, Sch Built Environm, Ultimo, NSW 2007, Australia.</t>
  </si>
  <si>
    <t>emeka@ndaguba.net; ua.cilliers@uts.edu.au; sumita.ghosh@uts.edu.au; shanaka.herath@uts.edu.au; evelinetancredo.mussi@uts.edu.au</t>
  </si>
  <si>
    <t>Cilliers, Elizelle Juanee/C-4303-2012; Ndaguba, Emeka/H-8260-2018; Ndaguba, Emeka/H-8260-2018; Herath, Shanaka/AAC-5483-2019; Cilliers, Juanee/C-4303-2012</t>
  </si>
  <si>
    <t>Cilliers, Elizelle Juanee/0000-0002-8581-6302; Ndaguba, Emeka/0000-0002-7447-5565; Ndaguba, Emeka/0000-0002-7447-5565; Ghosh, Sumita/0000-0001-6488-9329; Herath, Shanaka/0000-0002-7958-3274</t>
  </si>
  <si>
    <t>10.3390/s23156938</t>
  </si>
  <si>
    <t>O7TO1</t>
  </si>
  <si>
    <t>WOS:001045792900001</t>
  </si>
  <si>
    <t>Marinescu, C</t>
  </si>
  <si>
    <t>Marinescu, Corneliu</t>
  </si>
  <si>
    <t>Design Consideration Regarding a Residential Renewable-Based Microgrid with EV Charging Station Capabilities</t>
  </si>
  <si>
    <t>Residential Charging Station; renewable energy sources; storage design; RES converters for RCS</t>
  </si>
  <si>
    <t>Electric Vehicles (EVs) will be a key component of sustainable e-transportation systems. It is important to provide a charging infrastructure for EVs. EVs are zero polluting and highly efficient, but these qualities are valid only if the EV is supplied from renewable energy sources (RES). In urban areas, there is a lot of unused space such as roofs of residential and enterprise buildings, roofs of parking lots, building facades, etc. In cities, the PV and small wind turbines RES should be able to supply EVs with clean energy. Such a solution has many advantages. In an EU-financed research project, the team developed a solution for a Residential Charging Station (RCS), the design solution being implemented with the equipment available on the market. In this paper, the design considerations and some challenges raised by it are presented. Improvements of the existing equipment to better suit future needs are further discussed. The proposed solution solves the matter optimally and the implementing it will offer future Smart Cities an RCS with public access with several useful properties.</t>
  </si>
  <si>
    <t>[Marinescu, Corneliu] Transilvania Univ Brasov, Fac Elect Engn &amp; Comp Sci, Dept Elect Engn &amp; Appl Phys, Brasov 500079, Romania</t>
  </si>
  <si>
    <t>Transylvania University of Brasov</t>
  </si>
  <si>
    <t>Marinescu, C (corresponding author), Transilvania Univ Brasov, Fac Elect Engn &amp; Comp Sci, Dept Elect Engn &amp; Appl Phys, Brasov 500079, Romania.</t>
  </si>
  <si>
    <t>corneliu.marinescu@unitbv.ro</t>
  </si>
  <si>
    <t>Marinescu, Corneliu/E-5436-2015</t>
  </si>
  <si>
    <t>Marinescu, Corneliu/0000-0001-5085-1004</t>
  </si>
  <si>
    <t>10.3390/en14165085</t>
  </si>
  <si>
    <t>UI4NX</t>
  </si>
  <si>
    <t>WOS:000690587100001</t>
  </si>
  <si>
    <t>Resat, HG</t>
  </si>
  <si>
    <t>Resat, H. Giray</t>
  </si>
  <si>
    <t>Design and Analysis of Novel Hybrid Multi-Objective Optimization Approach for Data-Driven Sustainable Delivery Systems</t>
  </si>
  <si>
    <t>Drones; Vehicle routing; Urban areas; Linear programming; Logistics; Optimization; Discrete optimization; mixed-integer linear programming; vehicle routing problem</t>
  </si>
  <si>
    <t>VEHICLE-ROUTING PROBLEM; TRAVELING SALESMAN PROBLEM; EPSILON-CONSTRAINT METHOD; SUPPLIER SELECTION; DECISION-MAKING; TIME WINDOWS; DRONE; ALGORITHM; MODEL; CHAIN</t>
  </si>
  <si>
    <t>This study presents a novel two-stage solution method designed for sustainable last-mile delivery systems in urban areas. A proposed hybrid solution methodology includes multi-criteria decision-making system to select the most efficient logistics providers by considering different performance indicators, and a mixed-integer linear optimization model for last-mile cargo distributions by drones within metropolitan areas. We present a multi-objective modeling approach by considering time windows for customer services and charging operations of drones and outline important characteristics of the mathematical programming problem to minimize transportation cost (in the meantime carbon dioxide emissions) and total sustainability score of the system by using epsilon constraint method to find out the Pareto frontiers. The main novelty of the proposed solution methodology is the inclusion of many performance indicators of last-mile delivery systems into multi-objective models for design of a sustainable city logistics. Additionally, the proposed model is applied to an illustrative case by using real-life data of one of the metropolitan in Turkey. The approach is shown as comparative analysis of proposed method with other two state-of-art solution methodologies for multi-objective problems, after defining some pre-processing, symmetry breaking steps, valid inequalities, and logic cuts.</t>
  </si>
  <si>
    <t>[Resat, H. Giray] Izmir Univ Econ, Dept Ind Engn, TR-35330 Izmir, Turkey</t>
  </si>
  <si>
    <t>Izmir Ekonomi Universitesi</t>
  </si>
  <si>
    <t>Resat, HG (corresponding author), Izmir Univ Econ, Dept Ind Engn, TR-35330 Izmir, Turkey.</t>
  </si>
  <si>
    <t>giray.resat@ieu.edu.tr</t>
  </si>
  <si>
    <t>; Resat, Hamdi/AAB-5868-2020</t>
  </si>
  <si>
    <t>RESAT, HAMDİ GİRAY/0000-0002-9235-3510;</t>
  </si>
  <si>
    <t>10.1109/ACCESS.2020.2994186</t>
  </si>
  <si>
    <t>LV8XZ</t>
  </si>
  <si>
    <t>WOS:000538727700109</t>
  </si>
  <si>
    <t>Aktay, E; Yalçin, N</t>
  </si>
  <si>
    <t>Aktay, Erol; Yalcin, Nursel</t>
  </si>
  <si>
    <t>A smart city application: A waste collection system with long range wide area network for providing green environment and cost effective and low power consumption solutions</t>
  </si>
  <si>
    <t>city management; Internet of Things; LoRa; LoRaWan; LPWAN; smart city; smart waste management</t>
  </si>
  <si>
    <t>TECHNOLOGIES; INTERNET; THINGS</t>
  </si>
  <si>
    <t>The trend towards cities and urbanisation, which increases the number of people living in urban areas, requires local authorities to provide services and natural resources more efficiently and effectively and develop some strategies for a sustainable environment. The more effective use of resources, growing awareness of sustainable environment, climate confidence and motivation to make cities more livable is a new concept called Smart City. In this study, the proposed system supports the garbage collection of the city government and works with low budget, low energy, and free radio frequencies. The Internet of Things (IoT) sensor node is assembled, and the network is set up based on the long range wide area network protocol to connect it to the sample garbage bin and collect data. Instant data collection by this network is carried out through the IoT and is designed based on the collected data. The goal is to build an ideal system for smart garbage collection in cities and support sustainability in cities by integrating with the city government's information systems. The data received from the sensor nodes and the efficiency of the system were demonstrated for local governments. The main outcome of this research is to develop a practical smart city application with minimal resources and support local governments in their daily work. Moreover, how a low power wide area network communication network with a frequency of 868 MHz works in Istanbul (Turkey) will be investigated further and which alternative to cellular networks is the most suitable for excellent communication in smart cities will be studied.</t>
  </si>
  <si>
    <t>[Aktay, Erol] Gazi Univ, Grad Sch Informat, Ankara, Turkey; [Yalcin, Nursel] Gazi Fac Educ, Dept Comp &amp; Instruct Technol Educ, Ankara, Turkey</t>
  </si>
  <si>
    <t>Gazi University; Gazi University</t>
  </si>
  <si>
    <t>Yalçin, N (corresponding author), Gazi Fac Educ, Dept Comp &amp; Instruct Technol Educ, Ankara, Turkey.</t>
  </si>
  <si>
    <t>nyalcin@gazi.edu.tr</t>
  </si>
  <si>
    <t>; Yalçın, Nursel/U-6994-2018</t>
  </si>
  <si>
    <t>YALÇIN, L/0000-0002-0393-6408; AKTAY, Erol/0000-0001-6433-9722;</t>
  </si>
  <si>
    <t>10.1049/smc2.12014</t>
  </si>
  <si>
    <t>3A0HM</t>
  </si>
  <si>
    <t>WOS:000826947700003</t>
  </si>
  <si>
    <t>Cleophas, C; Cottrill, C; Ehmke, JF; Tierney, K</t>
  </si>
  <si>
    <t>Cleophas, Catherine; Cottrill, Caitlin; Ehmke, Jan Fabian; Tierney, Kevin</t>
  </si>
  <si>
    <t>Collaborative urban transportation: Recent advances in theory and practice</t>
  </si>
  <si>
    <t>EUROPEAN JOURNAL OF OPERATIONAL RESEARCH</t>
  </si>
  <si>
    <t>Urban logistics; Collaborative transportation; Review; Collaboration</t>
  </si>
  <si>
    <t>VEHICLE-ROUTING PROBLEM; LARGE NEIGHBORHOOD SEARCH; LAST MILE DELIVERY; A-RIDE PROBLEM; COST ALLOCATION; FREIGHT TRANSPORT; TIME WINDOWS; HORIZONTAL COOPERATION; SCENARIO ASSESSMENT; ELECTRIC VEHICLES</t>
  </si>
  <si>
    <t>Increasing urbanization has turned transporting freight from, to, and within urban areas into a major challenge. Freight transportation represents a lifeline for urban retail and industry, but causes significant negative impacts on the quality of living in urban areas in terms of congestion, emissions and space consumption. City logistics initiatives have long suggested the need for collaborative and environmentally friendly urban transportation that could alleviate the negative impacts of urban transportation, but these face organizational and technological challenges of collaboration. Given technological advancements and innovative business models, concepts of collaborative urban transportation could contribute to a future paradigm of more sustainable and customer-friendly urban transportation. In this work, we collect and discuss contributions to collaborative freight transportation in urban areas with focus on recent publications (i.e. those published over the past ten years). We particularly analyze vertical and horizontal approaches of collaboration from an operations research perspective and point out strategic, tactical, and operational planning problems and solution approaches. To highlight research gaps and future research opportunities, we present innovative examples of collaborative urban transportation and analyze factors of failure and success. Collecting recent advances in theory and practice of collaborative urban transportation allows us to distill alternative visions of future collaborative freight transportation in urban areas. (C) 2018 Elsevier B.V. All rights reserved.</t>
  </si>
  <si>
    <t>[Cleophas, Catherine] Univ Lancaster, Sch Management, Dept Management Sci, Lancaster, England; [Cottrill, Caitlin] Univ Aberdeen, Ctr Transport Res, Aberdeen, Scotland; [Ehmke, Jan Fabian] Univ Magdeburg, Management Sci Grp, Magdeburg, Germany; [Tierney, Kevin] Bielefeld Univ, Decis &amp; Operat Technol Grp, Bielefeld, Germany</t>
  </si>
  <si>
    <t>Lancaster University; University of Aberdeen; Otto von Guericke University; University of Bielefeld</t>
  </si>
  <si>
    <t>Cleophas, C (corresponding author), Univ Lancaster, Sch Management, Dept Management Sci, Lancaster, England.</t>
  </si>
  <si>
    <t>c.cleophas@lancaster.ac.uk</t>
  </si>
  <si>
    <t>Cottrill, Caitlin/V-3813-2019; Ehmke, Jan/AAI-7283-2020; Cleophas, Catherine/C-1404-2014</t>
  </si>
  <si>
    <t>Cottrill, Caitlin/0000-0002-1638-8113; Tierney, Kevin/0000-0002-5931-4907; Ehmke, Jan Fabian/0000-0001-8474-7483; Cleophas, Catherine/0000-0002-3676-2782</t>
  </si>
  <si>
    <t>Leibniz Association</t>
  </si>
  <si>
    <t>We thank the Leibniz Association for sponsoring the Dagstuhl Seminar 16091, at which the work presented here was initiated. We also thank Leena Suhl for her comments on an early version of this work. Finally, we thank the anonymous reviewers for the constructive comments.</t>
  </si>
  <si>
    <t>PO BOX 211, 1000 AE AMSTERDAM, NETHERLANDS</t>
  </si>
  <si>
    <t>0377-2217</t>
  </si>
  <si>
    <t>1872-6860</t>
  </si>
  <si>
    <t>EUR J OPER RES</t>
  </si>
  <si>
    <t>Eur. J. Oper. Res.</t>
  </si>
  <si>
    <t>MAR 16</t>
  </si>
  <si>
    <t>10.1016/j.ejor.2018.04.037</t>
  </si>
  <si>
    <t>HG6CQ</t>
  </si>
  <si>
    <t>WOS:000455069000001</t>
  </si>
  <si>
    <t>Aamir, M; Masroor, S; Ali, ZA; Ting, BT</t>
  </si>
  <si>
    <t>Aamir, Muhammad; Masroor, Suhaib; Ali, Zain Anwar; Ting, Bai Ting</t>
  </si>
  <si>
    <t>Sustainable Framework for Smart Transportation System: A Case Study of Karachi</t>
  </si>
  <si>
    <t>WIRELESS PERSONAL COMMUNICATIONS</t>
  </si>
  <si>
    <t>21st Strategic Workshop (SW) on Social Innovation for Sustainable Infrastructure (SISI)</t>
  </si>
  <si>
    <t>MAY 14-16, 2018</t>
  </si>
  <si>
    <t>Tromso, NORWAY</t>
  </si>
  <si>
    <t>Smart cities; Smart transportation; Smart solution; Smart technologies; Sustainable transport infrastructure</t>
  </si>
  <si>
    <t>In this paper, a framework of smart transportation system is proposed, aiming to address the transportation problem in Karachi city. In modern day world, the mega cities and urban areas are on the edge of transformation into smart cities. With the advancement of engineering and technology, smart cities are designed to integrate and utilize these scientific innovations to provide smart solutions and social innovations for sustainable infrastructure, thus they are able to provide its resident highest quality of life by utilizing its resources effectively. One of the major application of smart cities is the Smart Transportation System, which provides safer, quick, environment friendly service to the residents. Thus, this study highlights the current traffic situation of Karachi and propose a framework to transform it into a smart transportation system. In order to have a smart transportation system, it is necessary to have in-depth knowledge and information about the city dynamics and its traffic related issues. Therefore, this study also highlights current traffic situation of Karachi, its road conditions and capacity, vehicles condition, alternate mean of transport (other than road-based system) and its present condition, and finally proposes a framework to develop a smart transportation system while keeping in mind the aforesaid traffic problems.</t>
  </si>
  <si>
    <t>[Aamir, Muhammad] Sir Syed Univ Engn &amp; Technol, Dept Telecommun Engn, Karachi, Pakistan; [Masroor, Suhaib] Sir Syed Univ Engn &amp; Technol, Dept Biomed Engn, Karachi, Pakistan; [Ali, Zain Anwar] Sir Syed Univ Engn &amp; Technol, Dept Elect Engn, Karachi, Pakistan; [Ting, Bai Ting] Nanjing Univ Aeronaut &amp; Astronaut, Coll Automat Engn, Nanjing, Jiangsu, Peoples R China</t>
  </si>
  <si>
    <t>Sir Syed University of Engineering &amp; Technology; Sir Syed University of Engineering &amp; Technology; Sir Syed University of Engineering &amp; Technology; Nanjing University of Aeronautics &amp; Astronautics</t>
  </si>
  <si>
    <t>Aamir, M (corresponding author), Sir Syed Univ Engn &amp; Technol, Dept Telecommun Engn, Karachi, Pakistan.</t>
  </si>
  <si>
    <t>muaamir5@yahoo.com; suhaibmasroor1@gmail.com; zainanwar86@hotmail.com; baitingting@nuaa.edu.cn</t>
  </si>
  <si>
    <t>Ali, Zain/JQW-4616-2023</t>
  </si>
  <si>
    <t>ALI, ZAIN ANWAR/0000-0002-2143-2879</t>
  </si>
  <si>
    <t>233 SPRING ST, NEW YORK, NY 10013 USA</t>
  </si>
  <si>
    <t>0929-6212</t>
  </si>
  <si>
    <t>1572-834X</t>
  </si>
  <si>
    <t>WIRELESS PERS COMMUN</t>
  </si>
  <si>
    <t>Wirel. Pers. Commun.</t>
  </si>
  <si>
    <t>10.1007/s11277-019-06259-4</t>
  </si>
  <si>
    <t>Science Citation Index Expanded (SCI-EXPANDED); Social Science Citation Index (SSCI); Conference Proceedings Citation Index - Science (CPCI-S)</t>
  </si>
  <si>
    <t>HT9RR</t>
  </si>
  <si>
    <t>WOS:000464910800003</t>
  </si>
  <si>
    <t>Leone, GR; Moroni, D; Pieri, G; Petracca, M; Salvetti, O; Azzarà, A; Marino, F</t>
  </si>
  <si>
    <t>Leone, Giuseppe Riccardo; Moroni, Davide; Pieri, Gabriele; Petracca, Matteo; Salvetti, Ovidio; Azzara, Andrea; Marino, Francesco</t>
  </si>
  <si>
    <t>An Intelligent Cooperative Visual Sensor Network for Urban Mobility</t>
  </si>
  <si>
    <t>visual sensor networks; real time image processing; embedded vision; IoT middleware; internet of things; intelligent transportation systems; smart cities</t>
  </si>
  <si>
    <t>BACKGROUND SUBTRACTION; VEHICLE DETECTION; VISION SYSTEM; CLASSIFICATION; PARKING; FRAMEWORK; TRACKING; INTERSECTIONS; SURVEILLANCE; PATTERNS</t>
  </si>
  <si>
    <t>Smart cities are demanding solutions for improved traffic efficiency, in order to guarantee optimal access to mobility resources available in urban areas. Intelligent video analytics deployed directly on board embedded sensors offers great opportunities to gather highly informative data about traffic and transport, allowing reconstruction of a real-time neat picture of urban mobility patterns. In this paper, we present a visual sensor network in which each node embeds computer vision logics for analyzing in real time urban traffic. The nodes in the network share their perceptions and build a global and comprehensive interpretation of the analyzed scenes in a cooperative and adaptive fashion. This is possible thanks to an especially designed Internet of Things (IoT) compliant middleware which encompasses in-network event composition as well as full support of Machine-2-Machine (M2M) communication mechanism. The potential of the proposed cooperative visual sensor network is shown with two sample applications in urban mobility connected to the estimation of vehicular flows and parking management. Besides providing detailed results of each key component of the proposed solution, the validity of the approach is demonstrated by extensive field tests that proved the suitability of the system in providing a scalable, adaptable and extensible data collection layer for managing and understanding mobility in smart cities.</t>
  </si>
  <si>
    <t>[Leone, Giuseppe Riccardo; Moroni, Davide; Pieri, Gabriele; Petracca, Matteo; Salvetti, Ovidio] Natl Res Council Italy, Inst Informat Sci &amp; Technol, I-56124 Pisa, Italy; [Azzara, Andrea; Marino, Francesco] Scuola Super St Anna Pisa, I-56124 Pisa, Italy</t>
  </si>
  <si>
    <t>Consiglio Nazionale delle Ricerche (CNR); Istituto di Scienza e Tecnologie dell'Informazione Alessandro Faedo (ISTI-CNR); Scuola Superiore Sant'Anna</t>
  </si>
  <si>
    <t>Moroni, D (corresponding author), Natl Res Council Italy, Inst Informat Sci &amp; Technol, I-56124 Pisa, Italy.</t>
  </si>
  <si>
    <t>g.leone@isti.cnr.it; davide.moroni@isti.cnr.it; gabriele.pieri@isti.cnr.it; matteo.petracca@isti.cnr.it; ovidio.salvetti@isti.cnr.it; andrea.azza@gmail.com; fr.marino@santannapisa.it</t>
  </si>
  <si>
    <t>; Moroni, Davide/T-8258-2018; Salvetti, Ovidio/C-4891-2015; PIERI, GABRIELE/G-5569-2015; Petracca, Matteo/I-2497-2016</t>
  </si>
  <si>
    <t>Marino, Francesco/0000-0001-7662-1661; Leone, Giuseppe Riccardo/0000-0002-7441-8528; Moroni, Davide/0000-0002-5175-5126; PIERI, GABRIELE/0000-0001-5068-2861; Petracca, Matteo/0000-0002-0893-7493</t>
  </si>
  <si>
    <t>EU [317671]; Academy of Finland (AKA) [317671] Funding Source: Academy of Finland (AKA)</t>
  </si>
  <si>
    <t>EU(European Union (EU)); Academy of Finland (AKA)(Research Council of Finland)</t>
  </si>
  <si>
    <t>This work has been partially supported by EU FP7 project ICSI - Intelligent Cooperative Sensing for Improved traffic efficiency - Contract (GA) number 317671.</t>
  </si>
  <si>
    <t>MDPI AG</t>
  </si>
  <si>
    <t>10.3390/s17112588</t>
  </si>
  <si>
    <t>FO4DJ</t>
  </si>
  <si>
    <t>WOS:000416790500150</t>
  </si>
  <si>
    <t>Lanza, J; Sánchez, L; Muñoz, L; Galache, JA; Sotres, P; Santana, JR; Gutiérrez, V</t>
  </si>
  <si>
    <t>Lanza, Jorge; Sanchez, Luis; Munoz, Luis; Antonio Galache, Jose; Sotres, Pablo; Santana, Juan R.; Gutierrez, Veronica</t>
  </si>
  <si>
    <t>Large-Scale Mobile Sensing Enabled Internet-of-Things Testbed for Smart City Services</t>
  </si>
  <si>
    <t>INTERNATIONAL JOURNAL OF DISTRIBUTED SENSOR NETWORKS</t>
  </si>
  <si>
    <t>EXPERIMENTATION</t>
  </si>
  <si>
    <t>Smart cities are one of the key application domains for the Internet-of-Things paradigm. Extending the Web into the physical realm of a city, by means of the widespread deployment of spatially distributed Internet-addressable devices with sensing and/or actuation capabilities, allows improving efficiency of city services. Vehicles moving around the city become excellent probes when the objective is to gather information across the city in a cost effective manner. Public transportation fleets, taxis, or vehicles such as waste collection trucks cover most of the urban areas with a limited number of vehicles. This paper presents the deployment of a large scale Internet-of-Things testbed that has been carried out in the city of Santander. It extends previous descriptions by providing a specification of one of the unique features of the testbed, namely, the devices that have been installed on 140 buses, taxis, and vans that every day drive around the city. Besides the physical characteristics of the devices installed and the lessons learnt during the deployment, the paper introduces the three mobile sensing network strategies used for distributing the data gathered. Finally, the paper sketches some of smart city services which might be provided using the information coming from the mobile IoT devices.</t>
  </si>
  <si>
    <t>[Lanza, Jorge; Sanchez, Luis; Munoz, Luis; Antonio Galache, Jose; Sotres, Pablo; Santana, Juan R.; Gutierrez, Veronica] Univ Cantabria, Network Planning &amp; Mobile Commun Lab, E-39005 Santander, Spain</t>
  </si>
  <si>
    <t>Universidad de Cantabria</t>
  </si>
  <si>
    <t>Muñoz, L (corresponding author), Univ Cantabria, Network Planning &amp; Mobile Commun Lab, E-39005 Santander, Spain.</t>
  </si>
  <si>
    <t>luis@tlmat.unican.es</t>
  </si>
  <si>
    <t>; Sanchez, Luis/H-4370-2019; Santana, Juan Ramón/GLN-8000-2022; Sotres, Pablo/JAX-2815-2023</t>
  </si>
  <si>
    <t>Santana, Juan Ramón/0000-0003-1374-2153; Muñoz, Luis/0000-0002-7704-1199; Lanza Calderón, Jorge/0000-0002-9586-1334; Sanchez, Luis/0000-0003-0136-3420; Sotres, Pablo/0000-0002-2881-3594;</t>
  </si>
  <si>
    <t>7th Framework Programme of the European Community [FP7-ICT-2009-5]; Spanish government [TEC2012-38574-C02-01]</t>
  </si>
  <si>
    <t>7th Framework Programme of the European Community; Spanish government(Spanish Government)</t>
  </si>
  <si>
    <t>This work has been partially funded by Research Project SmartSantander, under FP7-ICT-2009-5 of the 7th Framework Programme of the European Community. The authors would like to acknowledge the collaboration with the rest of partners within the consortium leading to the results presented in this paper. The authors would also like to express their gratitude to the Spanish government for the funding in the following project: Connectivity as a Service: Access for the Internet of the Future, COSAIF (TEC2012-38574-C02-01).</t>
  </si>
  <si>
    <t>1550-1477</t>
  </si>
  <si>
    <t>INT J DISTRIB SENS N</t>
  </si>
  <si>
    <t>Int. J. Distrib. Sens. Netw.</t>
  </si>
  <si>
    <t>10.1155/2015/785061</t>
  </si>
  <si>
    <t>CQ3BR</t>
  </si>
  <si>
    <t>WOS:000360477100001</t>
  </si>
  <si>
    <t>Kiousis, V; Nathanail, E; Karakikes, I</t>
  </si>
  <si>
    <t>Nathanail, EG; Karakikes, ID</t>
  </si>
  <si>
    <t>Kiousis, Vasileios; Nathanail, Eftihia; Karakikes, Ioannis</t>
  </si>
  <si>
    <t>Assessing Traffic and Environmental Impacts of Smart Lockers Logistics Measure in a Medium-Sized Municipality of Athens</t>
  </si>
  <si>
    <t>DATA ANALYTICS: PAVING THE WAY TO SUSTAINABLE URBAN MOBILITY</t>
  </si>
  <si>
    <t>Advances in Intelligent Systems and Computing</t>
  </si>
  <si>
    <t>4th Conference on Sustainable Urban Mobility (CSUM)</t>
  </si>
  <si>
    <t>MAY 24-25, 2018</t>
  </si>
  <si>
    <t>City logistics; Urban mobility; Simulation; Evaluation</t>
  </si>
  <si>
    <t>Home deliveries and e-commerce activities have increased substantially in the recent years. This fact led to the increase of the number of last mile trips in urban areas contributing immensely to the overall impacts on the urban environment. Communities are called to find smart solutions to alleviate these impacts, providing at the same time efficient logistics operation, service quality and user satisfaction. Smart lockers is a novel city logistics measure aiming at mitigating issues generated from the last mile of parcel deliveries, thus promoting the principles of sustainable urban mobility. In the present study a microscopic simulation of freight traffic flows was performed in a medium-sized municipality of Athens, Greece. Actual delivery data were obtained from a well-known logistics provider and used as input in PTV Vissim software in order to firstly assess the current operation of the deliveries in the study area. Further, an alternative scenario was developed, assuming that instead of home addresses, deliveries were made to the existing, though currently of limited use smart lockers network, assuming final collection of the order by the consumers. Consumers' traveling options and preferences, were simulated in more sub-scenarios and results were compared to provide better understanding of the potential benefits arising by implementing the measure. Impacts on traffic (i.e. travel times and delays), as well as on the environment (i.e. emissions) were further assessed in a multicriteria framework which led to the estimation of the Logistics Sustainability Indices of the tested scenarios.</t>
  </si>
  <si>
    <t>[Kiousis, Vasileios; Nathanail, Eftihia; Karakikes, Ioannis] Univ Thessaly, Dept Civil Engn, Volos 38334, Volos, Greece</t>
  </si>
  <si>
    <t>Kiousis, V (corresponding author), Univ Thessaly, Dept Civil Engn, Volos 38334, Volos, Greece.</t>
  </si>
  <si>
    <t>v.kiousis@outlook.com</t>
  </si>
  <si>
    <t>KARAKIKES, IOANNIS/0000-0001-6610-0651; Nathanail, Eftihia/0000-0002-9083-9584;</t>
  </si>
  <si>
    <t>2194-5357</t>
  </si>
  <si>
    <t>2194-5365</t>
  </si>
  <si>
    <t>978-3-030-02305-8; 978-3-030-02304-1</t>
  </si>
  <si>
    <t>ADV INTELL SYST</t>
  </si>
  <si>
    <t>10.1007/978-3-030-02305-8_74</t>
  </si>
  <si>
    <t>Computer Science, Interdisciplinary Applications; Green &amp; Sustainable Science &amp; Technology; Transportation Science &amp; Technology</t>
  </si>
  <si>
    <t>Computer Science; Science &amp; Technology - Other Topics; Transportation</t>
  </si>
  <si>
    <t>BQ4EK</t>
  </si>
  <si>
    <t>WOS:000589182700074</t>
  </si>
  <si>
    <t>Halgamuge, MN; Bojovschi, A; Fisher, PMJ; Le, TC; Adeloju, S; Murphy, S</t>
  </si>
  <si>
    <t>Halgamuge, Malka N.; Bojovschi, Alexe; Fisher, Peter M. J.; Le, Tu C.; Adeloju, Samuel; Murphy, Susan</t>
  </si>
  <si>
    <t>Internet of Things and autonomous control for vertical cultivation walls towards smart food growing: A review</t>
  </si>
  <si>
    <t>IoT; Vertical garden; Vertical greening or vertical farming; Smart farm; Smart living; Smart cities; Sensors; Crop; Plant</t>
  </si>
  <si>
    <t>GREENING SYSTEMS; CITY; TEMPERATURE; BUILDINGS; RISE; AIR</t>
  </si>
  <si>
    <t>The development of green spaces in urban areas is rapidly on the rise as more people are keen to maintain a clean and green atmosphere around where they live and work. Also, the link between the physical world and the internet has been a driving force in enhancing people?s quality of life which has resulted in the most recent and rising technologies, collectively referred to as the Internet of Things (IoT). The adoption of vertical gardens (VG) and/or vertical farms (VF) can be beneficial for maintaining a sustainable environment, as well as for expanding food security in an urban context around the world with limited land space. IoT technologies have the potential to be key enablers in the accelerated adoption of VG. In this study, we investigate the critical parameters for automating sustainable vertical gardening systems by using the IoT concept in smart cities towards smart living. This involves collection and review of data from 30 peer-reviewed publications published between 2004 and 2018, including real-world VG implementations. The key criteria considered include: (i) crop/plant type, (ii) VG topology (size), (iii) sensing data, (iv) used hardware (sensors, actuators, etc.), (v) power supplies, (vi) velocity or frequency of data collection, (vii) data storage method, (viii) communication technologies, (ix) data analysis methods/algorithm, (x) other used strategies, and (xi) countries that implemented VGs. The data were subsequently analyzed to obtain a detailed understanding of using IoT in VGs. The results of the analysis revealed that most of the studies used 6-20 tiers (40%) when implementing VGs, and the most popular crop was lettuce (28.6%). The sensors used were commonly connected to AC power and battery (each 44.4%), while only a small proportion of VGs used solar power (11.1%). The majority of IoT sensors used were to measure room temperature (22.5%), light intensity (21.1%), humidity level (14%) and soil nutrition (7%). The frequency of data collection by these sensors was between 1 and 3 minutes (42.8%). The frequently used data transmission technology was Zigbee and Wi-Fi (42.8%) for collecting sensor data from VGs. We also found that, using the server database, remote data management platform and cloud were the most popular data storage methods (each 25%). After data collection, many studies used threshold-based algorithms (50%) for the decision making, and the soil-based (42%) and hydroponic (38%) were the most popular plant cultivation technologies. The use of recycled and reused water (30%), solar power (20%) and controlled indoor environment, without sun or soil (20%) are some of the other essential considerations in VGs. Furthermore, it was found that the most significant focus on automation of VGs incorporating IoT were in USA (41.2%) and China (23.5%). The impact of vertical cultivation walls on human well-being was discussed. In addition to this, eight international patents on VGs have been analyzed to acquire an implementation understanding of autonomous control or using IoT in vertical gardens.</t>
  </si>
  <si>
    <t>[Halgamuge, Malka N.] Univ Melbourne, Dept Elect &amp; Elect Engn, Parkville, Vic 3010, Australia; [Bojovschi, Alexe] IntAIB, Ctr Technol Innovat, Melbourne, Vic, Australia; [Bojovschi, Alexe] Amity Univ, Sch Engn, Noida, India; [Fisher, Peter M. J.] Deakin Univ, Melbourne, Vic, Australia; [Le, Tu C.] RMIT Univ, Sch Engn, Melbourne, Vic 3001, Australia; [Adeloju, Samuel] Charles Sturt Univ, Fac Sci, Wagga Wagga, NSW, Australia; [Murphy, Susan] Univ Melbourne, Sch Ecosyst &amp; Forest Sci, Burnley Campus, Richmond, Vic 3010, Australia</t>
  </si>
  <si>
    <t>University of Melbourne; Amity University Noida; Deakin University; Royal Melbourne Institute of Technology (RMIT); Charles Sturt University; University of Melbourne</t>
  </si>
  <si>
    <t>Halgamuge, MN (corresponding author), Univ Melbourne, Dept Elect &amp; Elect Engn, Parkville, Vic 3010, Australia.</t>
  </si>
  <si>
    <t>malka.nisha@unimelb.edu.au; alexe.bojovschi@intaib.com; tu.le@rmit.edu.au; sadeloju@csu.edu.au; smmurphy@unimelb.edu.au</t>
  </si>
  <si>
    <t>Le, Cam/Y-9868-2019; Halgamuge, Malka N./ABD-7747-2021</t>
  </si>
  <si>
    <t>Le, Tu/0000-0003-3552-8211; Halgamuge, Malka N/0000-0001-9994-3778</t>
  </si>
  <si>
    <t>1610-8167</t>
  </si>
  <si>
    <t>10.1016/j.ufug.2021.127094</t>
  </si>
  <si>
    <t>APR 2021</t>
  </si>
  <si>
    <t>RP8KJ</t>
  </si>
  <si>
    <t>WOS:000641971700010</t>
  </si>
  <si>
    <t>Hadimlioglu, IA; King, SA</t>
  </si>
  <si>
    <t>Hadimlioglu, I. Alihan; King, Scott A.</t>
  </si>
  <si>
    <t>City Maker: Reconstruction of Cities from OpenStreetMap Data for Environmental Visualization and Simulations</t>
  </si>
  <si>
    <t>ISPRS INTERNATIONAL JOURNAL OF GEO-INFORMATION</t>
  </si>
  <si>
    <t>3D; urban; environment; reconstruction; openstreetmap; opengl</t>
  </si>
  <si>
    <t>LIDAR DATA; 3D; MODELS</t>
  </si>
  <si>
    <t>Recent innovations in 3D processing and availability of geospatial data have contributed largely to more comprehensive solutions to data visualization. As various data formats are utilized to describe the data, a combination of layers from different sources allow us to represent 3D urban areas, contributing to ideas of emergency management and smart cities. This work focuses on 3D urban environment reconstruction using crowdsourced OpenStreetMap data. Once the data are extracted, the visualization pipeline draws features using coloring for added context. Moreover, by structuring the layers and entities through the addition of simulation parameters, the generated environment is made simulation ready for further use. Results show that urban areas can be properly visualized in 3D using OpenStreetMap data given data availability. The simulation-ready environment was tested using hypothetical flooding scenarios, which demonstrated that the added parameters can be utilized in environmental simulations. Furthermore, an efficient restructuring of data was implemented for viewing the city information once the data are parsed.</t>
  </si>
  <si>
    <t>[Hadimlioglu, I. Alihan; King, Scott A.] Texas A&amp;M Univ Corpus Christi, Dept Comp Sci, Corpus Christi, TX 78412 USA</t>
  </si>
  <si>
    <t>Texas A&amp;M University System; Texas A&amp;M University Corpus Christi</t>
  </si>
  <si>
    <t>Hadimlioglu, IA (corresponding author), Texas A&amp;M Univ Corpus Christi, Dept Comp Sci, Corpus Christi, TX 78412 USA.</t>
  </si>
  <si>
    <t>ismail.hadimlioglu@tamucc.edu</t>
  </si>
  <si>
    <t>; King, Scott/U-3497-2019; Hadimlioglu, Alihan/AAH-6114-2019</t>
  </si>
  <si>
    <t>Hadimlioglu, Ismail Alihan/0000-0003-1588-1245; King, Scott/0000-0002-4022-0388;</t>
  </si>
  <si>
    <t>2220-9964</t>
  </si>
  <si>
    <t>ISPRS INT J GEO-INF</t>
  </si>
  <si>
    <t>ISPRS Int. J. Geo-Inf.</t>
  </si>
  <si>
    <t>10.3390/ijgi8070298</t>
  </si>
  <si>
    <t>Computer Science, Information Systems; Geography, Physical; Remote Sensing</t>
  </si>
  <si>
    <t>Computer Science; Physical Geography; Remote Sensing</t>
  </si>
  <si>
    <t>IN4AB</t>
  </si>
  <si>
    <t>WOS:000478616400009</t>
  </si>
  <si>
    <t>Gogoi, N; Minetto, A; Dovis, F</t>
  </si>
  <si>
    <t>Gogoi, Neil; Minetto, Alex; Dovis, Fabio</t>
  </si>
  <si>
    <t>On the Cooperative Ranging between Android Smartphones Sharing Raw GNSS Measurements</t>
  </si>
  <si>
    <t>2019 IEEE 90TH VEHICULAR TECHNOLOGY CONFERENCE (VTC2019-FALL)</t>
  </si>
  <si>
    <t>90th IEEE Vehicular Technology Conference (IEEE VTC-Fall)</t>
  </si>
  <si>
    <t>SEP 22-25, 2019</t>
  </si>
  <si>
    <t>Honolulu, HI</t>
  </si>
  <si>
    <t>Global Navigation Satellite System; Android Raw Measurements; Double Differenced Ranging; GNSS Location Based Services</t>
  </si>
  <si>
    <t>The combination of ubiquitous network infrastructure and the high density of powerful, interconnected mobile devices in urban areas is driving the rise of smart cities. In parallel, the availability of ultra-low cost embedded Global Navigation Satellite System (GNSS) has enabled several affordable Location Based Services (LBS). New chipsets supporting dual frequency and multi-constellation GNSS signals are reducing the gap between high grade and mass market device performances. Among these devices, Android smartphones represent valuable and affordable tools for many LBS in the early advent of Intelligent Transportation Systems and smart vehicular navigation. Mobile networks natively provide a multiplicity of connected devices, thus enabling a family of applications demanding for a communication channel among GNSS receivers. This paper experimentally validates a collaborative technique based on the exchange of raw GNSS measurements to retrieve the relative range between Android smartphones. Additionally, a framework for the exchange of data between smartphones is provided, allowing the application of such a computationally-efficient ranging methodology in a network of low cost mobile devices within a smart city framework.</t>
  </si>
  <si>
    <t>[Gogoi, Neil; Minetto, Alex; Dovis, Fabio] Politecn Torino, Elect &amp; Telecommun, Turin, Italy</t>
  </si>
  <si>
    <t>Gogoi, N (corresponding author), Politecn Torino, Elect &amp; Telecommun, Turin, Italy.</t>
  </si>
  <si>
    <t>neil.gogoi@polito.it; alex.minetto@polito.it; fabio.dovis@polito.it</t>
  </si>
  <si>
    <t>Minetto, Alex/AAZ-8003-2020; Dovis, Fabio/F-3843-2012</t>
  </si>
  <si>
    <t>MINETTO, ALEX/0000-0002-0586-7151;</t>
  </si>
  <si>
    <t>PoliTO Inter-departmental Center for Service Robotics (PIC4SER)</t>
  </si>
  <si>
    <t>The work of Neil Gogoi is funded by the PoliTO Inter-departmental Center for Service Robotics (PIC4SER). The center, where this work was performed aims to coordinate the activities of several research groups on the enabling technologies necessary for the development of the highly innovative and multi-disciplinary area of 'service robots'.</t>
  </si>
  <si>
    <t>978-1-7281-1220-6</t>
  </si>
  <si>
    <t>10.1109/vtcfall.2019.8891320</t>
  </si>
  <si>
    <t>Computer Science, Information Systems; Computer Science, Theory &amp; Methods; Engineering, Electrical &amp; Electronic; Telecommunications; Transportation Science &amp; Technology</t>
  </si>
  <si>
    <t>Computer Science; Engineering; Telecommunications; Transportation</t>
  </si>
  <si>
    <t>BQ6BN</t>
  </si>
  <si>
    <t>WOS:000610542200264</t>
  </si>
  <si>
    <t>Krupitzer, C; Segata, M; Breitbach, M; El-Tawab, S; Tomforde, S; Becker, C</t>
  </si>
  <si>
    <t>Krupitzer, Christian; Segata, Michele; Breitbach, Martin; El-Tawab, Samy; Tomforde, Sven; Becker, Christian</t>
  </si>
  <si>
    <t>Towards Infrastructure-Aided Self-Organized Hybrid Platooning</t>
  </si>
  <si>
    <t>2018 IEEE GLOBAL CONFERENCE ON INTERNET OF THINGS (GCIOT)</t>
  </si>
  <si>
    <t>IEEE Global Conference on Internet of Things (GCIoT)</t>
  </si>
  <si>
    <t>DEC 05-07, 2018</t>
  </si>
  <si>
    <t>Alexandria, EGYPT</t>
  </si>
  <si>
    <t>Internet-of-Things; Smart Traffic; Platooning; Coordination</t>
  </si>
  <si>
    <t>Nowadays, the technical feasibility of autonomous driving is out of the question. This technology opens the door for several research topics (e.g., information exchange, security of information) in the IoT domain. One such application is platooning: coordinated driving of vehicles in convoys. Therefore, such platoons set up Internet-of-Vehicles. Although platooning has been mainly researched on highways, the idea of platooning in smart cities can have several benefits, such as efficient use of roads, time-saving through route optimization, and minimizing traffic in peak times. In this position paper, we present our vision of a traffic management approach for combining platooning on highways and urban areas. We explain the idea of platooning, how to manage it efficiently, and the differences between platooning on the freeway and in smart cities.</t>
  </si>
  <si>
    <t>[Krupitzer, Christian] Univ Wurzburg, Wurzburg, Germany; [Segata, Michele] Univ Trento, Trento, Italy; [Breitbach, Martin; Becker, Christian] Univ Mannheim, Mannheim, Germany; [El-Tawab, Samy] James Madison Univ, Harrisonburg, VA 22807 USA; [Tomforde, Sven] Univ Kassel, Kassel, Germany</t>
  </si>
  <si>
    <t>University of Wurzburg; University of Trento; University of Mannheim; James Madison University; Universitat Kassel</t>
  </si>
  <si>
    <t>Krupitzer, C (corresponding author), Univ Wurzburg, Wurzburg, Germany.</t>
  </si>
  <si>
    <t>christian.krupitzer@uni-wuerzburg.de; msegata@disi.unitn.it; martin.breitbach@uni-mannheim.de; eltawass@jmu.edu; stomforde@uni-kassel.de; christian.becker@uni-mannheim.de</t>
  </si>
  <si>
    <t>; Segata, Michele/U-2014-2019</t>
  </si>
  <si>
    <t>Breitbach, Martin/0000-0001-6671-2762; Krupitzer, Christian/0000-0002-7275-0738; Segata, Michele/0000-0002-6016-749X</t>
  </si>
  <si>
    <t>978-1-5386-8509-9</t>
  </si>
  <si>
    <t>BL9QL</t>
  </si>
  <si>
    <t>WOS:000458103500002</t>
  </si>
  <si>
    <t>David, M; Koch, F</t>
  </si>
  <si>
    <t>David, Martin; Koch, Florian</t>
  </si>
  <si>
    <t>Smart Is Not Smart Enough! Anticipating Critical Raw Material Use in Smart City Concepts: The Example of Smart Grids</t>
  </si>
  <si>
    <t>critical raw materials; smart city; smart grids; urban transition</t>
  </si>
  <si>
    <t>COPPER INDIUM DISELENIDE; RARE-EARTH-ELEMENTS; SUSTAINABLE CITIES; CADMIUM TELLURIDE; MATERIAL FLOW; TECHNOLOGIES; IMPACT; FUTURE; AVAILABILITY; PERFORMANCE</t>
  </si>
  <si>
    <t>Globally emerging smart city concepts aim to make resource production and allocation in urban areas more efficient, and thus more sustainable through new sociotechnical innovations such as smart grids, smart meters, or solar panels. While recent critiques of smart cities have focused on data security, surveillance, or the influence of corporations on urban development, especially with regard to intelligent communication technologies (ICT), issues related to the material basis of smart city technologies and the interlinked resource problems have largely been ignored in the scholarly literature and in urban planning. Such problems pertain to the provision and recovery of critical raw materials (CRM) from anthropogenic sources like scrap metal repositories, which have been intensely studied during the last few years. To address this gap in the urban planning literature, we link urban planning literatures on smart cities with literatures on CRM mining and recovery from scrap metals. We find that underestimating problems related to resource provision and recovery might lead to management and governance challenges in emerging smart cities, which also entail ethical issues. To illustrate these problems, we refer to the smart city energy domain and explore the smart city-CRM-energy nexus from the perspectives of the respective literatures. We show that CRMs are an important foundation for smart city energy applications such as energy production, energy distribution, and energy allocation. Given current trends in smart city emergence, smart city concepts may potentially foster primary extraction of CRMs, which is linked to considerable environmental and health issues. While the problems associated with primary mining have been well-explored in the literature, we also seek to shed light on the potential substitution and recovery of CRMs from anthropogenic raw material deposits as represented by installed digital smart city infrastructures. Our central finding is that the current smart city literature and contemporary urban planning do not address these issues. This leads to the paradox that smart city concepts are supporting the CRM dependencies that they should actually be seeking to overcome. Discussion on this emerging issue between academics and practitioners has nevertheless not taken place. We address these issues and make recommendations.</t>
  </si>
  <si>
    <t>[David, Martin; Koch, Florian] Helmholtz Ctr Environm Res GmbH UFZ, D-04318 Leipzig, Germany; [David, Martin] Tech Univ Clausthal, Inst Mineral &amp; Waste Proc Waste Disposal &amp; Geomec, Dept Mineral &amp; Waste Proc, D-38678 Clausthal Zellerfeld, Germany; [Koch, Florian] Univ Appl Sci Engn &amp; Econ, HTW Berlin, Real Estate Dev, Urban Dev,Smart Cities, D-10318 Berlin, Germany</t>
  </si>
  <si>
    <t>Helmholtz Association; Helmholtz Center for Environmental Research (UFZ); TU Clausthal</t>
  </si>
  <si>
    <t>David, M (corresponding author), Helmholtz Ctr Environm Res GmbH UFZ, D-04318 Leipzig, Germany.;David, M (corresponding author), Tech Univ Clausthal, Inst Mineral &amp; Waste Proc Waste Disposal &amp; Geomec, Dept Mineral &amp; Waste Proc, D-38678 Clausthal Zellerfeld, Germany.</t>
  </si>
  <si>
    <t>martin.david@ufz.de</t>
  </si>
  <si>
    <t>Martin, David/K-7406-2017; Koch, Florian/F-2504-2015</t>
  </si>
  <si>
    <t>Koch, Florian/0000-0002-0343-0730</t>
  </si>
  <si>
    <t>German Ministry of Education and Research [033R148]</t>
  </si>
  <si>
    <t>German Ministry of Education and Research(Federal Ministry of Education &amp; Research (BMBF))</t>
  </si>
  <si>
    <t>This research was funded by the German Ministry of Education and Research, 033R148.</t>
  </si>
  <si>
    <t>10.3390/su11164422</t>
  </si>
  <si>
    <t>IV7UO</t>
  </si>
  <si>
    <t>WOS:000484472500166</t>
  </si>
  <si>
    <t>Shah, I; El Affendi, M; Qureshi, B</t>
  </si>
  <si>
    <t>Shah, Inayatullah; El Affendi, Mohammed; Qureshi, Basit</t>
  </si>
  <si>
    <t>SRide: An Online System for Multi-Hop Ridesharing</t>
  </si>
  <si>
    <t>ridesharing; ride-matching algorithms; multi-hop ridesharing; dynamic shortest-path algorithms</t>
  </si>
  <si>
    <t>SHORTEST PATHS; RIDE; ALGORITHMS</t>
  </si>
  <si>
    <t>In the context of smart cities, ridesharing in urban areas is gaining researchers' interest and is considered to be a sustainable transportation solution. In this paper, we present SRide (Shared Ride), a multi-hop ridesharing system as a mode of sustainable transportation. Multi-hop ridesharing is a type of ridesharing in which a rider travels in multiple hops to reach a destination, transferring from one driver to another between hops. The key problem in multi-hop ridesharing is to find an optimal itinerary or route plan for a rider from an origin to a destination in a dynamic, online setting. SRide adopts a novel approach to finding itineraries for riders suited to the online nature of the problem. The system represents ride offers as a time-dependent directed graph and finds itineraries dynamically by updating the graph incrementally and decrementally as ride offers are updated in the system. The system's distinguishing feature is its incremental and decremental operation, which is enabled by employing dynamic single-source shortest-path algorithms. We conducted two extensive simulation studies to evaluate its performance. Metrics, including the matching rate, savings in total system-wide vehicle-miles, and total system-wide driving times were measured. In the first study, SRide's dynamic update algorithms were compared with their non-dynamic versions. Results show that SRide's algorithms run up to thirteen times faster than their non-dynamic versions. In the second study, we used data from the travel demand model for metropolitan Atlanta in the US state of Georgia, to assess the benefits of multi-hop ridesharing. Results show that matching rates increase up to 68%, saving in total system-wide vehicle-miles of up to 12%, and reduction in the total system-wide driving time of up to 12.86% is achieved.</t>
  </si>
  <si>
    <t>[Shah, Inayatullah; El Affendi, Mohammed; Qureshi, Basit] Prince Sultan Univ, Dept Comp Sci, POB 66833, Riyadh 11586, Saudi Arabia</t>
  </si>
  <si>
    <t>Prince Sultan University</t>
  </si>
  <si>
    <t>Shah, I (corresponding author), Prince Sultan Univ, Dept Comp Sci, POB 66833, Riyadh 11586, Saudi Arabia.</t>
  </si>
  <si>
    <t>ishah@psu.edu.sa; affendi@psu.edu.sa; qureshi@psu.edu.sa</t>
  </si>
  <si>
    <t>Qureshi, Basit/T-7176-2018; Shah, Syed/B-8275-2011</t>
  </si>
  <si>
    <t>Qureshi, Basit/0000-0001-7389-519X; Shah, Inayatullah/0000-0003-2777-9395</t>
  </si>
  <si>
    <t>EIAS Data Science; Blockchain Lab, Prince Sultan University, Riyadh</t>
  </si>
  <si>
    <t>The authors would like to gratefully acknowledge the support provided by EIAS Data Science and Blockchain Lab, Prince Sultan University, Riyadh.</t>
  </si>
  <si>
    <t>10.3390/su12229633</t>
  </si>
  <si>
    <t>OY9PT</t>
  </si>
  <si>
    <t>WOS:000594571300001</t>
  </si>
  <si>
    <t>Suresh, NS; Kumar, M; Daniel, SA</t>
  </si>
  <si>
    <t>Suresh, N. S.; Kumar, Manish; Arul Daniel, S.</t>
  </si>
  <si>
    <t>Multi-agent strategy for low voltage DC supply for a smart home</t>
  </si>
  <si>
    <t>SMART AND SUSTAINABLE BUILT ENVIRONMENT</t>
  </si>
  <si>
    <t>Multi-agent system; Control strategy; Load management; DC grid; Low voltage DC system; Smart home appliances</t>
  </si>
  <si>
    <t>POWER MANAGEMENT; SYSTEMS; PV</t>
  </si>
  <si>
    <t>Purpose The researchers and policy makers worldwide have proposed many ideas for smart cities and homes in urban areas. The extensive work done for urban smart homes neglects the unique constraints of homes at remote mountain tops and deserts and rural village homes. The purpose of this paper is to propose a smart energy management system for a self-sustained home of any type situated in any geographical location with the availability of renewable energy sources like solar, etc. The purpose is mainly to highlight the importance and advantages of direct current (DC) homes with DC loads rather than a conventional alternating current (AC) home with both AC and DC loads. An attempt has been made to evolve a multi-agent coordinated control for the low voltage direct current (LVDC) smart home system. Design/methodology/approach LVDC supply systems with in situ power generation are providing an efficient solution for the energy needs of a DC smart home. The individual sub-systems of the LVDC system have their unique functions and priorities and hence require both coordinated and independent control. The entire DC smart home system is modeled in the Matlab and codes are implemented for each agent of the home. LVDC grid is operating either in battery connected mode or utility grid-connected mode, and the DC link voltage is held constant in both the cases. Energy imported from the utility grid is minimized by load shedding during the rectifier mode of the bidirectional converter. In addition, load shedding is also done when the battery is discharging to increase the discharge time of the battery. Load shedding is done on the basis of a fixed priority of loads. A 48 s simulation is performed on the Matlab model to bring out the 24-hour operation of the proposed system. Various modes are simulated and the corresponding actions of the agents are tested. Findings A new control strategy with agents for each sub-system of the LVDC system is presented. Each individual agent works in tandem with other agents and meets its own control imperatives without compromising the requirements of the overall system. Unlike the centralized control system, the proposed control strategy is a distributed control system. The control algorithm for each of the agents is developed, and the pseudo code is presented. The results of the simulation of the proposed scheme are presented to confirm the usefulness of the new control approach. Originality/value The multi-agent concept for an energy management system is less addressed and thus its potential for efficient home energy management is presented. The proposed multi-agent strategy for a complete DC smart home with exclusive DC loads is not done earlier and is reported for the first time. The success of this strategy can be extended to other DC micro-grid systems like telecom power systems, ships, aircraft, datacentres, server rooms, residential complexes and commercial malls.</t>
  </si>
  <si>
    <t>[Suresh, N. S.; Arul Daniel, S.] Natl Inst Technol Tiruchirappalli, EEE Dept, Tiruchirappalli, India; [Kumar, Manish] Natl Inst Technol Tiruchirappalli, Tiruchirappalli, India</t>
  </si>
  <si>
    <t>National Institute of Technology (NIT System); National Institute of Technology Tiruchirappalli; National Institute of Technology (NIT System); National Institute of Technology Tiruchirappalli</t>
  </si>
  <si>
    <t>Suresh, NS (corresponding author), Natl Inst Technol Tiruchirappalli, EEE Dept, Tiruchirappalli, India.</t>
  </si>
  <si>
    <t>407111053nitt@gmail.com; iammanishkush@gmail.com; daniel@nitt.edu</t>
  </si>
  <si>
    <t>; Daniel, S./V-9528-2018; Kumar, Manish/IWU-6957-2023</t>
  </si>
  <si>
    <t>Daniel, S Arul/0000-0002-2349-116X; N S, SURESH/0000-0002-2957-7888;</t>
  </si>
  <si>
    <t>2046-6099</t>
  </si>
  <si>
    <t>2046-6102</t>
  </si>
  <si>
    <t>SMART SUSTAIN BUILT</t>
  </si>
  <si>
    <t>Smart Sustain. Built Environ.</t>
  </si>
  <si>
    <t>JUL 6</t>
  </si>
  <si>
    <t>10.1108/SASBE-05-2019-0060</t>
  </si>
  <si>
    <t>Construction &amp; Building Technology; Green &amp; Sustainable Science &amp; Technology; Engineering, Civil</t>
  </si>
  <si>
    <t>Construction &amp; Building Technology; Science &amp; Technology - Other Topics; Engineering</t>
  </si>
  <si>
    <t>LP9SZ</t>
  </si>
  <si>
    <t>WOS:000534656500001</t>
  </si>
  <si>
    <t>Manupati, VK; Ramkumar, M; Samanta, D</t>
  </si>
  <si>
    <t>Manupati, Vijaya Kumar; Ramkumar, M.; Samanta, Digjoy</t>
  </si>
  <si>
    <t>A multi-criteria decision making approach for the urban renewal in Southern India</t>
  </si>
  <si>
    <t>Smart City; Multi-criteria decision making; DANP</t>
  </si>
  <si>
    <t>SMART CITIES; ENVIRONMENTAL SUSTAINABILITY; SOCIOTECHNICAL SYSTEMS; RISK-ASSESSMENT; SUPPLY CHAIN; MODIFIED ANP; SELECTION; FRAMEWORK; CHALLENGES; INSIGHTS</t>
  </si>
  <si>
    <t>India is witnessing rapid urbanization due to increase in population in cities. This poses a major challenge to the urban renewal process. This paper aims to provide an urban renewal framework for the development of cities in India under the ambit of smart cities mission, an initiative by the Government of India. To guide practices related to management of urban areas and advance policy-making decisions and scientific inquiry in this domain, we identify 7 criteria and 27 sub-criteria mainly from the literature related to socio-technical perspectives. To handle the inter-relations among the identified criteria and sub-criteria, we propose a multi-criteria decision-making (MCDM) approach based on Decision Making Trial and Evaluation Laboratory based Analytic Network Process (DANP). Moreover, the effectiveness of the proposed methodology for urban renewal in South India is demonstrated with a real-life case study. Finally, we establish how the obtained results will help the policy makers to initiate urban renewal in southern India.</t>
  </si>
  <si>
    <t>[Manupati, Vijaya Kumar] NIT Warangal, Dept Mech Engn, Warangal, Telangana, India; [Ramkumar, M.] Swiss Fed Inst Technol, D MTEC, Chair Logist Management, Zurich, Switzerland; [Samanta, Digjoy] Vellore Inst Technol, Sch Mech Engn, Vellore, Tamil Nadu, India</t>
  </si>
  <si>
    <t>National Institute of Technology (NIT System); National Institute of Technology Warangal; Swiss Federal Institutes of Technology Domain; ETH Zurich; Vellore Institute of Technology (VIT); VIT Vellore</t>
  </si>
  <si>
    <t>Manupati, VK (corresponding author), NIT Warangal, Dept Mech Engn, Warangal, Telangana, India.</t>
  </si>
  <si>
    <t>manupati.vijay@nitw.ac.in; ramkumar@ethz.ch; digjoy.samanta@gmail.com</t>
  </si>
  <si>
    <t>Varela, M. L./M-7580-2013; Ramkumar, Dr.M/AER-7056-2022; M, Ramkumar/C-7880-2019; Rocha Varela, Maria Leonilde/M-7580-2013</t>
  </si>
  <si>
    <t>M, Ramkumar/0000-0002-7788-4110; MANUPATI, VIJAYAKUMAR/0000-0002-3744-1315; Rocha Varela, Maria Leonilde/0000-0002-2299-1859; , VIJAYAKUMAR V/0009-0003-6751-5172</t>
  </si>
  <si>
    <t>10.1016/j.scs.2018.08.011</t>
  </si>
  <si>
    <t>GS5VY</t>
  </si>
  <si>
    <t>WOS:000443741600040</t>
  </si>
  <si>
    <t>Rana, S; Gopal, L; Gupta, N</t>
  </si>
  <si>
    <t>Paul, S; Verma, JK</t>
  </si>
  <si>
    <t>Rana, Samir; Gopal, Lisa; Gupta, Neha</t>
  </si>
  <si>
    <t>Smart City Concepts, Features and the Role of Internet of Things: A Review</t>
  </si>
  <si>
    <t>2021 INTERNATIONAL CONFERENCE ON COMPUTATIONAL PERFORMANCE EVALUATION (COMPE-2021)</t>
  </si>
  <si>
    <t>International Conference on Computational Performance Evaluation (ComPE)</t>
  </si>
  <si>
    <t>DEC 01-03, 2021</t>
  </si>
  <si>
    <t>NE Hill Univ, Dept Biomed Engn, Shillong, INDIA</t>
  </si>
  <si>
    <t>NE Hill Univ, Dept Biomed Engn</t>
  </si>
  <si>
    <t>Smart City; Smart City Concepts; Smart City Features; Internet of Things</t>
  </si>
  <si>
    <t>IOT; HEALTH; SYSTEM</t>
  </si>
  <si>
    <t>By 2050, almost 70% of the total world population is estimated to migrate to urban areas. To accommodate such a large population, the need to build smart cities all over the world is the need of the hour. To accomplish this goal, a lot of work needs to be done in the fields of various smart city concepts for better management of resources and to reduce the problems faced by the public in general. With this vision, many researchers around the world are working to build up efficient technologies, that would make the concept of smart cities feasible. In this direction, some technologies, like ambient intelligence, etc. exist but are not coupled with the Internet. On the other hand, the Internet of Things (IoT) is an emerging technique, that is tightly coupled with the Internet. This makes IoT one of the popular techniques to implement the concept of smart cities easily and efficiently, and various applications of IoT are capable of formulating the concept of smart cities into existence. This paper focuses on a detailed survey of smart city concepts, features, and the role of IoT in building smart cities.</t>
  </si>
  <si>
    <t>[Rana, Samir; Gopal, Lisa] Graph Era Hill Univ, Comp Sci &amp; Engn, Dehra Dun, Uttarakhand, India; [Gupta, Neha] Graph Era Hill Univ, Dept ECE, Dehra Dun, Uttarakhand, India</t>
  </si>
  <si>
    <t>Rana, S (corresponding author), Graph Era Hill Univ, Comp Sci &amp; Engn, Dehra Dun, Uttarakhand, India.</t>
  </si>
  <si>
    <t>samir.rana7@gmail.com; lish.gopal@gmail.com; neha.judger99@gmail.com</t>
  </si>
  <si>
    <t>Gupta, Neha/JXL-7338-2024; Gopal, Lisa/JCD-9751-2023</t>
  </si>
  <si>
    <t>Gopal, Lisa/0000-0002-0805-2652</t>
  </si>
  <si>
    <t>978-1-6654-3656-4</t>
  </si>
  <si>
    <t>10.1109/ComPE53109.2021.9752040</t>
  </si>
  <si>
    <t>Computer Science, Interdisciplinary Applications; Engineering, Biomedical</t>
  </si>
  <si>
    <t>BU7MK</t>
  </si>
  <si>
    <t>WOS:000942046000132</t>
  </si>
  <si>
    <t>Perboli, G; Rosano, M</t>
  </si>
  <si>
    <t>Temponi, C; Vandaele, N</t>
  </si>
  <si>
    <t>Perboli, Guido; Rosano, Mariangela</t>
  </si>
  <si>
    <t>A Decision Support System for Optimizing the Last-Mile by Mixing Traditional and Green Logistics</t>
  </si>
  <si>
    <t>INFORMATION SYSTEMS, LOGISTICS, AND SUPPLY CHAIN, ILS 2016</t>
  </si>
  <si>
    <t>6th International Conference on Information Systems, Logistics, and Supply Chain (ILS)</t>
  </si>
  <si>
    <t>JUN 01-04, 2016</t>
  </si>
  <si>
    <t>Bordeaux, FRANCE</t>
  </si>
  <si>
    <t>Collaborative freight transportation; Freight pooling; City logistics; Green logistics; Decision support system</t>
  </si>
  <si>
    <t>URBAN FREIGHT TRANSPORT; CITY LOGISTICS; DELIVERY; IMPACTS; CITIES; BIKES</t>
  </si>
  <si>
    <t>In recent years, freight transportation has emerged as a key factor in the development and dynamicity of countries. However, it has had a considerable impact on urban areas due to environmental issues. Owing to this, several stakeholders have implemented City Logistics solutions in order to make freight transportation more sustainable and efficient. This paper proposes a case study focused on a collaborative transportation system involving traditional and green couriers in the city of Turin (Italy). This freight pooling is sustained by a decision support system that combines the ERP Odoo with an algorithm for route optimization planning. The development of this decision support system is based on GUEST methodology, which begins with the identification of the green courier needs and requirements and extends to the implementation of the overall solution. Finally, several results obtained from the application of the decision support system are discussed.</t>
  </si>
  <si>
    <t>[Perboli, Guido] CIRRELT, Montreal, PQ, Canada; [Perboli, Guido; Rosano, Mariangela] Politecn Torino, ICT City Logist &amp; Enterprises ICE Lab, Turin, Italy; [Perboli, Guido; Rosano, Mariangela] Politecn Torino, DAUIN, Turin, Italy</t>
  </si>
  <si>
    <t>Universite de Montreal; Polytechnic University of Turin; Polytechnic University of Turin</t>
  </si>
  <si>
    <t>Rosano, M (corresponding author), Politecn Torino, ICT City Logist &amp; Enterprises ICE Lab, Turin, Italy.;Rosano, M (corresponding author), Politecn Torino, DAUIN, Turin, Italy.</t>
  </si>
  <si>
    <t>guido.perboli@polito.it; mariangela.rosano@polito.it</t>
  </si>
  <si>
    <t>ROSANO, MARIANGELA/AAV-7150-2021; Perboli, Guido/G-1049-2014</t>
  </si>
  <si>
    <t>ROSANO, MARIANGELA/0000-0002-6879-827X; Perboli, Guido/0000-0001-6900-9917</t>
  </si>
  <si>
    <t>Italian University and Research Ministry under the UrbeLOG project - Smart Cities and Communities; Natural Sciences and Engineering Council of Canada (NSERC)</t>
  </si>
  <si>
    <t>Italian University and Research Ministry under the UrbeLOG project - Smart Cities and Communities; Natural Sciences and Engineering Council of Canada (NSERC)(Natural Sciences and Engineering Research Council of Canada (NSERC))</t>
  </si>
  <si>
    <t>Partial funding for this project was provided by the Italian University and Research Ministry under the UrbeLOG project - Smart Cities and Communities and the Natural Sciences and Engineering Council of Canada (NSERC) through its Discovery Grant program.</t>
  </si>
  <si>
    <t>SPRINGER-VERLAG BERLIN</t>
  </si>
  <si>
    <t>BERLIN</t>
  </si>
  <si>
    <t>HEIDELBERGER PLATZ 3, D-14197 BERLIN, GERMANY</t>
  </si>
  <si>
    <t>978-3-319-73758-4; 978-3-319-73757-7</t>
  </si>
  <si>
    <t>10.1007/978-3-319-73758-4_3</t>
  </si>
  <si>
    <t>Computer Science, Information Systems; Operations Research &amp; Management Science</t>
  </si>
  <si>
    <t>Computer Science; Operations Research &amp; Management Science</t>
  </si>
  <si>
    <t>BK2IO</t>
  </si>
  <si>
    <t>WOS:000432887800003</t>
  </si>
  <si>
    <t>Ghanshala, KK; Sharma, S; Mohan, S; Joshi, RC</t>
  </si>
  <si>
    <t>Chakrabarti, S; Saha, HN</t>
  </si>
  <si>
    <t>Ghanshala, Kamal Kumar; Sharma, Sachin; Mohan, Seshadri; Joshi, R. C.</t>
  </si>
  <si>
    <t>Cloud-Based Cognitive Radio Adhoc Vehicular Network Architecture: A Next-Generation Smart City</t>
  </si>
  <si>
    <t>2018 IEEE 9TH ANNUAL INFORMATION TECHNOLOGY, ELECTRONICS AND MOBILE COMMUNICATION CONFERENCE (IEMCON)</t>
  </si>
  <si>
    <t>9th IEEE Annual Information Technology, Electronics and Mobile Communication Conference (IEMCON)</t>
  </si>
  <si>
    <t>NOV 01-03, 2018</t>
  </si>
  <si>
    <t>Univ British Columbia, Vancouver, CANADA</t>
  </si>
  <si>
    <t>Univ British Columbia</t>
  </si>
  <si>
    <t>Smart city; Cloud computing; vehicular adhoc networks; spectrum management; network sharing</t>
  </si>
  <si>
    <t>BIG DATA</t>
  </si>
  <si>
    <t>In architecting a smart city, the designers and architects need to incorporate efficient mechanisms to manage movement of people, especially in urban areas. Such mechanisms usually depend heavily on the availability of efficient information and communication technologies. This paper proposes a Cloud-based cognitive radio adhoc vehicular network (CRAVENET), which plays a significant role in facilitating the development and implementation of various services in the operation of smart cities. CRAVENET also facilitates efficiently spectrum utilization by offering opportunities for cooperation among wireless service providers. CRAVENET architecture enables information collected by individual vehicles to be shared between them so as to facilitate the offering of multiple services needed for the operation of smart cities. We validate the proposed architecture using OMNeT++ and estimate its utility for information sharing and decision making. The simulation focuses on information available and/or gathered along a road trip like road conditions, trip data, traffic and climatic conditions, the status of vehicles' health, accessible vehicle service stations, and business centers.</t>
  </si>
  <si>
    <t>[Ghanshala, Kamal Kumar; Sharma, Sachin; Joshi, R. C.] Graph Era Deemed Be Univ, Dehra Dun, UK, India; [Mohan, Seshadri] Univ Arkansas, Little Rock, AR 72204 USA</t>
  </si>
  <si>
    <t>Graphic Era University; University of Arkansas System; University of Arkansas Fayetteville; University of Arkansas Little Rock</t>
  </si>
  <si>
    <t>Ghanshala, KK (corresponding author), Graph Era Deemed Be Univ, Dehra Dun, UK, India.</t>
  </si>
  <si>
    <t>kamalghanshala@gmail.com; sxsharma88@gmail.com; sxmohan@ualr.edu; rcjoshi.geu@gmail.com</t>
  </si>
  <si>
    <t>Sharma, Sachin/AAN-4239-2020; Sharma, Prof. (Dr.) Sachin/AAN-4239-2020</t>
  </si>
  <si>
    <t>Sharma, Sachin/0000-0002-7821-3685; Mohan, Seshai/0000-0002-8757-9988</t>
  </si>
  <si>
    <t>978-1-5386-7266-2</t>
  </si>
  <si>
    <t>BM2QM</t>
  </si>
  <si>
    <t>WOS:000461314200024</t>
  </si>
  <si>
    <t>Tabane, E; Ngwira, SM; Zuva, T</t>
  </si>
  <si>
    <t>Kumar, V; Singh, UG; Sudarsan, SD</t>
  </si>
  <si>
    <t>Tabane, Elias; Ngwira, Seleman M.; Zuva, Tranos</t>
  </si>
  <si>
    <t>Survey Of Smart City Initiatives Towards Urbanization</t>
  </si>
  <si>
    <t>2016 THIRD INTERNATIONAL CONFERENCE ON ADVANCES IN COMPUTING, COMMUNICATION AND ENGINEERING (ICACCE 2016)</t>
  </si>
  <si>
    <t>3rd International Conference on Advances in Computing, Communication and Engineering (ICACCE)</t>
  </si>
  <si>
    <t>NOV 28-29, 2016</t>
  </si>
  <si>
    <t>Durban, SOUTH AFRICA</t>
  </si>
  <si>
    <t>Smart cities; urbanisation; IoT; ICT</t>
  </si>
  <si>
    <t>The smart city concept is a recent phenomenon that seems to be drawing so much attention from both academia and industry. With a rapid and alarming influx of migrants into urban areas the service delivery, traffic congestion to and fro the city, air pollution, crime rate, energy crisis (load shedding), standard of living has become a burning issue for both city managers and management. This event has triggered the need for smart cities initiates as a solution to remedy the situation. Although a number of pilot projects seem to be showing sustainability and great success in Europe, Asia and United states, similar projects (initiatives) need to be carried out or tested particularly in developing countries. This paper provides a survey into smart cities initiatives towards urbanization challenges. Open issues and challenges are discussed, and then the impact of smart cities on science, technology and society are highlighted.</t>
  </si>
  <si>
    <t>[Tabane, Elias; Ngwira, Seleman M.] Tshwane Univ Technol, Comp Syst Engn Dept, Pretoria, South Africa; [Zuva, Tranos] Vaal Univ Technol, Dept Informat Commun &amp; Technol, Line 3 City, Vanderbijlpark, South Africa</t>
  </si>
  <si>
    <t>Tshwane University of Technology; Vaal University of Technology (VUT)</t>
  </si>
  <si>
    <t>Tabane, E (corresponding author), Tshwane Univ Technol, Comp Syst Engn Dept, Pretoria, South Africa.</t>
  </si>
  <si>
    <t>tabanee@tut.ac.za; tranosz@vut.ac.za</t>
  </si>
  <si>
    <t>; Tabane, Elias/O-3826-2019</t>
  </si>
  <si>
    <t>Tabane, Elias/0000-0001-6637-7941;</t>
  </si>
  <si>
    <t>978-1-5090-2576-3</t>
  </si>
  <si>
    <t>Computer Science, Theory &amp; Methods; Engineering, Electrical &amp; Electronic; Telecommunications</t>
  </si>
  <si>
    <t>BL3US</t>
  </si>
  <si>
    <t>WOS:000450045100075</t>
  </si>
  <si>
    <t>Pinzaru, F; Zbuchea, A; Vitelar, A</t>
  </si>
  <si>
    <t>Bolisani, E; DiMaria, E; Scarso, E</t>
  </si>
  <si>
    <t>Pinzaru, Florina; Zbuchea, Alexandra; Vitelar, Alexandra</t>
  </si>
  <si>
    <t>Knowledge Transfer From Business to Public Administration in Smart City Development</t>
  </si>
  <si>
    <t>PROCEEDINGS OF THE 19TH EUROPEAN CONFERENCE ON KNOWLEDGE MANAGEMENT (ECKM 2018), VOLS 1 AND 2</t>
  </si>
  <si>
    <t>Proceedings of the European Conference on Knowledge Management</t>
  </si>
  <si>
    <t>19th European Conference on Knowledge Management (ECKM)</t>
  </si>
  <si>
    <t>SEP 06-07, 2018</t>
  </si>
  <si>
    <t>Univ Padua, Padua, ITALY</t>
  </si>
  <si>
    <t>Univ Padua</t>
  </si>
  <si>
    <t>digitization; knowledge transfer; management challenges; organisational learning; smart cities</t>
  </si>
  <si>
    <t>SECTOR ORGANIZATIONS; MANAGEMENT; CITIES; GOVERNMENT; INNOVATION; SERVICES</t>
  </si>
  <si>
    <t>In the digital age of everything connected, conventional managerial wisdom is challenged both in the business environment and in the public administration field. In some cases, business models are reshaped or replaced and public opinion's expectances change accordingly. The impact seems even more profound in urban areas, where technology and digitization tends to be associated with one of the most efficient solutions in terms of efficiency and environmental protection. Considering that technology gives specific solutions to practical problems, but they must be correlated strategically to develop genuine smart cities, our paper emphases how the best business management practices could be considered by civil servants when designing smart cities strategies, such as auditing the digital maturity of the involved players (both public and commercial), human resources' training or passing from paper strategy and random actions and projects to real program management. The focus of the paper is on presenting how specific knowledge is transferred from business to civil servants in the process of developing smart cities, based on content analysis and qualitative interviews with experts in the field.</t>
  </si>
  <si>
    <t>[Pinzaru, Florina; Zbuchea, Alexandra; Vitelar, Alexandra] Natl Univ Polit Studies &amp; Publ Adm SNSPA, Bucharest, Romania</t>
  </si>
  <si>
    <t>National University of Political Studies &amp; Public Administration (SNSPA) - Romania</t>
  </si>
  <si>
    <t>Pinzaru, F (corresponding author), Natl Univ Polit Studies &amp; Publ Adm SNSPA, Bucharest, Romania.</t>
  </si>
  <si>
    <t>florina.pinzaru@facultateademanagement.ro; alexandra.zbuchea@facultateademanagement.ro; alexandra.vitelar@facultateademanagement.ro</t>
  </si>
  <si>
    <t>; Pinzaru, Florina/ABC-5633-2021; Zbuchea, Alexana/A-2771-2011; Zbuchea, Alexandra/A-2771-2011; Vitelar, Alexandra/ABF-5793-2020</t>
  </si>
  <si>
    <t>Pinzaru, Florina/0000-0002-8371-5284; Zbuchea, Alexana/0000-0002-5341-7622; Chivu Vitelar, Alexana/0000-0002-1662-9917;</t>
  </si>
  <si>
    <t>ACAD CONFERENCES LTD</t>
  </si>
  <si>
    <t>NR READING</t>
  </si>
  <si>
    <t>CURTIS FARM, KIDMORE END, NR READING, RG4 9AY, ENGLAND</t>
  </si>
  <si>
    <t>2048-8963</t>
  </si>
  <si>
    <t>978-1-911218-95-1</t>
  </si>
  <si>
    <t>PROC EUR CONF KNOWL</t>
  </si>
  <si>
    <t>Business; Information Science &amp; Library Science; Management</t>
  </si>
  <si>
    <t>Business &amp; Economics; Information Science &amp; Library Science</t>
  </si>
  <si>
    <t>BS0SH</t>
  </si>
  <si>
    <t>WOS:000684210700082</t>
  </si>
  <si>
    <t>Mrazovic, P; De La Rubia, I; Urmeneta, J; Balufo, C; Tapias, R; Matskin, M; Larriba-Pey, JL</t>
  </si>
  <si>
    <t>Mrazovic, Petar; De La Rubia, Ivan; Urmeneta, Jordi; Balufo, Carlos; Tapias, Ricard; Matskin, Mihhail; Larriba-Pey, Josep L.</t>
  </si>
  <si>
    <t>CIGO! Mobility Management Platform for Growing Efficient and Balanced Smart City Ecosystem</t>
  </si>
  <si>
    <t>IEEE SECOND INTERNATIONAL SMART CITIES CONFERENCE (ISC2 2016)</t>
  </si>
  <si>
    <t>2nd IEEE International Smart Cities Conference (ISC2)</t>
  </si>
  <si>
    <t>SEP 12-15, 2016</t>
  </si>
  <si>
    <t>Trento, ITALY</t>
  </si>
  <si>
    <t>smart cities; smart mobility; mobility policies</t>
  </si>
  <si>
    <t>RECOMMENDER SYSTEMS</t>
  </si>
  <si>
    <t>The massive amount of tourists, citizens and traffic in big cities usually collapse busy areas causing transport inefficiency, unbalanced economic growth, crime, and nuisance among citizens and visitors. Therefore, the Smart City strategies such as Smart Mobility and Smart Governance naturally arise as means to improve mobility in urban areas. In this paper we propose a novel mobility management platform and business model that can attract numerous actors and still be orchestrated by the city government. The proposed platform integrates mobility data from various sources such as Open Data, mobile applications, sensors and government data, allowing for its visualisation and analysis while making it actionable through associated third party mobile applications. We propose to inject the city mobility policies to the third party mobile applications which provide services related to the city resources. In this way we form a value chain which connects different actors (city governments, mobile application providers, POI owners, companies that require logistics in cities, and final users) who both take a part in improving the mobility in urban areas, and benefit from the way mobility policies being executed. In this paper we discuss the business model and logical architecture of the proposed platform which has been already deployed in the city of Barcelona.</t>
  </si>
  <si>
    <t>[Mrazovic, Petar; Matskin, Mihhail] Royal Inst Technol, Dept Software &amp; Comp Syst, Stockholm, Sweden; [De La Rubia, Ivan; Larriba-Pey, Josep L.] Univ Politecn Cataluna, Dept Comp Architecture, Barcelona, Spain; [Urmeneta, Jordi; Balufo, Carlos; Tapias, Ricard] Spars Technol, Barcelona, Spain</t>
  </si>
  <si>
    <t>Royal Institute of Technology; Universitat Politecnica de Catalunya</t>
  </si>
  <si>
    <t>Mrazovic, P (corresponding author), Royal Inst Technol, Dept Software &amp; Comp Syst, Stockholm, Sweden.</t>
  </si>
  <si>
    <t>mrazovic@kth.se; idelarub@ac.upc.edu; urmeneta@ac.upc.edu; cbalufo@ac.upc.edu; ricard@ac.upc.edu; misha@kth.se; larri@ac.upc.edu</t>
  </si>
  <si>
    <t>Urmeneta, Jordi/L-7944-2014</t>
  </si>
  <si>
    <t>CIGO project - frontierCities accelerator programme under the FP7</t>
  </si>
  <si>
    <t>This research was supported by CIGO! project funded by the frontierCities accelerator programme under the FP7.</t>
  </si>
  <si>
    <t>978-1-5090-1845-1</t>
  </si>
  <si>
    <t>Engineering, Electrical &amp; Electronic</t>
  </si>
  <si>
    <t>BG8EH</t>
  </si>
  <si>
    <t>WOS:000392263700020</t>
  </si>
  <si>
    <t>Hadi, RA; George, LE</t>
  </si>
  <si>
    <t>Hussain, A; Tawfik, H; Magid, E; Hind, J; Mustafina, J; AlJumeily, D; AlHajj, A</t>
  </si>
  <si>
    <t>Hadi, Raad Ahmed; George, Loay Edwar</t>
  </si>
  <si>
    <t>Vision-based Parking Lots Management System Using an Efficient Adaptive Weather Analytic Technique</t>
  </si>
  <si>
    <t>12TH INTERNATIONAL CONFERENCE ON THE DEVELOPMENTS IN ESYSTEMS ENGINEERING (DESE 2019)</t>
  </si>
  <si>
    <t>International Conference on Developments in eSystems Engineering</t>
  </si>
  <si>
    <t>12th International Conference on the Developments in eSystems Engineering (DeSE)</t>
  </si>
  <si>
    <t>OCT 07-10, 2019</t>
  </si>
  <si>
    <t>Kazan, RUSSIA</t>
  </si>
  <si>
    <t>Smart Parking; Adaptive Weather Analysis; Smart Cities; Detection; Classification; Smart Parking Guidance System</t>
  </si>
  <si>
    <t>With rapid race in this era of technologies, Smart Parking in urban areas (Smart Cities) is becoming a big concern for its importance from environmental and economic aspects. Smart parking systems play an important role to improve the city life in terms of reducing the air pollution, gas emission, traffic congestion; it alleviates the time consuming for motorists to easily allocate available parking space lots. This project will provide a Vision-Based approach for easily detection and classification of empty and non-empty parking lots. Firstly, prelocalized coordinates configuration will be done to determine the places of vehicle parking lots. Secondly, an adaptive weather analytic technique that depended on first statistics (i.e., the mean &amp; variance) criteria was adopted in this work to measure and compensate the weather condition changes using information of RGB chromatic channels. Finally, parking spaces inspection technique is used that based on some pixels of empty road and parking areas to detect and classify vehicle occupancy in these lots. The proposed system applied on some common parking standard dataset (PKLot) samples; and the results were promising under different scenarios of weather conditions.</t>
  </si>
  <si>
    <t>[Hadi, Raad Ahmed] Al Iraqia Univ, Coll Educ, Dept Comp Sci, Baghdad, Iraq; [George, Loay Edwar] Baghdad Univ, Coll Sci, Dept Comp Sci, Baghdad, Iraq</t>
  </si>
  <si>
    <t>Al-Iraqia University; University of Baghdad</t>
  </si>
  <si>
    <t>Hadi, RA (corresponding author), Al Iraqia Univ, Coll Educ, Dept Comp Sci, Baghdad, Iraq.</t>
  </si>
  <si>
    <t>raad.hd@gmail.com; loayedwar57@yahoo.com</t>
  </si>
  <si>
    <t>; Hadi, Raad/L-7333-2017; George, Loay/S-6596-2019</t>
  </si>
  <si>
    <t>George, Loay/0000-0001-9028-0816; Hadi, Raad/0000-0002-5024-4711;</t>
  </si>
  <si>
    <t>Ministry of Higher Education and Scientific Research (MOHESE), Iraq</t>
  </si>
  <si>
    <t>Ministry of Higher Education and Scientific Research (MOHESE), Iraq(Ministry of Higher Education and Scientific Research of Iraq)</t>
  </si>
  <si>
    <t>The authors are grateful and appreciative to the Ministry of Higher Education and Scientific Research (MOHESE), Iraq, for supporting this research.</t>
  </si>
  <si>
    <t>2161-1343</t>
  </si>
  <si>
    <t>978-1-7281-3021-7</t>
  </si>
  <si>
    <t>I C DEV ESYST ENG</t>
  </si>
  <si>
    <t>10.1109/DeSE.2019.00101</t>
  </si>
  <si>
    <t>Computer Science, Interdisciplinary Applications</t>
  </si>
  <si>
    <t>BP9OM</t>
  </si>
  <si>
    <t>WOS:000570021300090</t>
  </si>
  <si>
    <t>Amovic, M; Govedarica, M; Radulovic, A; Jankovic, I</t>
  </si>
  <si>
    <t>Amovic, Mladen; Govedarica, Miro; Radulovic, Aleksandra; Jankovic, Ivana</t>
  </si>
  <si>
    <t>Big Data in Smart City: Management Challenges</t>
  </si>
  <si>
    <t>smart city; geospatial big data; Apache Spark SQL; sensors</t>
  </si>
  <si>
    <t>CITIES; SYSTEM; MODEL</t>
  </si>
  <si>
    <t>Smart cities use digital technologies such as cloud computing, Internet of Things, or open data in order to overcome limitations of traditional representation and exchange of geospatial data. This concept ensures a significant increase in the use of data to establish new services that contribute to better sustainable development and monitoring of all phenomena that occur in urban areas. The use of the modern geoinformation technologies, such as sensors for collecting different geospatial and related data, requires adequate storage options for further data analysis. In this paper, we suggest the biG dAta sMart cIty maNagEment SyStem (GAMINESS) that is based on the Apache Spark big data framework. The model of the GAMINESS management system is based on the principles of the big data modeling, which differs greatly from standard databases. This approach provides the ability to store and manage huge amounts of structured, semi-structured, and unstructured data in real time. System performance is increasing to a higher level by using the process parallelization explained through the five V principles of the big data paradigm. The existing solutions based on the five V principles are focused only on the data visualization, not the data themselves. Such solutions are often limited by different storage mechanisms and by the ability to perform complex analyses on large amounts of data with expected performance. The GAMINESS management system overcomes these disadvantages by conversion of smart city data to a big data structure without limitations related to data formats or use standards. The suggested model contains two components: a geospatial component and a sensor component that are based on the CityGML and the SensorThings standards. The developed model has the ability to exchange data regardless of the used standard or the data format into proposed Apache Spark data framework schema. The verification of the proposed model is done within the case study for the part of the city of Novi Sad.</t>
  </si>
  <si>
    <t>[Amovic, Mladen; Jankovic, Ivana] Univ Banja Luka, Fac Architecture Civil Engn &amp; Geodesy, Banja Luka 78000, Bosnia &amp; Herceg; [Govedarica, Miro; Radulovic, Aleksandra] Univ Novi Sad, Fac Tech Sci, Novi Sad 21000, Serbia</t>
  </si>
  <si>
    <t>University of Banja Luka (UNIBL); University of Novi Sad</t>
  </si>
  <si>
    <t>Amovic, M (corresponding author), Univ Banja Luka, Fac Architecture Civil Engn &amp; Geodesy, Banja Luka 78000, Bosnia &amp; Herceg.</t>
  </si>
  <si>
    <t>mladen.amovic@aggf.unibl.org; miro@uns.ac.rs; sanjica@uns.ac.rs; ivana.jankovic@aggf.unibl.org</t>
  </si>
  <si>
    <t>; Radulovic, Aleksandra/I-9929-2019; Govedarica, Miro/X-1267-2019</t>
  </si>
  <si>
    <t>Govedarica, Miro/0000-0003-1698-0800; Radulovic, Aleksana/0000-0002-7141-7626</t>
  </si>
  <si>
    <t>10.3390/app11104557</t>
  </si>
  <si>
    <t>ST7XC</t>
  </si>
  <si>
    <t>WOS:000662651600001</t>
  </si>
  <si>
    <t>Saarika, PS; Sudha, T</t>
  </si>
  <si>
    <t>Hemanth, J; Fernando, X; Lafata, P; Baig, Z</t>
  </si>
  <si>
    <t>Saarika, P. S.; Sudha, T.</t>
  </si>
  <si>
    <t>IoT Based Market and Waste Management System for a Smart City</t>
  </si>
  <si>
    <t>INTERNATIONAL CONFERENCE ON INTELLIGENT DATA COMMUNICATION TECHNOLOGIES AND INTERNET OF THINGS, ICICI 2018</t>
  </si>
  <si>
    <t>Lecture Notes on Data Engineering and Communications Technologies</t>
  </si>
  <si>
    <t>International Conference on Intelligent Data Communication Technologies and Internet of Things (ICICI)</t>
  </si>
  <si>
    <t>AUG 07-08, 2018</t>
  </si>
  <si>
    <t>Coimbatore, INDIA</t>
  </si>
  <si>
    <t>Smart super market; Internet of Things; Smart waste bins</t>
  </si>
  <si>
    <t>INTERNET; FUTURE; CLOUD</t>
  </si>
  <si>
    <t>To make the urban areas greener, more secure, and more effective, Internet of Things (IoT) can assume a critical part. Change in security and personal satisfaction can be accomplished by interfacing gadgets, vehicles and foundation all around in a city. Best innovative arrangements can be accomplished in Smart cities by making distinctive partners to cooperate. Framework integrators, arranged administrators and innovation suppliers have a part to play in working with governments to empower savvy arrangements. However, building such arrangements on an open, standard-based interchanges stage that can be persistently utilized is a test. In this paper, we likewise present another type of grocery store: Smart Super Market, in which clients can procure itemized item data with Smart general store's offices and facilitate the checkout procedure less demanding than previously. We show a waste gathering administration arrangement in light of giving knowledge to squander canisters, utilizing an IoT model with sensors. It can read, gather, and transmit tremendous volume of information over the Internet, and utilizes that to make the city clean.</t>
  </si>
  <si>
    <t>[Saarika, P. S.] NSS Coll Engn, Dept Elect &amp; Commun, Palakkad, Kerala, India; [Sudha, T.] NSS Coll Engn, Palakkad, Kerala, India</t>
  </si>
  <si>
    <t>NSS College of Engineering Palakkad; NSS College of Engineering Palakkad</t>
  </si>
  <si>
    <t>Saarika, PS (corresponding author), NSS Coll Engn, Dept Elect &amp; Commun, Palakkad, Kerala, India.</t>
  </si>
  <si>
    <t>saarikapsl@gmail.com; sudhat@nssce.ac.in</t>
  </si>
  <si>
    <t>T, Sudha/Q-1504-2019</t>
  </si>
  <si>
    <t>T, SUDHA/0000-0003-0727-3784</t>
  </si>
  <si>
    <t>2367-4512</t>
  </si>
  <si>
    <t>978-3-030-03146-6; 978-3-030-03145-9</t>
  </si>
  <si>
    <t>LECT NOTE DATA ENG</t>
  </si>
  <si>
    <t>10.1007/978-3-030-03146-6_105</t>
  </si>
  <si>
    <t>BR9CJ</t>
  </si>
  <si>
    <t>WOS:000674929900105</t>
  </si>
  <si>
    <t>Raskar, C; Shikha, N</t>
  </si>
  <si>
    <t>Raskar, Charushila; Shikha, Nema</t>
  </si>
  <si>
    <t>A Prototype of the Dynamic Traffic Management: Smart Barricade System</t>
  </si>
  <si>
    <t>13TH IEEE INTERNATIONAL CONFERENCE ON ADVANCED NETWORKS AND TELECOMMUNICATION SYSTEMS (IEEE ANTS)</t>
  </si>
  <si>
    <t>IEEE International Conference on Advanced Networks and Telecommunication Systems</t>
  </si>
  <si>
    <t>13th IEEE International Conference on Advanced Networks and Telecommunication Systems (IEEE ANTS)</t>
  </si>
  <si>
    <t>DEC 16-19, 2019</t>
  </si>
  <si>
    <t>BITS, Pilani K K Birla Goa Campus, INDIA</t>
  </si>
  <si>
    <t>BITS, Pilani K K Birla Goa Campus</t>
  </si>
  <si>
    <t>Information and Communication Technology (ICT); Intelligent Transportation System (ITS); Internet of Things (IoT); Traffic congestion</t>
  </si>
  <si>
    <t>Traffic congestion in urban areas has become crucial problem for town planners and government who are trying to offer good transport services to citizens by using the advancements in technology. Though there is huge development in transportation systems due to emergence of Information and Communication Technology (ICT) still there is a scope for further improvement. Intelligent Transportation System (ITS) is the core part in development of smart cities. Internet of things (IoT) has launched enough space for the technology to grow more. With these advancements we propose smart barricade system which diverts the traffic to less congested reverse side of the road. The main concept is to use the underutilized side of the road. The system offers solution to reduce the road traffic congestion to some extend in certain types of situations. An experimental prototype of the proposed system has been developed. This paper provides a deep insight about applicability of IoT in the management of transportation system.</t>
  </si>
  <si>
    <t>[Raskar, Charushila; Shikha, Nema] SNDT Womens Univ, Usha Mittal Inst Technol, Dept Elect &amp; Telecommun, Mumbai, Maharashtra, India</t>
  </si>
  <si>
    <t>Raskar, C (corresponding author), SNDT Womens Univ, Usha Mittal Inst Technol, Dept Elect &amp; Telecommun, Mumbai, Maharashtra, India.</t>
  </si>
  <si>
    <t>charushilaraskar@gmail.com; shikhanema@gmail.com</t>
  </si>
  <si>
    <t>Nema, Dr Shikha/GYD-5947-2022</t>
  </si>
  <si>
    <t>2329-7077</t>
  </si>
  <si>
    <t>IEEE I C ADV NETW TE</t>
  </si>
  <si>
    <t>10.1109/ants47819.2019.9118064</t>
  </si>
  <si>
    <t>BQ6UR</t>
  </si>
  <si>
    <t>WOS:000613466700084</t>
  </si>
  <si>
    <t>Kabus, J; Jedrzejas, N; Mynarzová, M</t>
  </si>
  <si>
    <t>Stanickova, M; Melecky, L; Kovarova, E; Dvorokova, K</t>
  </si>
  <si>
    <t>Kabus, Judyta; Jedrzejas, Natalia; Mynarzova, Monika</t>
  </si>
  <si>
    <t>Environmental Sustainability Management on the Example of Selected European Cities</t>
  </si>
  <si>
    <t>PROCEEDINGS OF THE 4TH INTERNATIONAL CONFERENCE ON EUROPEAN INTEGRATION 2018 (ICEI 2018), PTS 1-3</t>
  </si>
  <si>
    <t>International Conference on European Integration</t>
  </si>
  <si>
    <t>4th International Conference on European Integration 2018 (ICEI 2018)</t>
  </si>
  <si>
    <t>JUN 22-MAY 18, 2011-2018</t>
  </si>
  <si>
    <t>Ostrava, CZECH REPUBLIC</t>
  </si>
  <si>
    <t>environmental problems of cities; Raport Brundtland; sustainable development; the Europe 2020 strategy; the URBAN Program</t>
  </si>
  <si>
    <t>Sustainable development is today a non-separate element of environmental policy, socioeconomic policy and various socio-economic strategies of the European Union. At a time when the majority of citizens live in cities or urban areas sustainable development is a fundamental principle that should accompany assumptions of smart cities. The URBAN Program supports this activity through the social and economic development of cities, districts and urban areas in crisis. The Europe 2020 strategy intensifies the implementation of activities in the long term, to make it possible, an action plan must be based on a thorough analysis of the needs of residents and the possibilities of the ecosystem. The current European Union policy has a certain collegial elements that connect protective environments, management of non-renewable natural resources or aimed to keep forethought. However some extent these aspects still remain a challenge for the future.</t>
  </si>
  <si>
    <t>[Kabus, Judyta; Jedrzejas, Natalia] Technol Univ Czestochowa, Fac Management, Dabrowskiego 69, PL-42200 Czestochowa, Poland; [Mynarzova, Monika] VSB Tech Univ Ostrava, Fac Econ, Havliekovo Nabr 38, Ostrava 70200, Czech Republic</t>
  </si>
  <si>
    <t>Technical University Czestochowa; Technical University of Ostrava</t>
  </si>
  <si>
    <t>Kabus, J (corresponding author), Technol Univ Czestochowa, Fac Management, Dabrowskiego 69, PL-42200 Czestochowa, Poland.</t>
  </si>
  <si>
    <t>judytakabus@interia.pl; natalia.jedrzejas@o2.pl; monika.mynarzova@vsb.cz</t>
  </si>
  <si>
    <t>Kabus, Judyta/ABD-3267-2021; Mynarzová, Monika/F-1328-2018</t>
  </si>
  <si>
    <t>Mynarzová, Monika/0000-0002-5982-6363</t>
  </si>
  <si>
    <t>VSB-TECH UNIV OSTRAVA</t>
  </si>
  <si>
    <t>OSTRAVA</t>
  </si>
  <si>
    <t>FEECS, DEPT ELECTR POWER ENG, 17. LISTOPADU 15, OSTRAVA, 70833, CZECH REPUBLIC</t>
  </si>
  <si>
    <t>2571-029X</t>
  </si>
  <si>
    <t>978-80-248-4169-4</t>
  </si>
  <si>
    <t>INT CONF EUR INTEGR</t>
  </si>
  <si>
    <t>Area Studies; Political Science</t>
  </si>
  <si>
    <t>Area Studies; Government &amp; Law</t>
  </si>
  <si>
    <t>BM3HC</t>
  </si>
  <si>
    <t>WOS:000462093400066</t>
  </si>
  <si>
    <t>Nathanail, E</t>
  </si>
  <si>
    <t>Nathanail, Eftihia</t>
  </si>
  <si>
    <t>A Multistakeholders Multicriteria Decision Support Platform for Assessing Urban Freight Transport Measures</t>
  </si>
  <si>
    <t>RELIABILITY AND STATISTICS IN TRANSPORTATION AND COMMUNICATION</t>
  </si>
  <si>
    <t>17th International Conference on Reliability and Statistics in Transportation and Communication (RelStat)</t>
  </si>
  <si>
    <t>OCT 18-21, 2017</t>
  </si>
  <si>
    <t>Riga, LATVIA</t>
  </si>
  <si>
    <t>Freight transportation; City logistics; Smart solutions Multicriteria evaluation; Decision making</t>
  </si>
  <si>
    <t>EVALUATION FRAMEWORK; SUSTAINABILITY; HYBRID; ENERGY</t>
  </si>
  <si>
    <t>Urban road freight transportation significantly affects the quality of life in urban areas. City logistics constitute a major component in the urban economy, and when smartly implemented they may contribute in the city sustainability and livability by alleviating traffic congestion and mitigating emissions and noise impacts. The present research aims at deepening the knowledge and understanding of urban freight transportation (UFT), and enabling guidance provision for selecting and implementing effective and sustainable policies and measures in a city. This is seen from the prism of an integrated evaluation framework, which has been developed for city logistics policies and measures. The framework assesses the complexity of UFT systems, through selected performance indicators, taking into account divergent stakeholder interests, conflicting business models and operations. Evaluation components are formulated in a hierarchical process; sustainability disciplines (economy and energy, environment, transportation and mobility, society), applicability enablers (policy and measure maturity, social acceptance and user uptake), criteria and indicators, capturing the lifecycle impact of the policies and measures. An index is estimated and reflects each evaluation component and stakeholder category; the overall performance of the policy and measure for the city is depicted in the Logistics Sustainability Index.</t>
  </si>
  <si>
    <t>[Nathanail, Eftihia] Univ Thessaly, Dept Civil Engn, Volos 38334, Greece</t>
  </si>
  <si>
    <t>Nathanail, E (corresponding author), Univ Thessaly, Dept Civil Engn, Volos 38334, Greece.</t>
  </si>
  <si>
    <t>enath@uth.gr</t>
  </si>
  <si>
    <t>Nathanail, Eftihia/AAF-4949-2021</t>
  </si>
  <si>
    <t>Nathanail, Eftihia/0000-0002-9083-9584</t>
  </si>
  <si>
    <t>NOVELOG project; European Commission's H2020 Programme</t>
  </si>
  <si>
    <t>NOVELOG project; European Commission's H2020 Programme(European Union (EU)European Commission Joint Research Centre)</t>
  </si>
  <si>
    <t>This work has been supported by the NOVELOG project and has been funded within the European Commission's H2020 Programme. This paper expresses the opinions of the authors and not necessarily those of the European Commission. The European Commission is not liable for any use that may be made of the information contained in this paper.</t>
  </si>
  <si>
    <t>PO BOX 17, 3300 AA DORDRECHT, NETHERLANDS</t>
  </si>
  <si>
    <t>978-3-319-74454-4; 978-3-319-74453-7</t>
  </si>
  <si>
    <t>10.1007/978-3-319-74454-4_2</t>
  </si>
  <si>
    <t>Computer Science, Interdisciplinary Applications; Computer Science, Theory &amp; Methods; Transportation; Transportation Science &amp; Technology</t>
  </si>
  <si>
    <t>Computer Science; Transportation</t>
  </si>
  <si>
    <t>BK2WB</t>
  </si>
  <si>
    <t>WOS:000434081600002</t>
  </si>
  <si>
    <t>Ali, MU; Mishra, BK; Thakker, D; Mazumdar, S; Simpson, S</t>
  </si>
  <si>
    <t>Ali, Muhammad Uzar; Mishra, Bhupesh Kumar; Thakker, Dhavalkumar; Mazumdar, Suvodeep; Simpson, Sydney</t>
  </si>
  <si>
    <t>Using Citizen Science to Complement IoT Data Collection: A Survey of Motivational and Engagement Factors in Technology-Centric Citizen Science Projects</t>
  </si>
  <si>
    <t>IOT</t>
  </si>
  <si>
    <t>citizen science; smart cities; IoT; flood monitoring; citizens' engagement issues; motivational factors</t>
  </si>
  <si>
    <t>GEOGRAPHIC INFORMATION; BIODIVERSITY DATA; PARTICIPATION; VOLUNTEERS; BARRIERS; SYSTEMS; DESIGN; SHARE; KNOWLEDGE; QUALITY</t>
  </si>
  <si>
    <t>A key aspect of the development of Smart Cities involves the efficient and effective management of resources to improve liveability. Achieving this requires large volumes of sensors strategically deployed across urban areas. In many cases, however, it is not feasible to install devices in remote and inaccessible areas, resulting in incomplete data coverage. In such situations, citizens can often play a crucial role in filling this data collection gap. A popular complimentary science to traditional sensor-based data collection is to design Citizen Science (CS) activities in collaboration with citizens and local communities. Such activities are also designed with a feedback loop where the Citizens benefit from their participation by gaining a greater sense of awareness of their local issues while also influencing how the activities can align best with their local contexts. The participation and engagement of citizens are vital and yet often a real challenge in ensuring the long-term continuity of CS projects. In this paper, we explore engagement factors, factors that help keeping engagement high, in technology-centric CS projects where technology is a key enabler to support CS activities. We outline a literature review of exploring and understanding various motivational and engagement factors that influence the participation of citizens in technology-driven CS activities. Based on this literature, we present a mobile-based flood monitoring citizen science application aimed at supporting data collection activities in a real-world CS project as part of an EU project. We discuss the results of a user evaluation of this app, and finally discuss our findings within the context of citizens' engagement.</t>
  </si>
  <si>
    <t>[Ali, Muhammad Uzar; Mishra, Bhupesh Kumar; Thakker, Dhavalkumar] Univ Bradford, Dept Comp Sci, Bradford BD7 1DP, England; [Mazumdar, Suvodeep] Univ Sheffield, Fac Social Sci, Informat Sch, Sheffield S1 4DP, England; [Simpson, Sydney] City Bradford Metropolitan Dist Council, Bradford BD1 1HX, England</t>
  </si>
  <si>
    <t>University of Bradford; University of Sheffield</t>
  </si>
  <si>
    <t>Thakker, D (corresponding author), Univ Bradford, Dept Comp Sci, Bradford BD7 1DP, England.</t>
  </si>
  <si>
    <t>m.u.ali3@bradford.ac.uk; b.mishra@bradford.ac.uk; d.thakker@bradford.ac.uk; s.mazumdar@sheffield.ac.uk; sydney.simpson@bradford.gov.uk</t>
  </si>
  <si>
    <t>; Thakker, Dhavalkumar/A-5743-2011; Mishra, Dr Bhupesh/J-2522-2019</t>
  </si>
  <si>
    <t>Mazuar, Suvodeep/0000-0002-0748-7638; Mishra, Bhupesh/0000-0003-3430-8989;</t>
  </si>
  <si>
    <t>European Commission Interreg project Smart Cities and Open data Reuse (SCORE)</t>
  </si>
  <si>
    <t>European Commission Interreg project Smart Cities and Open data Reuse (SCORE)(Interreg Europe)</t>
  </si>
  <si>
    <t>This research work was funded by the European Commission Interreg project Smart Cities and Open data Reuse (SCORE).</t>
  </si>
  <si>
    <t>2624-831X</t>
  </si>
  <si>
    <t>IOT-BASEL</t>
  </si>
  <si>
    <t>IoT</t>
  </si>
  <si>
    <t>10.3390/iot2020015</t>
  </si>
  <si>
    <t>NG2E3</t>
  </si>
  <si>
    <t>WOS:001199225800001</t>
  </si>
  <si>
    <t>Schier, M; Offermann, B; Weigl, JD; Maag, T; Mayer, B; Rudolph, C; Gruber, J</t>
  </si>
  <si>
    <t>Schier, Michael; Offermann, Bjoern; Weigl, Joerg Dieter; Maag, Tilo; Mayer, Bastian; Rudolph, Christian; Gruber, Johannes</t>
  </si>
  <si>
    <t>Innovative Two Wheeler Technologies for Future Mobility Concepts</t>
  </si>
  <si>
    <t>2016 ELEVENTH INTERNATIONAL CONFERENCE ON ECOLOGICAL VEHICLES AND RENEWABLE ENERGIES (EVER)</t>
  </si>
  <si>
    <t>11th International Conference on Ecological Vehicles and Renewable Energies (EVER)</t>
  </si>
  <si>
    <t>APR 06-08, 2016</t>
  </si>
  <si>
    <t>MONACO</t>
  </si>
  <si>
    <t>cargo bikes; hydrogen fuel cell; future mobility; traffic research; hydride storage; thermal management</t>
  </si>
  <si>
    <t>With the requirements of European Commission's White Book that demand emission-free city logistics in major urban areas until 2050, cargo bicycles may play a significant role for last mile deliveries. They require less space than vans and can be parked on the sidewalk. These electrically assisted bicycles, tricycles or quadracycles do not emit any local emissions and are capable to transport 50-250 kg of cargo. But, in topologically moved areas the capacity of conventional battery concepts constrains the transport range: delivery tours by bike can have a daily mileage up to 50-80 km. In the urge of finding energy carriers with a higher energy density than lithium-ion batteries hydrogen comes into the focus for innovative and sustainable cargo bike propulsion systems. This paper outlines the DLR activities to develop a versatile hydrogen fuel cell and its thermal management which suits the transport needs of commercial last mile deliveries with cargo bikes. First studies show that cargo cycles have high potentials not only in postal services but also for the growing courier and parcel service. Active thermal management systems to increase the range and the hill climb capability, the life time and the operational capability like shortening the refilling time are introduced in this paper.</t>
  </si>
  <si>
    <t>[Schier, Michael; Offermann, Bjoern; Weigl, Joerg Dieter; Maag, Tilo; Mayer, Bastian] German Aerosp Ctr, Inst Vehicle Concepts, Pfaffenwaldring 38-40, D-70569 Stuttgart, Germany; [Rudolph, Christian; Gruber, Johannes] German Aerosp Ctr, Inst Transport Res, Rutherfordstr 2, D-12489 Berlin, Germany</t>
  </si>
  <si>
    <t>Helmholtz Association; German Aerospace Centre (DLR); Helmholtz Association; German Aerospace Centre (DLR)</t>
  </si>
  <si>
    <t>Schier, M (corresponding author), German Aerosp Ctr, Inst Vehicle Concepts, Pfaffenwaldring 38-40, D-70569 Stuttgart, Germany.</t>
  </si>
  <si>
    <t>michael.schier@dlr.de; bjorn.offermann@dlr.de; joerg.weigl@dlr.de; tilo.maag@dlr.de; bastian.mayer@dlr.de; christian.rudolph@dlr.de; johannes.gruber@dlr.de</t>
  </si>
  <si>
    <t>978-1-5090-2464-3</t>
  </si>
  <si>
    <t>Energy &amp; Fuels; Engineering, Electrical &amp; Electronic; Transportation Science &amp; Technology</t>
  </si>
  <si>
    <t>Energy &amp; Fuels; Engineering; Transportation</t>
  </si>
  <si>
    <t>BG0SI</t>
  </si>
  <si>
    <t>WOS:000386493800061</t>
  </si>
  <si>
    <t>Mondal, S; Sanyal, A; Brahamchari, S; Bhattacharjee, B; Mujumdar, PD; Raviteja, J; Goswami, AK; Nag, D</t>
  </si>
  <si>
    <t>Aberle, AG</t>
  </si>
  <si>
    <t>Mondal, Saikat; Sanyal, Avik; Brahamchari, Souvik; Bhattacharjee, Biplab; Mujumdar, Poorna D.; Raviteja, J.; Goswami, Arkopal K.; Nag, Dipanjan</t>
  </si>
  <si>
    <t>Utilization of Constrained Urban Spaces for Distributed Energy Generation - Development of Solar Paved Pedestrian Walkway</t>
  </si>
  <si>
    <t>PROCEEDINGS OF THE SNEC 11TH INTERNATIONAL PHOTOVOLTAIC POWER GENERATION CONFERENCE &amp; EXHIBITION</t>
  </si>
  <si>
    <t>Energy Procedia</t>
  </si>
  <si>
    <t>SNEC 11th International Photovoltaic Power Generation Conference and Exhibition (SNEC)</t>
  </si>
  <si>
    <t>APR 17-20, 2017</t>
  </si>
  <si>
    <t>Photovoltaic systems; footpaths; pathways; urban development</t>
  </si>
  <si>
    <t>Distributed energy generation is a challenge in urban areas. Conventional solar systems cannot be installed in cities (rooftop space is limited) and there is need for innovative, dual-purpose designs like BIPV, car-ports and solar walkways. Smart cities of the future would rely heavily on this philosophy. One such system design is presented in this paper that incorporates several novel concepts - solar panels on an elevated structure that generates electricity and provides shelter to pedestrians from the environment, takes care of module cleaning by an automated water management system and harvests rain water. The use of micro-inverters increases energy generation from the system and also reduces issues with shading and pedestrian safety. A pilot of the proposed design is being commissioned at a favourable location in India and analysis of the data obtained will form the basis of future development of solar system design for constrained urban spaces. (C) 2017 The Authors. Published by Elsevier Ltd.</t>
  </si>
  <si>
    <t>[Mondal, Saikat; Sanyal, Avik; Brahamchari, Souvik; Bhattacharjee, Biplab; Mujumdar, Poorna D.; Raviteja, J.] Vikram Solar Pvt Ltd, Chambers, 8th Floor,1865 Rajdanga Main Rd, Kolkata 700107, India; [Goswami, Arkopal K.; Nag, Dipanjan] Indian Inst Technol, Ranbir &amp; Chitra Gupta Sch Infrastruct Design &amp; Ma, Kharagpur 721302, W Bengal, India; [Raviteja, J.] Birla Inst Technol, Dept Elect &amp; Elect Engn, Ranchi 835215, Bihar, India</t>
  </si>
  <si>
    <t>Indian Institute of Technology System (IIT System); Indian Institute of Technology (IIT) - Kharagpur; Birla Institute of Technology Mesra</t>
  </si>
  <si>
    <t>Sanyal, A (corresponding author), Vikram Solar Pvt Ltd, Chambers, 8th Floor,1865 Rajdanga Main Rd, Kolkata 700107, India.</t>
  </si>
  <si>
    <t>avik.sanyal@vikramsolar.con</t>
  </si>
  <si>
    <t>Nag, PhD, Dipanjan/ABD-5365-2021; Goswami, Arkopal/Q-8173-2016</t>
  </si>
  <si>
    <t>Nag, Dipanjan/0000-0002-1192-2161; Goswami, Arkopal/0000-0003-1369-215X</t>
  </si>
  <si>
    <t>Ministry of Human Resource Development (MHRD); Ministry of Urban Development (MoUD) of the Government of India; Vikram Solar Pvt. Ltd., under the Uchhatar Avishkar Yojana</t>
  </si>
  <si>
    <t>Ministry of Human Resource Development (MHRD)(Ministry of Human Resource Development (MHRD), Government of India); Ministry of Urban Development (MoUD) of the Government of India; Vikram Solar Pvt. Ltd., under the Uchhatar Avishkar Yojana</t>
  </si>
  <si>
    <t>This project is funded by the Ministry of Human Resource Development (MHRD), Ministry of Urban Development (MoUD) of the Government of India and Vikram Solar Pvt. Ltd., under the Uchhatar Avishkar Yojana.</t>
  </si>
  <si>
    <t>1876-6102</t>
  </si>
  <si>
    <t>ENRGY PROCED</t>
  </si>
  <si>
    <t>10.1016/j.egypro.2017.09.406</t>
  </si>
  <si>
    <t>BJ6AE</t>
  </si>
  <si>
    <t>WOS:000426435900018</t>
  </si>
  <si>
    <t>Rosa-Gallardo, DJ; Ortiz, G; Boubeta-Puig, J; García-de-Prado, A</t>
  </si>
  <si>
    <t>Braubach, L; Murillo, JM; Kaviani, N; Lama, M; Burgueno, L; Moha, N; Oriol, M</t>
  </si>
  <si>
    <t>Rosa-Gallardo, Daniel J.; Ortiz, Guadalupe; Boubeta-Puig, Juan; Garcia-de-Prado, Alfonso</t>
  </si>
  <si>
    <t>Sustainable WAsTe Collection (SWAT): One Step Towards Smart and Spotless Cities</t>
  </si>
  <si>
    <t>SERVICE-ORIENTED COMPUTING - ICSOC 2017 WORKSHOPS</t>
  </si>
  <si>
    <t>International Conference on Service-Oriented Computing (ICSOC)</t>
  </si>
  <si>
    <t>NOV 13-16, 2017</t>
  </si>
  <si>
    <t>Sustainable waste management; Prevention; Internet of Things Sensors; Service-oriented architecture; Mobile application</t>
  </si>
  <si>
    <t>For decades, urban areas have been faced with the huge challenge of waste disposal and collection. Even though developed countries have tackled this matter from multiple perspectives, some issues remain unsolved when talking about sustainable smart cities. In particular, waste collection and transportation routes are mostly planned statically, without bearing in mind real-time container capacity, as well as other unexpected events which might be of interest - for example, a blocked container lid or fire inside the container. In this paper, we propose a service-oriented sustainable solution to these problems based on the use of novel technologies which will provide us with real-time information and instant notifications of any issues related to waste containers and their collection. This way, thanks to the offered real-time services for the Internet of Things, local governments and official bodies will save resources and time. Even more, citizens will also have easy access to such services and information and therefore will benefit from real-time awareness about the container status.</t>
  </si>
  <si>
    <t>[Rosa-Gallardo, Daniel J.; Ortiz, Guadalupe; Boubeta-Puig, Juan] Univ Cadiz, Dept Comp Sci &amp; Engn, Avda Univ Cadiz 10, Cadiz 11519, Spain; [Garcia-de-Prado, Alfonso] Univ Cadiz, Dept Comp Technol &amp; Architecture, Avda Univ Cadiz 10, Cadiz 11519, Spain</t>
  </si>
  <si>
    <t>Universidad de Cadiz; Universidad de Cadiz</t>
  </si>
  <si>
    <t>Ortiz, G (corresponding author), Univ Cadiz, Dept Comp Sci &amp; Engn, Avda Univ Cadiz 10, Cadiz 11519, Spain.</t>
  </si>
  <si>
    <t>dani.rosagallardo@alum.uca.es; guadalupe.ortiz@uca.es; juan.boubeta@uca.es; alfonso.garciadeprado@uca.es</t>
  </si>
  <si>
    <t>Ortiz, Guadalupe/K-8601-2014; Boubeta-Puig, Juan/L-9429-2014; Garcia-de-Prado, Alfonso/H-4890-2015</t>
  </si>
  <si>
    <t>Spanish Ministry of Science and Innovation [TIN2015-65845-C3-3-R, TIN2014-53986-REDT/TIN2016-81978-REDT]; European Union FEDER Funds [TIN2015-65845-C3-3-R, TIN2014-53986-REDT/TIN2016-81978-REDT]</t>
  </si>
  <si>
    <t>Spanish Ministry of Science and Innovation(Spanish GovernmentMinistry of Science &amp; Innovation, Spain (MICINN)); European Union FEDER Funds(European Union (EU))</t>
  </si>
  <si>
    <t>The authors thank the support from the Spanish Ministry of Science and Innovation and the European Union FEDER Funds through the project TIN2015-65845-C3-3-R and TIN2014-53986-REDT/TIN2016-81978-REDT.</t>
  </si>
  <si>
    <t>978-3-319-91764-1; 978-3-319-91763-4</t>
  </si>
  <si>
    <t>10.1007/978-3-319-91764-1_18</t>
  </si>
  <si>
    <t>Computer Science, Information Systems; Computer Science, Software Engineering; Computer Science, Theory &amp; Methods</t>
  </si>
  <si>
    <t>BP1ZO</t>
  </si>
  <si>
    <t>WOS:000541536700018</t>
  </si>
  <si>
    <t>Baulina, AO; Klyushin, VV; Maksymchuk, OV</t>
  </si>
  <si>
    <t>Baulina, Aleksandrovna Oksana; Klyushin, Vladislav Vladimirovich; Maksymchuk, Olga Viktorovna</t>
  </si>
  <si>
    <t>SMART LIVING AS ONE OF THE ASPECTS OF THE FORMATION OF THE SMART CITY</t>
  </si>
  <si>
    <t>GLOBALIZATION AND ITS SOCIO-ECONOMIC CONSEQUENCES</t>
  </si>
  <si>
    <t>18th International Scientific Conference on Globalization and Its Socio-Economic Consequences</t>
  </si>
  <si>
    <t>OCT 10-11, 2018</t>
  </si>
  <si>
    <t>smart city; housing construction; comfortable accommodation; regional construction cluster public-private partnership</t>
  </si>
  <si>
    <t>CONSTRUCTION; INNOVATION; CLUSTERS</t>
  </si>
  <si>
    <t>Today, cities are the main forces of economic development, and have occupied a central place in production, consumption, defining social and economic relations and, currently provide a significant share of gross domestic product at the regional level. Cities play a critical role in national, regional and global development. Of course, the quality of living of people in the region depends on them. So today, cities must meet special requirements, such as the availability of urban infrastructure, mobility, security, urban areas, environmental friendliness, development of city self-management, quality and comfortable accommodation. Implementation in totality of the above factors, allows us to classify this type of city to a new kind called a smart city, one of the basic philosophy principles of which is safe and comfortable accommodation. The purpose of the paper is theoretical and methodological substantiations of the concept of smart living as the most important aspects of the formation of smart cities from the standpoint of population provision with affordable and comfortable housing. Subject of paper - factors, that determine the comfort and affordability of residential real estate smart cities, and the object of research - the sphere of housing construction of the city, providing safe and comfortable accommodation. The results of testing the author's approach proves the possibility of the implementation of measures to achieve the General goal of providing the population with quality and affordable housing to meet the quality standards of granting housing and communal services as one of the basic principles of the smart city philosophy.</t>
  </si>
  <si>
    <t>[Baulina, Aleksandrovna Oksana; Klyushin, Vladislav Vladimirovich] Krasnoznamenskaya St 25,Apartment 63, Volgograd 400066, Russia; [Maksymchuk, Olga Viktorovna] Donetskaya St 14,Apartment 167, Volgograd 400066, Russia</t>
  </si>
  <si>
    <t>Klyushin, VV (corresponding author), Krasnoznamenskaya St 25,Apartment 63, Volgograd 400066, Russia.</t>
  </si>
  <si>
    <t>baulina-oksana@yandex.ru; vladislav-klushin@yandex.ru; olga_maksimchuk@mail.ru</t>
  </si>
  <si>
    <t>Maksimchuk, Olga/ABH-1237-2021; Klyushin, Vladislav/AAI-3228-2020</t>
  </si>
  <si>
    <t>978-80-8154-249-7</t>
  </si>
  <si>
    <t>BS0FL</t>
  </si>
  <si>
    <t>WOS:000681676300251</t>
  </si>
  <si>
    <t>Veselova, A</t>
  </si>
  <si>
    <t>Loster, T; Pavelka, T</t>
  </si>
  <si>
    <t>Veselova, Anna</t>
  </si>
  <si>
    <t>THE ANALYSIS OF SMART CITY CONCEPT IMPLEMENTATION AND ITS INFLUENCE ON CITY DEVELOPMENT</t>
  </si>
  <si>
    <t>12TH INTERNATIONAL DAYS OF STATISTICS AND ECONOMICS</t>
  </si>
  <si>
    <t>12th International Days of Statistics and Economics</t>
  </si>
  <si>
    <t>SEP 06-08, 2018</t>
  </si>
  <si>
    <t>Prague, CZECH REPUBLIC</t>
  </si>
  <si>
    <t>Smart city; city development; socioeconomic development; city management; urban planning; sustainability</t>
  </si>
  <si>
    <t>We live in a world where every second individual is a city resident. The cities play a significant role in the worldwide economy. According to the report of the United Nations Organization, in 2050 about 67 per cent of the world population will live in the urban territories that is 15 per cent more than in 2014. In order to respond to this tendency, the focus on smart and sustainable urban planning is increased amongst the scientists, urban planners and policy makers. The growing demand for smart cities and smart urban planning appears from the steady increase of the information technologies and is caused by the following factors: global financial crisis, climate change, urban areas growth, population growth, cultural globalization. Obviously, that smart and sustainable planning makes cities and regions more favorable for a living and more competitive. Each city that decides to implement smart approaches are implement them in different ways and the outcomes are different as well. At the same time, there are controversial opinions about smartness and the most common is that smart technologies are penetrates in city dwellers private life. Thus, debates on smart and sustainable cities and regional planning must, first of all, give the direction to those who are involved in city managing: academics, researchers, managers, public officers, city planners, politicians - to develop cities and make them more sustainable and comfortable by applying innovative technologies by excluding negative influences on people.</t>
  </si>
  <si>
    <t>[Veselova, Anna] Univ Strathclyde, 199 Cathedral St, Glasgow G4 0QU, Lanark, Scotland</t>
  </si>
  <si>
    <t>University of Strathclyde</t>
  </si>
  <si>
    <t>Veselova, A (corresponding author), Univ Strathclyde, 199 Cathedral St, Glasgow G4 0QU, Lanark, Scotland.</t>
  </si>
  <si>
    <t>aoveselova@gmail.com</t>
  </si>
  <si>
    <t>MELANDRIUM</t>
  </si>
  <si>
    <t>SLANY</t>
  </si>
  <si>
    <t>FUGNEROVA 691, SLANY, 27401, CZECH REPUBLIC</t>
  </si>
  <si>
    <t>978-80-87990-14-8</t>
  </si>
  <si>
    <t>Economics; Social Sciences, Interdisciplinary</t>
  </si>
  <si>
    <t>Business &amp; Economics; Social Sciences - Other Topics</t>
  </si>
  <si>
    <t>BL7YP</t>
  </si>
  <si>
    <t>WOS:000455809400183</t>
  </si>
  <si>
    <t>Khan, FI; Gawade, A</t>
  </si>
  <si>
    <t>Khan, Fariha Irfan; Gawade, Aruna</t>
  </si>
  <si>
    <t>Dynamic Routing for Waste Management using IoT for Cost-Efficient Service</t>
  </si>
  <si>
    <t>2017 INTERNATIONAL CONFERENCE ON CURRENT TRENDS IN COMPUTER, ELECTRICAL, ELECTRONICS AND COMMUNICATION (CTCEEC)</t>
  </si>
  <si>
    <t>International Conference on Current Trends in Computer, Electrical, Electronics and Communication (CTCEEC)</t>
  </si>
  <si>
    <t>SEP 08-09, 2017</t>
  </si>
  <si>
    <t>Mysore, INDIA</t>
  </si>
  <si>
    <t>Internet of Things(IoT); routing; Smart Bin; Smart City; Ultrasonic sensor; waste management</t>
  </si>
  <si>
    <t>Smart City is the product of accelerated development of the new generation information technology and knowledge-based economy. The essential components of urban development for a smart city should include smart technology, smart services, smart industry, smart management and smart life. The Internet of Things (IoT) is an emerging paradigm focusing on the inter-connection of things or devices to each other and to the users. This technology is anticipated to become an integral milestone in the development of smart homes and smart cities. As population increases in urban areas, the generation of waste also increases which affects the lives of people. Proposed system aims to reduce the cost and time required for waste collection by implementing Internet of Things approach. The system shuts the lid of the bin automatically when bin capacity is reached which is found by use of ultrasonic distance calculation sensors. Once the lid is shut, a message is sent to the server side where decision making process is carried out. An alert message indicating the bin status is sent to the truck driver whose location is nearest to the full bin. Thus, the proposed system saves time and is cost efficient.</t>
  </si>
  <si>
    <t>[Khan, Fariha Irfan; Gawade, Aruna] DJ Sanghvi Coll Engn, Dept Comp Engn, Bombay, Maharashtra, India</t>
  </si>
  <si>
    <t>Khan, FI (corresponding author), DJ Sanghvi Coll Engn, Dept Comp Engn, Bombay, Maharashtra, India.</t>
  </si>
  <si>
    <t>khanfariha.92@gmail.com; aruna.gawade@djsce.ac.in</t>
  </si>
  <si>
    <t>gawade, aruna/ABA-5103-2021</t>
  </si>
  <si>
    <t>gawade, aruna/0000-0001-8941-5381</t>
  </si>
  <si>
    <t>978-1-5386-3243-7</t>
  </si>
  <si>
    <t>BL6XU</t>
  </si>
  <si>
    <t>WOS:000454738900040</t>
  </si>
  <si>
    <t>Sundharam, SM; Fejoz, L; Navet, N</t>
  </si>
  <si>
    <t>Sundharam, Sakthivel Manikandan; Fejoz, Loic; Navet, Nicolas</t>
  </si>
  <si>
    <t>Connected Motorized Riders - A Smart Mobility System to Connect Two and Three-wheelers</t>
  </si>
  <si>
    <t>2016 SIXTH INTERNATIONAL SYMPOSIUM ON EMBEDDED COMPUTING AND SYSTEM DESIGN (ISED 2016)</t>
  </si>
  <si>
    <t>6th International Symposium on Embedded Computing and System Design (ISED)</t>
  </si>
  <si>
    <t>DEC 15-17, 2016</t>
  </si>
  <si>
    <t>IIT Patna, Patna, INDIA</t>
  </si>
  <si>
    <t>IIT Patna</t>
  </si>
  <si>
    <t>The Smart Cities Mission has been launched in India in 2015 to develop 100 cities, with smart mobility being one of the main topics in the mission. As urban areas are flooded with two (motorcycles) and three wheelers (auto-rickshaws), introducing smart control of such vehicles may reduce the congestions on the roads and the number of accidents. Indeed, over-speeding and drunken driving are common traffic violations. In this project we propose an IoT-based smart mobility system which tracks data, such as the vehicle location, vehicle speed, alcohol level of the driver, etc. efficiently over the internet. Our system has been conceived with CPAL, a high-level language meant to simulate and execute Cyber Physical Systems including IoT applications. A prototype running on ARM mbed IoT hardware, shows the feasibility of our concept. We believe that more efficient and interactive traffic management, more disciplined driving behaviors, reduction in accident rate, more controlled pollution, increased passenger safety can be achieved if systems like the one prototyped in this work deployed contributing to smarter cities.</t>
  </si>
  <si>
    <t>[Sundharam, Sakthivel Manikandan; Navet, Nicolas] Univ Luxembourg, FSTC LASSY, L-1359 Luxembourg, Luxembourg; [Fejoz, Loic] RealTime At Work RTaW, 4 Rue Piroux, F-54000 Ctr Atrium, Villers Les Nan, France</t>
  </si>
  <si>
    <t>University of Luxembourg</t>
  </si>
  <si>
    <t>Sundharam, SM (corresponding author), Univ Luxembourg, FSTC LASSY, L-1359 Luxembourg, Luxembourg.</t>
  </si>
  <si>
    <t>sakthivel.sundharam@uni.lu; loic.fejoz@realtimeatwork.com; nicolas.navet@uni.lu</t>
  </si>
  <si>
    <t>FNR (Fonds National de la Recherche); Luxembourg National Research Fund (AFR) [10053122]</t>
  </si>
  <si>
    <t>FNR (Fonds National de la Recherche)(Luxembourg National Research Fund); Luxembourg National Research Fund (AFR)(Luxembourg National Research Fund)</t>
  </si>
  <si>
    <t>This research is supported by FNR (Fonds National de la Recherche), the Luxembourg National Research Fund (AFR Grant no 10053122).</t>
  </si>
  <si>
    <t>BS7KP</t>
  </si>
  <si>
    <t>WOS:000763464100067</t>
  </si>
  <si>
    <t>Schleicher, A</t>
  </si>
  <si>
    <t>Vallerent, S</t>
  </si>
  <si>
    <t>Schleicher, Andreas</t>
  </si>
  <si>
    <t>Fire protection concepts for Timber-Glass Composite facades</t>
  </si>
  <si>
    <t>2ND INTERNATIONAL SEMINAR FOR FIRE SAFETY OF FACADES</t>
  </si>
  <si>
    <t>MATEC Web of Conferences</t>
  </si>
  <si>
    <t>2nd International Seminar on Fire Safety of Facades (FSF)</t>
  </si>
  <si>
    <t>MAY 11-13, 2016</t>
  </si>
  <si>
    <t>Lund, SWEDEN</t>
  </si>
  <si>
    <t>The issues of this article are subject of the research project Timber-Glass Composite Facades | Behavior in Case of Fire | Fire Protection Concepts which is performed by Brandrat ZT GmbH in cooperation with the Department of Architectural Sciences and Timber Engineering, Vienna University of Technology. It is part of the research program Urban Solutions 2014 and is funded by the Vienna Business Agency. Start of the project took place in October 2014 and it should be completed in March 2017. The project management is carried out by the author of this paper. The main objectives can be summarized as follows: Growth and densification in urban areas require the development of intelligent and resource-efficient building systems for Smart Cities of the future. By using timber-glass composites (TGC) the primary energy demand of buildings can be reduced substantially. This research project examines the feasibility of applications of this new technology in multi-story and high-rise buildings. Critical aspects concerning fire protection such as flammability of timber elements, fire spread and failure of facade elements with bracing capacity will be analyzed. Different strategies will be developed in case studies and validated by structural analysis. Large scale mock ups of TGC facade elements will be checked on their suitability in fire tests. The findings of this research will lead to innovative fire safety concepts for building systems with TGC facades. Compliance with the high safety standards for multi-story buildings in urban areas like Vienna is one of the main objectives of this work. The adaptation of these fire safety concepts to the national standards of the neighboring countries will be continued subsequently. The gained knowledge should lead to further cooperation with companies for serial productions with TGC technology.</t>
  </si>
  <si>
    <t>[Schleicher, Andreas] Vienna Univ Technol, Vienna, Austria</t>
  </si>
  <si>
    <t>Technische Universitat Wien</t>
  </si>
  <si>
    <t>Schleicher, A (corresponding author), Vienna Univ Technol, Vienna, Austria.</t>
  </si>
  <si>
    <t>E D P SCIENCES</t>
  </si>
  <si>
    <t>CEDEX A</t>
  </si>
  <si>
    <t>17 AVE DU HOGGAR PARC D ACTIVITES COUTABOEUF BP 112, F-91944 CEDEX A, FRANCE</t>
  </si>
  <si>
    <t>2261-236X</t>
  </si>
  <si>
    <t>MATEC WEB CONF</t>
  </si>
  <si>
    <t>10.1051/matecconf/20164605003</t>
  </si>
  <si>
    <t>Construction &amp; Building Technology; Materials Science, Multidisciplinary</t>
  </si>
  <si>
    <t>Construction &amp; Building Technology; Materials Science</t>
  </si>
  <si>
    <t>BG0KK</t>
  </si>
  <si>
    <t>Green Submitted, gold, Green Published</t>
  </si>
  <si>
    <t>WOS:000386309400023</t>
  </si>
  <si>
    <t>Napoli, G; Micari, S; Antonucci, V; Andaloro, L</t>
  </si>
  <si>
    <t>Napoli, G.; Micari, S.; Antonucci, V.; Andaloro, L.</t>
  </si>
  <si>
    <t>Preliminary Test of a Fuel Cell Hybrid Electric Minibus</t>
  </si>
  <si>
    <t>INTERNATIONAL CONFERENCE ON ENERGY, ENVIRONMENT AND CHEMICAL ENGINEERING (ICEECE 2015)</t>
  </si>
  <si>
    <t>International Conference on Energy, Environment and Chemical Engineering (ICEECE)</t>
  </si>
  <si>
    <t>JUN 28-29, 2015</t>
  </si>
  <si>
    <t>Bangkok, THAILAND</t>
  </si>
  <si>
    <t>Fuel cell hybrid electric vehicle (FCHEV); Urban mobility; Fuel cells</t>
  </si>
  <si>
    <t>Many actions have been recently carried out within European cities with the aim of reduce the negative impacts on traffic and environment caused by city logistics. New technologies for vehicles and traffic management will be key to lower transport emissions in the EU as in the rest of the world. In order to meet the increasingly complex challenges of urban areas new, efficient, and user-friendly technologies and services - in particular in areas of energy, transport, and ICT - are required. Within a national project CNR TAE Institute is involved in infrastructure, logistic and vehicle development with the aim to reduce the impact of transportation on the cities and touristic areas. This work present preliminary road test of a Fuel Cell Hybrid Electric Minibus developed in the i-NEXT (Innovation for Green Energy and eXchange in Transportation) project.</t>
  </si>
  <si>
    <t>[Napoli, G.; Micari, S.; Antonucci, V.; Andaloro, L.] Natl Res Council Italy CNR, Inst Adv Technol Energy Nicola Giordano ITAE, I-98126 Messina, Italy</t>
  </si>
  <si>
    <t>Consiglio Nazionale delle Ricerche (CNR); Istituto di Tecnologie Avanzate per l'Energia Nicola Giordano (ITAE-CNR)</t>
  </si>
  <si>
    <t>Napoli, G (corresponding author), Natl Res Council Italy CNR, Inst Adv Technol Energy Nicola Giordano ITAE, Salita S Lucia Contesse 5, I-98126 Messina, Italy.</t>
  </si>
  <si>
    <t>Micari, Salvatore/JRW-5557-2023; Napoli, Giuseppe/C-6136-2015</t>
  </si>
  <si>
    <t>Napoli, Giuseppe/0000-0003-0730-8641; MICARI, SALVATORE/0000-0002-6176-2928</t>
  </si>
  <si>
    <t>978-1-60595-257-4</t>
  </si>
  <si>
    <t>Energy &amp; Fuels; Engineering, Environmental; Engineering, Chemical</t>
  </si>
  <si>
    <t>BD9UQ</t>
  </si>
  <si>
    <t>WOS:000365434200023</t>
  </si>
  <si>
    <t>Hensher, DA; Puckett, SM</t>
  </si>
  <si>
    <t>Refocusing the modelling of freight distribution: Development of an economic-based framework to evaluate supply chain behaviour in response to congestion charging</t>
  </si>
  <si>
    <t>TRANSPORTATION</t>
  </si>
  <si>
    <t>TRANSPORT; URBAN; DEMAND; CHOICE; PREDICTION; LOGISTICS; NETWORK; TRIPS; FLOWS</t>
  </si>
  <si>
    <t>The distribution of freight is a major contributor to the levels of traffic congestion in cities. However it is much neglected in the research and planning activities of government, where the focus is disproportionately on passenger vehicle movements. Despite the recent recognition of the contribution of freight transportation to the performance of urban areas under the rubric of city logistics, we see a void in the study of how the stakeholders in the supply chain might cooperate through participation in distribution networks, to reduce the costs associated with traffic congestion. Given that transport costs are typically over 45 of all distribution costs, with congestion a major contributor in the urban setting, the importance of establishing ways in which supply chain partnerships might cooperate to reduce levels of freight vehicle movements has much merit. This paper sets out a framework to investigate how agents in a retail supply chain might interact more effectively to reduce the costs of urban freight distribution. We propose an interactive agency choice method as a way of formalising a framework for studying the preferences of participants in the supply chain to support specific policy initiatives. Such a framework is a powerful way of investigating the behavioural response of each agent to many policies, including congestion pricing, as a way of improving the efficient flow of traffic in cities.</t>
  </si>
  <si>
    <t>Univ Sydney, Fac Econ &amp; Business, Sch Business, Inst Transport Studies, Sydney, NSW 2006, Australia</t>
  </si>
  <si>
    <t>University of Sydney</t>
  </si>
  <si>
    <t>Hensher, DA (corresponding author), Univ Sydney, Fac Econ &amp; Business, Sch Business, Inst Transport Studies, Sydney, NSW 2006, Australia.</t>
  </si>
  <si>
    <t>davidh@its.ysyd.edu.au</t>
  </si>
  <si>
    <t>; Hensher, David/C-4145-2011</t>
  </si>
  <si>
    <t>Hensher, David/0000-0003-0058-2242;</t>
  </si>
  <si>
    <t>0049-4488</t>
  </si>
  <si>
    <t>1572-9435</t>
  </si>
  <si>
    <t>10.1007/s11116-004-7615-6</t>
  </si>
  <si>
    <t>Engineering, Civil; Transportation; Transportation Science &amp; Technology</t>
  </si>
  <si>
    <t>961EV</t>
  </si>
  <si>
    <t>WOS:000231645600001</t>
  </si>
  <si>
    <t>Grzybowska, H; Barceló, J</t>
  </si>
  <si>
    <t>Grzybowska, Hanna; Barcelo, Jaume</t>
  </si>
  <si>
    <t>Decision support system for real-time urban freight management</t>
  </si>
  <si>
    <t>SEVENTH INTERNATIONAL CONFERENCE ON CITY LOGISTICS</t>
  </si>
  <si>
    <t>Procedia Social and Behavioral Sciences</t>
  </si>
  <si>
    <t>7th International Conference on City Logistics</t>
  </si>
  <si>
    <t>JUN 07-09, 2011</t>
  </si>
  <si>
    <t>Mallorca, SPAIN</t>
  </si>
  <si>
    <t>Decission support system; real-time freight management; dynamic traffic simulation models; pickup and delivery vehicle routing problem with time windows; parallel tabu search</t>
  </si>
  <si>
    <t>DELIVERY PROBLEM; DYNAMIC PICKUP; TABU SEARCH; WINDOWS; HEURISTICS</t>
  </si>
  <si>
    <t>The urban network is a highly dynamic system. Thus, a modern and efficient fleet management in urban areas should account for dynamics of traffic conditions and variability in travel times, since they significantly affect the distribution of goods and the provision of services. For the proficient dynamic fleet management decisions it is proper instead of relying exclusively on the experience of a dispatcher, to base the freight management decisions on information provided by a professional Decision Support System (DSS), which facilitates the consideration of all the factors conditioning the addressed problem. This paper provides a proposal of such DSS for real-time freight management. Its design is based on integration of selected pickup and delivery vehicle routing model and dynamic traffic simulation models, which objective is to carefully emulate the evolving traffic conditions. The optimal dynamic routing and scheduling of a vehicle fleet is obtained due to dynamic modifications of the current routing and scheduling plan on the basis of the newly revealed information conditioning the addressed problem. (C) 2012 Published by Elsevier Ltd. Selection and/or peer-review under responsibility of 7th International Conference on City Logistics</t>
  </si>
  <si>
    <t>[Grzybowska, Hanna; Barcelo, Jaume] Tech Univ Catalonia, Off 307, Barcelona 08034, Spain</t>
  </si>
  <si>
    <t>Universitat Politecnica de Catalunya</t>
  </si>
  <si>
    <t>jaume.barcelo@upc.edu</t>
  </si>
  <si>
    <t>Grzybowska, Hanna/0000-0003-2614-5964</t>
  </si>
  <si>
    <t>1877-0428</t>
  </si>
  <si>
    <t>PROCD SOC BEHV</t>
  </si>
  <si>
    <t>10.1016/j.sbspro.2012.03.142</t>
  </si>
  <si>
    <t>Management; Transportation</t>
  </si>
  <si>
    <t>BDN88</t>
  </si>
  <si>
    <t>WOS:000314104200056</t>
  </si>
  <si>
    <t>Büyüközkan, G; Feyzioglu, O; Ilicak, Ö</t>
  </si>
  <si>
    <t>Kahraman, C; Onar, SC; Cebi, S; Oztaysi, B; Tolga, AC; Sari, IU</t>
  </si>
  <si>
    <t>Buyukozkan, Gulcin; Feyzioglu, Orhan; Ilicak, Oyku</t>
  </si>
  <si>
    <t>Identifying Urban Logistics Strategies in Istanbul Using Multiple Preference Relations-Based SWOT Analysis</t>
  </si>
  <si>
    <t>INTELLIGENT AND FUZZY SYSTEMS, VOL 3, INFUS 2024</t>
  </si>
  <si>
    <t>International Conference on Intelligent and Fuzzy Systems (INFUS)</t>
  </si>
  <si>
    <t>JUL 16-18, 2024</t>
  </si>
  <si>
    <t>Istanbul Tech Univ, Canakkale, TURKEY</t>
  </si>
  <si>
    <t>Istanbul Tech Univ</t>
  </si>
  <si>
    <t>Urban Logistics; SWOT Analysis; Group Decision Making; Multiple Preference Relations</t>
  </si>
  <si>
    <t>GROUP DECISION-MAKING; CITY LOGISTICS; SELECTION; CRITERIA; GDM</t>
  </si>
  <si>
    <t>Urban logistics refers to the planning, organization, and implementation of the flow of goods, services, and information within urban areas. It encompasses the entire supply chain process, from the transportation and storage of goods to the final delivery to end-users. Urban logistics plays a pivotal role in the economic development and sustainability of cities, focusing on optimizing the movement of goods while minimizing environmental impacts and improving the overall urban living experience. The objective of this study is to identify and evaluate strategies for the effective urban logistics in.Istanbul. To formulate a strategy, SWOT (strengths, weaknesses, opportunities, threats) analysis is employed as a straightforward and efficacious method for discerning internal and external factors, serving as the foundational framework for strategy development. Existing research literature underscores certain limitations inherent in the conventional SWOT analysis, particularly concerning the prioritization of factors and strategies. Consequently, this paper endeavors to propose an integrated SWOT analysis incorporating a multiple preference relations (MPR) technique, framed within a group decision-making context, to systematically prioritize strategic factors and proffer alternative strategies conducive to the effective management of urban logistics in.Istanbul. The application of the MPR approach facilitates the inclusion of perspectives from experts with diverse qualifications and opinions, thus enabling a nuanced exploration of preferences. Additionally, this approach affords decision-makers flexibility through the utilization of various forms of judgments, contributing to a heightened satisfaction level in the decision-making process.</t>
  </si>
  <si>
    <t>[Buyukozkan, Gulcin; Feyzioglu, Orhan; Ilicak, Oyku] Galatasaray Univ, Ind Engn Dept, Istanbul, Turkiye</t>
  </si>
  <si>
    <t>Galatasaray University</t>
  </si>
  <si>
    <t>Büyüközkan, G (corresponding author), Galatasaray Univ, Ind Engn Dept, Istanbul, Turkiye.</t>
  </si>
  <si>
    <t>gulcin.buyukozkan@gmail.com</t>
  </si>
  <si>
    <t>; ILICAK, OYKU/ABF-9160-2021; Feyzioglu, Orhan/AAG-5351-2019; Büyüközkan, Gülçin/AAC-8046-2020</t>
  </si>
  <si>
    <t>ılıcak, öykü/0000-0001-6337-9773;</t>
  </si>
  <si>
    <t>Galatasaray University Research Fund [FOA-2023-1181]</t>
  </si>
  <si>
    <t>Galatasaray University Research Fund(Galatasaray University)</t>
  </si>
  <si>
    <t>The experts who participated in this study are gratefully acknowledged by the authors. We would also like to extend our appreciation to Galatasaray University Research Fund for their financial support (FOA-2023-1181).</t>
  </si>
  <si>
    <t>978-3-031-67191-3; 978-3-031-67192-0</t>
  </si>
  <si>
    <t>10.1007/978-3-031-67192-0_40</t>
  </si>
  <si>
    <t>Computer Science, Artificial Intelligence; Computer Science, Interdisciplinary Applications; Computer Science, Theory &amp; Methods; Mathematics, Applied</t>
  </si>
  <si>
    <t>Computer Science; Mathematics</t>
  </si>
  <si>
    <t>BX8BN</t>
  </si>
  <si>
    <t>WOS:001329233600039</t>
  </si>
  <si>
    <t>Belfadel, A; HörL, S; Tapia, RJ; Politaki, D; Kureshi, I; Tavasszy, L; Puchinger, J</t>
  </si>
  <si>
    <t>Belfadel, Abdelhadi; HorL, Sebastian; Tapia, Rodrigo Javier; Politaki, Dimitra; Kureshi, Ibad; Tavasszy, Lorant; Puchinger, Jakob</t>
  </si>
  <si>
    <t>A conceptual digital twin framework for city logistics</t>
  </si>
  <si>
    <t>COMPUTERS ENVIRONMENT AND URBAN SYSTEMS</t>
  </si>
  <si>
    <t>Digital twin; Urban logistics; City logistics; On -demand logistics; System architecture</t>
  </si>
  <si>
    <t>METHODOLOGY</t>
  </si>
  <si>
    <t>Urban logistics is one of the key elements of urban mobility planning. The use of real-time information systems in logistics operations generates an enormous amount of data, nowadays used mainly for the purpose of monitoring and control of large flows of goods. At the same time, urban planners, business stakeholders, and city admin-istrators are in need of adaptive, data-driven decision support solutions to address today's urban logistics problems. Recently, digital twins have received a lot of attention to support advanced experimentation, simu-lation and decision-making for on-demand logistics operations. Questions still remain on how to realize these for urban logistics management in a mixed public-private stakeholder context. We argue that this lack of a specific framework for city logistics with a model library for data mergers, linking physical and virtual data exchange, can compromise the timely adoption of digital twin technology. We contribute to filling this gap by presenting a systematic review of the literature, proposing a conceptual framework for digital twin applications in urban logistics, and providing use case scenarios for their demonstration. Together, these should advance the technical implementation of digital twins in a sustainable city logistics context.</t>
  </si>
  <si>
    <t>[Belfadel, Abdelhadi; HorL, Sebastian] IRT SystemX, Palaiseau, France; [Tapia, Rodrigo Javier; Tavasszy, Lorant] Delft Univ Technol, Delft, Netherlands; [Politaki, Dimitra] Inlecom Innovat, Kifisia, Greece; [Kureshi, Ibad] HM Land Registry, Croydon, England; [Puchinger, Jakob] EM Normandie Business Sch, Metis Lab, Clichy, France</t>
  </si>
  <si>
    <t>Belfadel, A (corresponding author), IRT SystemX, Palaiseau, France.</t>
  </si>
  <si>
    <t>Abdelhadi.belfadel@irt-systemx.fr; Sebastian.horl@irt-systemx.fr; R.J.Tapia@tudelft.nl; dimitra.politaki@inlecomsystems.com; L.A.Tavasszy@tudelft.nl; jpuchinger@em-normandie.fr</t>
  </si>
  <si>
    <t>Belfadel, Abdelhadi/AAS-9277-2021; Hörl, Sebastian/GQY-4515-2022; Puchinger, Jakob/ABB-1626-2021</t>
  </si>
  <si>
    <t>Tavasszy, Lorant/0000-0002-5164-2164; Puchinger, Jakob/0000-0001-7355-8070; Belfadel, Abdelhadi/0000-0002-8260-4638; Tapia, Roigo Javier/0000-0001-7132-5695</t>
  </si>
  <si>
    <t>European Union [861598]</t>
  </si>
  <si>
    <t>This paper presents work developed in the scope of the project LEAD. This project has received funding from the European Union's Horizon 2020 research and innovation programme under grant agreement no. 861598. The content of this paper does not reflect the official opinion of the European Union. Responsibility for the information and views expressed in this paper lies entirely with the authors.</t>
  </si>
  <si>
    <t>0198-9715</t>
  </si>
  <si>
    <t>1873-7587</t>
  </si>
  <si>
    <t>COMPUT ENVIRON URBAN</t>
  </si>
  <si>
    <t>Comput. Environ. Urban Syst.</t>
  </si>
  <si>
    <t>10.1016/j.compenvurbsys.2023.101989</t>
  </si>
  <si>
    <t>MAY 2023</t>
  </si>
  <si>
    <t>Computer Science, Interdisciplinary Applications; Engineering, Environmental; Environmental Studies; Geography; Operations Research &amp; Management Science; Regional &amp; Urban Planning</t>
  </si>
  <si>
    <t>Computer Science; Engineering; Environmental Sciences &amp; Ecology; Geography; Operations Research &amp; Management Science; Public Administration</t>
  </si>
  <si>
    <t>L1RY4</t>
  </si>
  <si>
    <t>Green Submitted, Bronze</t>
  </si>
  <si>
    <t>WOS:001021110600001</t>
  </si>
  <si>
    <t>Jiao, HZ; Yang, FX; Xu, SS; Huang, SB</t>
  </si>
  <si>
    <t>Jiao, Hongzan; Yang, Faxing; Xu, Shasha; Huang, Shibiao</t>
  </si>
  <si>
    <t>Using Large-Scale Truck Trajectory Data to Explore the Location of Sustainable Urban Logistics Centres-The Case of Wuhan</t>
  </si>
  <si>
    <t>DBSCAN; truck trajectory data; logistics centre; P-median model</t>
  </si>
  <si>
    <t>FACILITY LOCATION; FREIGHT TRANSPORT; INFRASTRUCTURE; SELECTION; NETWORK; DESIGN; MODEL</t>
  </si>
  <si>
    <t>Urban logistics is important to a city's sustainable growth and development. With the increase in population and the economic growth in urban areas, the issue of congestion and the negative influence of transport of goods on people and the environment is one of the most important factors in the development of urban logistics. By determining the optimal location of urban logistics centres, total transport costs of logistics, the flow of goods in urban areas and the greenhouse gas emissions will be reduced. However, the traditional methods are easily influenced by the ambiguity of objective data, which makes it difficult to accurately describe the logistics demand in the urban area. To address this issue, the improved location-allocation model for urban logistics centres based on truck trajectory data is proposed. After extracting the origin-destination points, the logistics service demand can be estimated by the DBSCAN (density-based spatial clustering of applications with noise) clustering method. Then, the location-allocation of logistics centres is determined by an improved P-median method with the supply capacity limitation for simultaneous delivery of goods in the logistics centres. To validate the model, taking Wuhan, a central logistics city in China, as an example, the model can effectively ensure the equitable distribution of logistics facilities, minimize freight expenses, achieve more uniformity in logistics center services, and foster sustainable development of the city's logistics sector.</t>
  </si>
  <si>
    <t>[Jiao, Hongzan; Yang, Faxing; Huang, Shibiao] Wuhan Univ, Sch Urban Design, Dept Urban Planning, Wuhan 430072, Peoples R China; [Jiao, Hongzan] Engn Res Ctr, Human Settlements &amp; Environm, Wuhan 430072, Hubei, Peoples R China; [Jiao, Hongzan] Wuhan Univ, Res Ctr Digital, Wuhan 430072, Peoples R China; [Xu, Shasha] Wuhan Planning &amp; Design Inst, Wuhan 430014, Peoples R China</t>
  </si>
  <si>
    <t>Wuhan University; Wuhan University</t>
  </si>
  <si>
    <t>Jiao, HZ (corresponding author), Wuhan Univ, Sch Urban Design, Dept Urban Planning, Wuhan 430072, Peoples R China.;Jiao, HZ (corresponding author), Engn Res Ctr, Human Settlements &amp; Environm, Wuhan 430072, Hubei, Peoples R China.;Jiao, HZ (corresponding author), Wuhan Univ, Res Ctr Digital, Wuhan 430072, Peoples R China.</t>
  </si>
  <si>
    <t>jiaohongzan@whu.edu.cn</t>
  </si>
  <si>
    <t>jiao, hongzan/0000-0002-7048-3293</t>
  </si>
  <si>
    <t>National Natural Science Foundation of China [42192580, 42192583]; National Key Research and Development Program [2020YFC1512002]; Spatial Layout Plan project of Modern Logistics in Wuhan</t>
  </si>
  <si>
    <t>National Natural Science Foundation of China(National Natural Science Foundation of China (NSFC)); National Key Research and Development Program(National Key Research &amp; Development Program of China); Spatial Layout Plan project of Modern Logistics in Wuhan</t>
  </si>
  <si>
    <t>This research was funded by the National Natural Science Foundation of China Major Program (Grant Nos. 42192580 and 42192583), the National Key Research and Development Program (2020YFC1512002) and Spatial Layout Plan project of Modern Logistics in Wuhan (2022-2035).</t>
  </si>
  <si>
    <t>10.3390/ijgi12030088</t>
  </si>
  <si>
    <t>A9LS7</t>
  </si>
  <si>
    <t>WOS:000958267500001</t>
  </si>
  <si>
    <t>Tordecilla, RD; Ramirez-Villamil, A; Montoya-Torres, JR; Nieto-Garzon, O; Velásquez-Rodríguez, OF; Prato-Sánchez, D</t>
  </si>
  <si>
    <t>Tordecilla, Rafael D.; Ramirez-Villamil, Angie; Montoya-Torres, Jairo R.; Nieto-Garzon, Oscar; Velasquez-Rodriguez, Oscar Fabian; Prato-Sanchez, Daniel</t>
  </si>
  <si>
    <t>A sustainable facility location problem with vehicle allocation: an urban logistics case study</t>
  </si>
  <si>
    <t>JOURNAL OF THE OPERATIONAL RESEARCH SOCIETY</t>
  </si>
  <si>
    <t>Facility location problem; urban logistics; sustainability</t>
  </si>
  <si>
    <t>SUPPLY CHAIN NETWORK; CONSOLIDATION CENTERS; ROUTING PROBLEM; CITY LOGISTICS; MODELS; OPTIMIZATION; COLLABORATION; DESIGN; SYSTEM; DRONE</t>
  </si>
  <si>
    <t>Redesigning urban distribution networks contributes to reducing the negative impacts on the environment and people's well-being caused by urban freight delivery operations. One solution is to locate a set of hubs in strategic sites in the city to make the distribution more efficient and environmentally friendly. The objective of this paper is to study the hub location problem and vehicle allocation, and to design a distribution network for freight deliveries in urban areas. Data from a case study in the city of Bogota, Colombia is used as an example of the proposed solution. Firstly, a mathematical programming model is proposed to minimize transportation costs, hub location costs, and CO2 emissions. Given the multi-objective nature of the problem, the solution is obtained following a lexicographic approach. Moreover, multiple scenarios are considered to analyse which might be the most suitable according to the decision-makers' objectives or requirements. The results obtained through the proposed approach provide a tool for decision-makers to be strategic when choosing the solutions to implement for the case study. These insights and the modelling and solution approach can be generalized for implementation in other cities with similar concerns regarding urban freight distribution.</t>
  </si>
  <si>
    <t>[Tordecilla, Rafael D.; Ramirez-Villamil, Angie; Montoya-Torres, Jairo R.] Univ La Sabana, Cundinamarca, Colombia; [Tordecilla, Rafael D.] Escuela Super Guerra, Bogota, Colombia; [Ramirez-Villamil, Angie] Kedge Business Sch, Paris, France; [Montoya-Torres, Jairo R.] Ecole Technol Super, Montreal, PQ, Canada; [Nieto-Garzon, Oscar; Velasquez-Rodriguez, Oscar Fabian; Prato-Sanchez, Daniel] Latin Amer Ctr Innovat Logist CLI LOGYCA, Bogota, Colombia</t>
  </si>
  <si>
    <t>Universidad de La Sabana; Kedge Business School; University of Quebec; Ecole de Technologie Superieure - Canada</t>
  </si>
  <si>
    <t>Montoya-Torres, JR (corresponding author), Univ La Sabana, Sch Engn, Chia, Cundinamarca, Colombia.;Montoya-Torres, JR (corresponding author), Ecole Technol Super, Dept Genie Syst, Montreal, PQ, Canada.</t>
  </si>
  <si>
    <t>jairo.montoya@unisabana.edu.co</t>
  </si>
  <si>
    <t>Prato, Daniel/O-6587-2019; Montoya-Torres, Jairo/B-8681-2009; Tordecilla, Rafael/AAJ-6478-2020; Prato, Daniel/D-4223-2015</t>
  </si>
  <si>
    <t>Montoya-Torres, Jairo R/0000-0002-6251-3667; Ramirez Villamil, Angie Paola/0000-0001-6840-3525; Tordecilla, Rafael D/0000-0003-3028-1686; Prato, Daniel/0000-0002-5276-4905</t>
  </si>
  <si>
    <t>Colombian Ministry of Science, Technology and Innovation (Minciencias) [165-2023]; Universidad de La Sabana, Colombia [INGPHD-58-2023]</t>
  </si>
  <si>
    <t>Colombian Ministry of Science, Technology and Innovation (Minciencias); Universidad de La Sabana, Colombia</t>
  </si>
  <si>
    <t>This research was jointly supported by the Colombian Ministry of Science, Technology and Innovation (Minciencias) under a postdoctoral enterprise-based grant (code 165-2023), and by Universidad de La Sabana, Colombia (grant INGPHD-58-2023).</t>
  </si>
  <si>
    <t>0160-5682</t>
  </si>
  <si>
    <t>1476-9360</t>
  </si>
  <si>
    <t>J OPER RES SOC</t>
  </si>
  <si>
    <t>J. Oper. Res. Soc.</t>
  </si>
  <si>
    <t>2025 APR 7</t>
  </si>
  <si>
    <t>10.1080/01605682.2025.2489131</t>
  </si>
  <si>
    <t>1QL9R</t>
  </si>
  <si>
    <t>WOS:001471229700001</t>
  </si>
  <si>
    <t>Ferrari, A; Mangano, G; Cagliano, AC; De Marco, A</t>
  </si>
  <si>
    <t>Ferrari, Andrea; Mangano, Giulio; Cagliano, Anna Corinna; De Marco, Alberto</t>
  </si>
  <si>
    <t>4.0 technologies in city logistics: an empirical investigation of contextual factors</t>
  </si>
  <si>
    <t>City Logistics; Industry 4; 0; Technologies; Regression analysis; Last Mile</t>
  </si>
  <si>
    <t>SUPPLY CHAIN MANAGEMENT; BIG DATA; SMART LOGISTICS; IOT; INVESTMENT; INNOVATION; VEHICLES; MODEL</t>
  </si>
  <si>
    <t>Industry 4.0 technologies, originally developed in the manufacturing sector, can be purposefully implemented to improve City Logistics (CL) processes by automatizing some of their operational tasks and enabling real-time exchange of information, with the ultimate goal of providing better interconnection among the actors involved. This work aims to identify the main social and economic contextual drivers for investing in the application of Industry 4.0 technologies to urban logistics. To this end, a dataset based on the primary collection of 105 CL projects exploiting the main 4.0 technologies has been built. After that, a regression model has been completed including potential economic, strategic, and demographic determinants of investments in CL 4.0. According to the obtained outcomes, Gross Domestic Product, Foreign Direct Investments, Research and Development Expenditure, Employment Rate, and Number of Inhabitants are significant contextual factors for the adoption of Industry 4.0 technologies in last mile logistics. The study might support academicians to investigate novel application fields of Industry 4.0 technologies. Also, it can serve as a roadmap for orienting the investments of private organizations and public entities to promote CL innovation and digitalization. Moreover, Industry 4.0 technology providers might find this study interesting to uncover prospective business sectors and markets. Future research efforts will analyse the impacts of internal business factors on CL 4.0 and the satisfaction levels of urban logistics stakeholders.</t>
  </si>
  <si>
    <t>[Ferrari, Andrea; Mangano, Giulio; Cagliano, Anna Corinna; De Marco, Alberto] Politecn Torino, Dept Management &amp; Prod Engn, Corso Duca Abruzzi 24, I-10129 Turin, Italy</t>
  </si>
  <si>
    <t>Ferrari, A (corresponding author), Politecn Torino, Dept Management &amp; Prod Engn, Corso Duca Abruzzi 24, I-10129 Turin, Italy.</t>
  </si>
  <si>
    <t>andrea.ferrari@polito.it; giulio.mangano@polito.it; anna.cagliano@polito.it; alberto.demarco@polito.it</t>
  </si>
  <si>
    <t>De Marco, Alberto/A-4115-2011</t>
  </si>
  <si>
    <t>De Marco, Alberto/0000-0002-4145-2287; FERRARI, ANEA/0000-0002-1920-5677</t>
  </si>
  <si>
    <t>Politecnico di Torino within the CRUI-CARE Agreement</t>
  </si>
  <si>
    <t>Open access funding provided by Politecnico di Torino within the CRUI-CARE Agreement.</t>
  </si>
  <si>
    <t>10.1007/s12063-022-00304-5</t>
  </si>
  <si>
    <t>A1YT7</t>
  </si>
  <si>
    <t>WOS:000843066800001</t>
  </si>
  <si>
    <t>Shee, H; Miah, S; Taboada, I; De Vass, T</t>
  </si>
  <si>
    <t>Shee, Himanshu; Miah, Shah; Taboada, Ianire; De Vass, Tharaka</t>
  </si>
  <si>
    <t>Smart City - Smart Logistics Amalgamation</t>
  </si>
  <si>
    <t>2020 IEEE EUROPEAN TECHNOLOGY AND ENGINEERING MANAGEMENT SUMMIT (E-TEMS 2020)</t>
  </si>
  <si>
    <t>IEEE European Technology and Engineering Management Summit (E-TEMS)</t>
  </si>
  <si>
    <t>MAR 05-07, 2020</t>
  </si>
  <si>
    <t>Fachhochschule Dortmund Univ Appl Sci &amp; Arts, Inst Digital Transformat App, Dortmund, GERMANY</t>
  </si>
  <si>
    <t>Fachhochschule Dortmund Univ Appl Sci &amp; Arts, Inst Digital Transformat App</t>
  </si>
  <si>
    <t>smart city; smart logistics; disruptive technologies; sustainable performance</t>
  </si>
  <si>
    <t>FIRM PERFORMANCE; SUSTAINABILITY; INTEGRATION</t>
  </si>
  <si>
    <t>Goods movement into the smart city is critical from an economic perspective. Hence, understanding the relationship between logistics of the goods flow and smart city operations is crucial in the policy deployment of future cities. Emerging smart logistics considers the inclusion of disruptive technologies e.g., smart sensors within the Internet of Things environment. However, no research work studies the impact of smart logistics on smart cities sustainability, considering the firm-level technological viewpoint. Thus, this paper investigates empirically the effect of smart logistics on smart city sustainable operations, based on the foundation of organisational capability theory. For that purpose, a survey-based questionnaire is used to collect data from businesses that deal with logistics in Melbourne city (Australia). Then, the structural equation modelling technique is employed to analyse the relationship of smart logistics with smart city performance. Results show that smart logistics has a positive impact on smart city sustainable performance. Therefore, future urban projects will take into account this emerging logistics approach.</t>
  </si>
  <si>
    <t>[Shee, Himanshu; Miah, Shah; De Vass, Tharaka] Victoria Univ, Coll Business, Melbourne, Vic, Australia; [Taboada, Ianire] Univ Basque Country UPV EHU, Bilbao, Spain</t>
  </si>
  <si>
    <t>Victoria University; University of Basque Country</t>
  </si>
  <si>
    <t>Shee, H (corresponding author), Victoria Univ, Coll Business, Melbourne, Vic, Australia.</t>
  </si>
  <si>
    <t>Himanshu.Shee@vu.edu.au; Shah.Miah@vu.edu.au; ianire.taboada@ehu.eus; Tharaka.DeVass@vu.edu.au</t>
  </si>
  <si>
    <t>; Shee, Himanshu/G-9923-2017; Miah, Shah/T-8527-2019</t>
  </si>
  <si>
    <t>Taboada, Ianire/0000-0002-2772-4143; Shee, Himanshu/0000-0002-6990-154X;</t>
  </si>
  <si>
    <t>978-1-7281-0903-9</t>
  </si>
  <si>
    <t>Engineering, Industrial</t>
  </si>
  <si>
    <t>BQ5ZH</t>
  </si>
  <si>
    <t>WOS:000609764800032</t>
  </si>
  <si>
    <t>Szmelter-Jarosz, A; Rzesny-Cieplinska, J; Jezierski, A</t>
  </si>
  <si>
    <t>Szmelter-Jarosz, Agnieszka; Rzesny-Cieplinska, Jagienka; Jezierski, Andrzej</t>
  </si>
  <si>
    <t>Assessing Resources Management for Sharing Economy in Urban Logistics</t>
  </si>
  <si>
    <t>RESOURCES-BASEL</t>
  </si>
  <si>
    <t>resources management; city logistics; urban logistics; sharing economy; urban management</t>
  </si>
  <si>
    <t>CIRCULAR ECONOMY; SUSTAINABLE DEVELOPMENT; WATER MANAGEMENT; SMART; GOVERNANCE; RIDE; METHODOLOGY; KNOWLEDGE; CITIES; PARK</t>
  </si>
  <si>
    <t>Sharing economy requires cities to redefine their management strategies. As a consequence of the development of new ideas, the main aim of modern cities should focus on achieving the sustainable use of resources. In the existing literature, only a partial analysis of resources management in cities can be found. For this reason, the authors decided to prepare the framework for empirical research about resources management in sharing economy in cities, especially in the urban logistics system. The main aim of the study is systematizing criteria related to the assessment of the management of urban resources in the era of sharing economy. To achieve the goal of the research, a systematic literature review was made according to chosen approaches and procedures. This resulted in creating a set of criteria for the analysis and evaluation of resources management in urban areas. It contains five areas with 26 criteria and a map of assumed correlations between them. Those outcomes can be used by local authorities or even other urban logistics stakeholders to define or improve their actions aimed at developing a sharing economy services portfolio on the local market. Additionally, they constitute a set of initial information for further scientific research.</t>
  </si>
  <si>
    <t>[Szmelter-Jarosz, Agnieszka; Jezierski, Andrzej] Univ Gdansk, Fac Econ, Dept Logist, PL-81824 Sopot, Poland; [Rzesny-Cieplinska, Jagienka] WSB Univ Gdansk, Dept Finance &amp; Management, Grunwaldzka 238a, PL-80266 Gdansk, Poland</t>
  </si>
  <si>
    <t>Fahrenheit Universities; University of Gdansk</t>
  </si>
  <si>
    <t>Szmelter-Jarosz, A (corresponding author), Univ Gdansk, Fac Econ, Dept Logist, PL-81824 Sopot, Poland.</t>
  </si>
  <si>
    <t>a.szmelter@ug.edu.pl; jrzesny@wsb.gda.pl; andrzej.jezierski@ug.edu.pl</t>
  </si>
  <si>
    <t>; Szmelter-Jarosz, Agnieszka/M-1684-2014; Cieplinska, Jagienka/L-7813-2018</t>
  </si>
  <si>
    <t>Rześny Cieplińska, Jagienka/0000-0002-8882-8472; Jezierski, Anzej/0000-0001-7360-2086; Szmelter-Jarosz, Agnieszka/0000-0002-6183-6114;</t>
  </si>
  <si>
    <t>University of Gdansk</t>
  </si>
  <si>
    <t>This research had no external funding. The APC was funded by the University of Gdansk.</t>
  </si>
  <si>
    <t>2079-9276</t>
  </si>
  <si>
    <t>Resources-Basel</t>
  </si>
  <si>
    <t>10.3390/resources9090113</t>
  </si>
  <si>
    <t>Green &amp; Sustainable Science &amp; Technology; Environmental Sciences</t>
  </si>
  <si>
    <t>OB0BP</t>
  </si>
  <si>
    <t>WOS:000578142800001</t>
  </si>
  <si>
    <t>Fraske, T; Bienzeisler, B</t>
  </si>
  <si>
    <t>Fraske, Tim; Bienzeisler, Bernd</t>
  </si>
  <si>
    <t>Toward smart and sustainable traffic solutions: a case study of the geography of transitions in urban logistics</t>
  </si>
  <si>
    <t>SUSTAINABILITY-SCIENCE PRACTICE AND POLICY</t>
  </si>
  <si>
    <t>City logistics; innovation studies; multi-level perspective; sustainable mobility; economic geography</t>
  </si>
  <si>
    <t>MULTILEVEL PERSPECTIVE; ECONOMIC-GEOGRAPHY; CITY; TRANSPORT; FRAMEWORK; POLITICS; SYSTEMS; FUTURE; CITIES</t>
  </si>
  <si>
    <t>City logistics as a research field offers a wide range of potential solutions and technologies for advancing toward modern and sustainable mobility. As societies demand environments that are more ecological and cities tackle the effects of growing e-commerce, innovative tools to regulate urban economic traffic become increasingly important. Based on the theoretical approach of the multi-level perspective, this case study combines findings from city-logistics research with evolutionary economics to gain a deeper understanding of the development of smart sustainable cities. The study strengthens the view on the geography of a transition with a focus on the interplay of changed practices, involved actors, and pathways. The analysis is based on qualitative social research, including interviews with various stakeholders. It examines the implementation of an app-based technology to regulate economic transport and delivery traffic in Barcelona. The municipal administration introduced the innovation in the Urban Mobility Plan and quickly integrated it across the city. The commitment of a software developer resulted in an enhanced version of the technology by a startup company. The development of the original innovation thus led to geographic diffusion of the upgraded technology through processing actors' feedback and targeting new markets outside the city.</t>
  </si>
  <si>
    <t>[Fraske, Tim] Fraunhofer Inst Ind Engn IAO, Res &amp; Innovat Ctr Cognit Serv Syst, Heilbronn, Germany; [Fraske, Tim] Univ Kiel, Dept Geog, Kiel, Germany; [Fraske, Tim] Univ Kiel, Dept Geog, Hermann Rodewald Str 9, D-24098 Kiel, Germany</t>
  </si>
  <si>
    <t>Fraunhofer Gesellschaft; University of Kiel; University of Kiel</t>
  </si>
  <si>
    <t>Fraske, T (corresponding author), Univ Kiel, Dept Geog, Hermann Rodewald Str 9, D-24098 Kiel, Germany.</t>
  </si>
  <si>
    <t>tim.fraske@posteo.net</t>
  </si>
  <si>
    <t>Fraske, Tim/KTI-4372-2024</t>
  </si>
  <si>
    <t>Fraske, Tim/0000-0002-9360-6460</t>
  </si>
  <si>
    <t>1548-7733</t>
  </si>
  <si>
    <t>SUSTAINABILITY-SCI P</t>
  </si>
  <si>
    <t>Sustainability-Sci. Pract. Policy</t>
  </si>
  <si>
    <t>DEC 10</t>
  </si>
  <si>
    <t>10.1080/15487733.2020.1840804</t>
  </si>
  <si>
    <t>Green &amp; Sustainable Science &amp; Technology; Environmental Studies</t>
  </si>
  <si>
    <t>6R3XE</t>
  </si>
  <si>
    <t>WOS:000892239400031</t>
  </si>
  <si>
    <t>Giret, A; Julián, V; Botti, V</t>
  </si>
  <si>
    <t>Borangiu, T; Trentesaux, D; Leitao, P; Boggino, AG; Botti, V</t>
  </si>
  <si>
    <t>Giret, Adriana; Julian, Vicente; Botti, Vicente</t>
  </si>
  <si>
    <t>An Intelligent Platform for Supporting Optimized Collaborative Urban Logistics</t>
  </si>
  <si>
    <t>SERVICE ORIENTED, HOLONIC AND MULTI-AGENT MANUFACTURING SYSTEMS FOR INDUSTRY OF THE FUTURE</t>
  </si>
  <si>
    <t>9th International Workshop on Service Oriented, Holonic and Multi-Agent Manufacturing Systems for the Industry of the Future (SOHOMA)</t>
  </si>
  <si>
    <t>OCT 03-04, 2019</t>
  </si>
  <si>
    <t>Valencia, SPAIN</t>
  </si>
  <si>
    <t>Sustainable and collaborative urban logistics; Optimization; Last mile delivery</t>
  </si>
  <si>
    <t>SUPPLY CHAIN MANAGEMENT</t>
  </si>
  <si>
    <t>Optimized urban logistics is an important issue for rapidly growing cities worldwide. Many criteria can be optimized in order to improve the performance of urban logistics. Economic and time dependent criteria are central but not the only ones; lately, sustainable criteria are becoming key and urgent due to new regulations and environmental concern of governments and the society. In this work we review the state of the art of intelligent developments and techniques that might aid to build smart and optimized urban logistic applications. Moreover, we propose a prototype platform conceived as a supporting and facilitating layer for the growing business of last mile delivery (LMD) companies that operate in cities in an isolated way. Our vision is to provide a cooperative intelligent platform that provides coordination and collaboration services for the LMD companies of urban areas.</t>
  </si>
  <si>
    <t>[Giret, Adriana; Julian, Vicente; Botti, Vicente] Univ Politecn Valencia, Valencia, Spain</t>
  </si>
  <si>
    <t>Universitat Politecnica de Valencia</t>
  </si>
  <si>
    <t>Giret, A (corresponding author), Univ Politecn Valencia, Valencia, Spain.</t>
  </si>
  <si>
    <t>agiret@dsic.upv.es; vinglada@dsic.upv.es; vbotti@dsic.upv.es</t>
  </si>
  <si>
    <t>Julian, Vicente/K-6029-2013; Julián, Vicente/K-6029-2013; Botti, Vicente/K-4647-2013; Giret, Adriana/G-8660-2015</t>
  </si>
  <si>
    <t>Julian, Vicente/0000-0002-2743-6037;</t>
  </si>
  <si>
    <t>Spanish government [TIN2015-65515-C4-1-R]</t>
  </si>
  <si>
    <t>Spanish government(Spanish Government)</t>
  </si>
  <si>
    <t>This research is supported by research project TIN2015-65515-C4-1-R from the Spanish government.</t>
  </si>
  <si>
    <t>978-3-030-27477-1; 978-3-030-27476-4</t>
  </si>
  <si>
    <t>10.1007/978-3-030-27477-1_1</t>
  </si>
  <si>
    <t>Automation &amp; Control Systems; Engineering, Manufacturing</t>
  </si>
  <si>
    <t>Automation &amp; Control Systems; Engineering</t>
  </si>
  <si>
    <t>BQ8FC</t>
  </si>
  <si>
    <t>WOS:000620144800001</t>
  </si>
  <si>
    <t>Kauf, S</t>
  </si>
  <si>
    <t>Iwan, S; Thompson, RG; Kijewska, K</t>
  </si>
  <si>
    <t>Kauf, Sabina</t>
  </si>
  <si>
    <t>Smart logistics as a basis for the development of the smart city</t>
  </si>
  <si>
    <t>3RD INTERNATIONAL CONFERENCE GREEN CITIES - GREEN LOGISTICS FOR GREENER CITIES</t>
  </si>
  <si>
    <t>3rd International Conference on Green Cities - Green Logistics for Greener Cities</t>
  </si>
  <si>
    <t>SEP 13-14, 2018</t>
  </si>
  <si>
    <t>Szczecin, POLAND</t>
  </si>
  <si>
    <t>smart logistics; smart city; ITS</t>
  </si>
  <si>
    <t>In this article the issues of role and meaning of intelligent technologies has been undertaken especially in area of logistics, without which development of smart cities would be actually impossible. Even though we can argue about it, what it actually means intelligent, without a doubt it covers use of modem Technologies. They let to reduce negative influence of flow of good and people in urbanized areas, at the same time they increase level of quality of life in the city. In the article we discussed a trial of defining concept of 'smart city'. As a main goal we set indication of result in area of smart logistics, that let to optimize logistic processes through digitalization and use of information Technologies that increase innovation level of cities, at the same time supporting development of smart city. The main idea of the article is that addressing topics about smart city seriously can bring many benefits to all cities - both in the short and long term. The methodology used in this research is based on the critical analysis of Polish and foreign language literature on the topic of smart city. (C) 2019 The Authors. Published by Elsevier B.V.</t>
  </si>
  <si>
    <t>[Kauf, Sabina] Opole Univ, Fac Ecomon, Pl Kopernika 11a, PL-45040 Opole, Poland</t>
  </si>
  <si>
    <t>University of Opole</t>
  </si>
  <si>
    <t>Kauf, S (corresponding author), Opole Univ, Fac Ecomon, Pl Kopernika 11a, PL-45040 Opole, Poland.</t>
  </si>
  <si>
    <t>skauf@uni.opole.pl</t>
  </si>
  <si>
    <t>Kauf, Sabina/N-6964-2018</t>
  </si>
  <si>
    <t>Kauf, Sabina/0000-0002-5978-4490</t>
  </si>
  <si>
    <t>10.1016/j.trpro.2019.06.016</t>
  </si>
  <si>
    <t>Green &amp; Sustainable Science &amp; Technology; Transportation; Transportation Science &amp; Technology</t>
  </si>
  <si>
    <t>BO1UN</t>
  </si>
  <si>
    <t>WOS:000502626100015</t>
  </si>
  <si>
    <t>Ciechelska, A</t>
  </si>
  <si>
    <t>Ciechelska, Agnieszka</t>
  </si>
  <si>
    <t>LOCATION DETERMINANTS OF CITY LOGISTICS CENTRES IN THE CONCEPT OF SUSTAINABLE DEVELOPMENT</t>
  </si>
  <si>
    <t>EKONOMIA I SRODOWISKO-ECONOMICS AND ENVIRONMENT</t>
  </si>
  <si>
    <t>infrastructure and environment; logistics centres; sustainable development</t>
  </si>
  <si>
    <t>COMMON-POOL RESOURCES; MANAGEMENT; GOODS</t>
  </si>
  <si>
    <t>The decision-making processes for planning an environmentally compatible infrastructure are extremely complex, as are the logistics processes themselves. The concepts for the location of urban logistics centres have been compared with the ecological danger zones in Poland. In this way, areas with a high degree of environmental degradation, particularly unfavourable from the point of view of the location of new logistics centres, were identified. The decision on the location of the planned project should be based on a previously developed, special procedure for assessing invest-ment implementation and its impact on the natural environment. The study aims to indicate the infra-structure of city logistics centres as one of the necessary and most effective factors determining sustainable development. As a rule, infrastructure can be created in two ways. The first one recom-mends building the enterprise and then its infrastructure, while the second one recommends the oppo-site approach. From the point of view of the infrastructure of sustainable development, the second approach seems appropriate, allowing for the effective implementation of the sustainable develop-ment strategy. The first approach may only lead to a decline in the meaning of sustainable develop-ment in mentality and social awareness (Ratajczak, 2000). The variety of approaches in the literature on the subject defining the concept of sustainable development infrastructure covers both the area of economy, society and the environment. Significant from the point of view of future generations seems to be the environmental aspect related to the creation of urban logistics centres in the era of sustain-able development. One of the essential properties of the natural environment is equilibrium, which occurs when the outflow and supply of energy and matter in nature are balanced. The natural environ-ment is in constant interaction with humans; to prevent its gradation, measures are taken to prevent damage to the physical environment or natural resources. There are also activities to reduce the risk of losses or encourage the efficient use of natural resources, including measures to save energy and use renewable energy sources (Tokarski, 2020).</t>
  </si>
  <si>
    <t>[Ciechelska, Agnieszka] Wroclaw Univ Econ &amp; Business, Wroclaw, Poland</t>
  </si>
  <si>
    <t>Ciechelska, A (corresponding author), Komandorska 118-120, PL-53345 Wroclaw, Poland.</t>
  </si>
  <si>
    <t>Ministry of Science and Higher Education in Poland [015/RID/2018/19]</t>
  </si>
  <si>
    <t>Ministry of Science and Higher Education in Poland(Ministry of Science and Higher Education, Poland)</t>
  </si>
  <si>
    <t>The project is financed by the Ministry of Science and Higher Education in Poland under the programme Regional Initiative of Excellence 2019-2022 project number 015/RID/2018/19 total funding amount 10721 040,00 PLN.</t>
  </si>
  <si>
    <t>FUNDACJA EKONOMISTOW SRODOWISKA &amp; ZASOBOW NATURALNYCH</t>
  </si>
  <si>
    <t>BIALYSTOK</t>
  </si>
  <si>
    <t>UL SIENKIEWICZA 22, BIALYSTOK, 15092, POLAND</t>
  </si>
  <si>
    <t>0867-8898</t>
  </si>
  <si>
    <t>2300-6420</t>
  </si>
  <si>
    <t>EKON SROD</t>
  </si>
  <si>
    <t>Ekon. Srod.</t>
  </si>
  <si>
    <t>XV0KL</t>
  </si>
  <si>
    <t>WOS:000734642000001</t>
  </si>
  <si>
    <t>Mazzarino, M; Rubini, L</t>
  </si>
  <si>
    <t>Mazzarino, Marco; Rubini, Lucio</t>
  </si>
  <si>
    <t>Smart Urban Planning: Evaluating Urban Logistics Performance of Innovative Solutions and Sustainable Policies in the Venice Lagoon-the Results of a Case Study</t>
  </si>
  <si>
    <t>urban freight transport; urban logistics performance; urban mobility; mixed passenger and freight transport; cargo hitching; innovative policies; smart solutions; sustainability; Venice Lagoon</t>
  </si>
  <si>
    <t>CITY LOGISTICS; PASSENGERS; SYSTEM; GOODS; MANAGEMENT</t>
  </si>
  <si>
    <t>Currently, remarkable gaps of operational, social and environmental efficiency and overall sub-optimization of the logistics and mobility systems exist in urban areas. There is then the need to promote and assess innovative transport solutions and policy-making within SUMPs (Sustainable Urban Mobility Plans) to deal with such critical issues in order to improve urban sustainability. The paper focuses on the case study of the Venice Lagoon, where islands-despite representing a relevant feature of urban planning-face a tremendous lack of accessibility, depopulation, social cohesion and they turn out to be poorly connected. By developing an original scenario-building methodological framework and performing data collection activities, the purpose of the paper consists of assessing the feasibility of a mixed passenger and freight transport system -sometimes called cargo hitching. Mixed passenger and freight systems/cargo hitching are considered as an innovative framework based on the integration of freight and passenger urban systems and resources to optimize the existing transport capacity, and thus, urban sustainability. Results show that the overall existing urban transport capacity can accommodate urban freight flows on main connections in the Lagoon. The reduction in spare public transport capacity, as well as in the number (and type) of circulating freight boats show-in various scenarios-the degree of optimization of the resulting urban network configuration and the positive impacts on urban sustainability. This paves the way for the regulatory framework to adopt proposed solutions.</t>
  </si>
  <si>
    <t>[Mazzarino, Marco] Univ IUAV Venezia, Dipartimento Culture Progetto, Ca Tron Santa Croce 1957, I-30135 Venice, Italy; [Rubini, Lucio] Venice Int Univ, Tedis Program, Sustainable Logist Unit, I-30133 Venice, Italy</t>
  </si>
  <si>
    <t>IUAV University Venice</t>
  </si>
  <si>
    <t>Mazzarino, M (corresponding author), Univ IUAV Venezia, Dipartimento Culture Progetto, Ca Tron Santa Croce 1957, I-30135 Venice, Italy.</t>
  </si>
  <si>
    <t>mazzarin@iuav.it</t>
  </si>
  <si>
    <t>MAZZARINO, MONICA/KRP-5497-2024</t>
  </si>
  <si>
    <t>NOVELOG Project (new cooperative business models and guidance for sustainable city logistics (Horizon 2020) - European Commission's Horizon 2020 Programme for Research and Innovation [636626]; H2020 Societal Challenges Programme [636626] Funding Source: H2020 Societal Challenges Programme</t>
  </si>
  <si>
    <t>NOVELOG Project (new cooperative business models and guidance for sustainable city logistics (Horizon 2020) - European Commission's Horizon 2020 Programme for Research and Innovation; H2020 Societal Challenges Programme(Horizon 2020European Union (EU)H2020 Societal Challenges Programme)</t>
  </si>
  <si>
    <t>The research was partially funded by the NOVELOG Project (new cooperative business models and guidance for sustainable city logistics (Horizon 2020) funded by the European Commission's Horizon 2020 Programme for Research and Innovation under grant agreement No 636626.</t>
  </si>
  <si>
    <t>SEP 1</t>
  </si>
  <si>
    <t>10.3390/su11174580</t>
  </si>
  <si>
    <t>IZ1WC</t>
  </si>
  <si>
    <t>WOS:000486877700069</t>
  </si>
  <si>
    <t>Melo, S; Baptista, P</t>
  </si>
  <si>
    <t>Melo, Sandra; Baptista, Patricia</t>
  </si>
  <si>
    <t>Evaluating the impacts of using cargo cycles on urban logistics: integrating traffic, environmental and operational boundaries</t>
  </si>
  <si>
    <t>EUROPEAN TRANSPORT RESEARCH REVIEW</t>
  </si>
  <si>
    <t>City logistics; Sustainable mobility; Cycle logistics; Electric cargo bikes</t>
  </si>
  <si>
    <t>FREIGHT TRANSPORT; ELECTRIC VEHICLES; CITY DISTRIBUTION; GUIDELINES; FRAMEWORK; BICYCLES; LISBON; MODELS; TRIAL; BIKES</t>
  </si>
  <si>
    <t>Introduction European Commission has promoted actions and policies with the aim of reducing the negative impacts on traffic and environment caused by city logistics. One increasingly popular measure is the use of cargo bikes in city logistics due to their improved energy efficiency, lower emissions and lower traffic disturbance. The paper assess the impacts of electric cargo bikes, from a public policy perspective and, simultaneously, taking into account variables that cover the urban logistics operators' interests. Under a public policy perspective, the considered variables evaluate mobility, environmental impacts and indirectly, the quality of life. In terms of private interests, the studied variables cover costs levels (operation and driving) and efficiency. This evaluation aims at clarifying if electric cargo bikes can indeed represent a sustainable mobility policy under specific boundaries, by leading to better environmental and social impacts and not hindering the operational efficiency of urban logistics activities. Methods For that purpose, the measurement of the traffic key performance indicators, as well as of Well-to-Wheel energy and CO2 emission savings is performed allowing to quantify mobility, reliability and operational efficiency indicators. Several scenarios related with the introduction of electric cargo bikes replacing conventional vans were assessed and evaluated in order to compare the effects of different market shares in the mobility of the studied area located in Porto (Portugal). Acknowledging the short distance range of cargo bikes, the simulation is carried out and an estimation of the total transportation cost is performed, which includes transport and emission cost when the vehicle is driving, emission cost while idling and labor cost. Results The main conclusion is that cargo bikes can replace up to 10% of the conventional vans in areas with maximum linear distances of about 2 km, without changing the overall network efficiency. Additionally, urban logistics WTW CO2 emission impacts can be reduced by up to 73%, which represents 746 kg of CO2 avoided emissions. Furthermore, the introduction of electric cargo bikes in urban logistics activities has positive effects for all the vehicle categories and all the scenarios, reaching up to 25% of reductions in external costs. Conclusions As a result, cargo bikes implemented at the appropriate spatial scale within the city can be a sustainable solution for urban logistics, depending on a prior delimitation of the conditions and adequate implementation strategy, to guarantee that it actually leads to improvements in terms of mobility, environment, energy, running costs and externalities.</t>
  </si>
  <si>
    <t>[Melo, Sandra] Univ Lisbon, Inst Super Tecn, LAETA, IDMEC,IST, Ave Rovisco Pais,1, P-1049001 Lisbon, Portugal; [Baptista, Patricia] Univ Lisbon, Inst Super Tecn, Ctr Innovat Technol &amp; Policy Res, IN, Lisbon, Portugal</t>
  </si>
  <si>
    <t>Universidade de Lisboa; Universidade de Lisboa</t>
  </si>
  <si>
    <t>Melo, S (corresponding author), Univ Lisbon, Inst Super Tecn, LAETA, IDMEC,IST, Ave Rovisco Pais,1, P-1049001 Lisbon, Portugal.</t>
  </si>
  <si>
    <t>sandra.melo@tecnico.ulisboa.pt</t>
  </si>
  <si>
    <t>Melo, Sandra/ABE-1000-2021; Baptista, Patricia/A-5356-2012</t>
  </si>
  <si>
    <t>Baptista, Patricia/0000-0003-1559-9151</t>
  </si>
  <si>
    <t>Fundacao para a Cincia e Tecnologia for Post-Doctoral [SFRH/BPD/74080/2010, MITP-TB/CS/0026/2013]; FCT, through IDMEC, under LAETA,IN+ Strategic Project [EMS/50022/2013, EEA/50009/2013]; Fundação para a Ciência e a Tecnologia [SFRH/BPD/74080/2010, MITP-TB/CS/0026/2013] Funding Source: FCT</t>
  </si>
  <si>
    <t>Fundacao para a Cincia e Tecnologia for Post-Doctoral; FCT, through IDMEC, under LAETA,IN+ Strategic Project; Fundação para a Ciência e a Tecnologia</t>
  </si>
  <si>
    <t>The authors acknowledge Fundacao para a Cincia e Tecnologia for Post-Doctoral financial support (SFRH/ BPD/ 74080/2010), as well as project grant (SusCity Project, MITP-TB/CS/0026/2013). This work was also supported by FCT, through IDMEC, under LAETA, project UID/ EMS/50022/2013, as well as through IN+ Strategic Project (Project UID/ EEA/50009/2013).</t>
  </si>
  <si>
    <t>SPRINGEROPEN</t>
  </si>
  <si>
    <t>1867-0717</t>
  </si>
  <si>
    <t>1866-8887</t>
  </si>
  <si>
    <t>EUR TRANSP RES REV</t>
  </si>
  <si>
    <t>Eur. Transp. Res. Rev.</t>
  </si>
  <si>
    <t>10.1007/s12544-017-0246-8</t>
  </si>
  <si>
    <t>EY1FS</t>
  </si>
  <si>
    <t>WOS:000403711800019</t>
  </si>
  <si>
    <t>Crainic, TG; Montreuil, B</t>
  </si>
  <si>
    <t>Crainic, Teodor Gabriel; Montreuil, Benoit</t>
  </si>
  <si>
    <t>Physical internet enabled Hyperconnected City Logistics</t>
  </si>
  <si>
    <t>City Logistics; Physical Internet; Hyperconnected City Logistics; Freight Transportation; Urban Mobility; Urban Planning; Efficiency; Sustainability</t>
  </si>
  <si>
    <t>TRANSPORT; DELIVERY</t>
  </si>
  <si>
    <t>City Logistics and Physical Internet are two major concepts aiming to profoundly change freight transportation and logistics for increased economic, environmental and societal efficiency and sustainability. They share several basic ideas and are complementary, City Logistics providing the final and last segments of the Physical Internet logistics and transportation networks. We present the first study of the links and synergy between them, introducing the idea of Hyperconnected City Logistics systems and its nine fundamental concepts making up a rich framework for designing efficient and sustainable urban logistics and transportation systems. We conclude with a number of research and innovation challenges. (C) 2016 The Authors. Published B.V.</t>
  </si>
  <si>
    <t>[Crainic, Teodor Gabriel] Univ Quebec, Sch Management, Stn Ctr Ville, POB 8888, Montreal, PQ H3C 3P8, Canada; [Montreuil, Benoit] Georgia Inst Technol, Coca Cola Chair Mat Handling &amp; Distribut, Phys Internet Ctr, ISYE Sch, Atlanta, GA 30332 USA; [Crainic, Teodor Gabriel] Univ Montreal, CIRRELT Interuniv Res Ctr Enterprise Networks Log, Stn Ctr Ville, POB 6128, Montreal, PQ H3C 3J7, Canada</t>
  </si>
  <si>
    <t>University of Quebec; University of Quebec Montreal; The Coca-Cola Company; University System of Georgia; Georgia Institute of Technology; Universite de Montreal</t>
  </si>
  <si>
    <t>Montreuil, B (corresponding author), Georgia Inst Technol, Coca Cola Chair Mat Handling &amp; Distribut, Phys Internet Ctr, ISYE Sch, Atlanta, GA 30332 USA.</t>
  </si>
  <si>
    <t>benoit.montreuil@isye.gatech.edu</t>
  </si>
  <si>
    <t>10.1016/j.trpro.2016.02.074</t>
  </si>
  <si>
    <t>WOS:000377574100032</t>
  </si>
  <si>
    <t>Oubihi, M; Lissane Elhaq, S; Khafallah, M; Jawab, F</t>
  </si>
  <si>
    <t>Oubihi, Meryem; Lissane Elhaq, Saad; Khafallah, Mohamed; Jawab, Fouad</t>
  </si>
  <si>
    <t>Review of good practices in urban freight transportation and benchmarking city logistics schemes</t>
  </si>
  <si>
    <t>2019 INTERNATIONAL COLLOQUIUM ON LOGISTICS AND SUPPLY CHAIN MANAGEMENT (LOGISTIQUA)</t>
  </si>
  <si>
    <t>12th International Colloquium of Logistics and Supply Chain Management (LOGISTIQUA)</t>
  </si>
  <si>
    <t>JUN 12-14, 2019</t>
  </si>
  <si>
    <t>Univ Paris8, IUT Montreuil, Saint Denis, FRANCE</t>
  </si>
  <si>
    <t>Univ Paris8, IUT Montreuil</t>
  </si>
  <si>
    <t>Urban Freight Transport; Urban logistics; Mutualization; Good practices; Benchmarking</t>
  </si>
  <si>
    <t>Urban Freight Transport is a vital activity and has a major economic role. Unfortunately, the efficiency of the urban freight system is hampered by urban distribution issues such as congestion, regulatory measures, noise pollution, greenhouse gas emissions, and so on. Hence the need for actions and good practices for the management of urban freight transport. These actions deal with the management of goods deliveries as well as return flows. Urban logistics solutions are diverse and concern the storage and organization of urban transport. Urban warehousing actions are divided into four categories. The Urban Consolidation Centers (UCC), a kind of mutualization platform located on the outskirts of the city center. Proximity Logistics Spaces (PLS) which are small platforms that allow a temporary storage of goods and have clean vehicles ensuring the last meters. Afterwards the Veh]icle Reception Points (VRP) where city center's actors offer a storage capacity of their own store and it is the consumer who moves for recovering its packages, and finally the Urban Logistics Boxes (ULB) which are mobile or fixed structures located at a street level, which allow temporary storage of goods. These Urban Logistics Spaces lead to the improvement of the flow of goods by favoring clean vehicles. The objective of this article is to study the different solutions of urban logistics, based on the literature, to make a comparative study of the development of urban logistics solutions in emerging cities comparable to Casablanca, to synthesize the experiments implemented by these cities and thus to lead an investigation on different urban solutions in a national context.</t>
  </si>
  <si>
    <t>[Oubihi, Meryem; Khafallah, Mohamed] Hassan II Univ, Lab Energy &amp; Elect Syst LESE, Higher Natl Sch Elect &amp; Mech ENSEM, Casablanca, Morocco; [Lissane Elhaq, Saad] Hassan II Univ, Lab Engn Res, Higher Natl Sch Elect &amp; Mech ENSEM, Team Prod Syst Optimizat &amp; Energy, Casablanca, Morocco; [Jawab, Fouad] USMBA, Lab Int Management Decis Making &amp; Logist MIDLOG F, High Sch Technol EST, Fes, Morocco</t>
  </si>
  <si>
    <t>Hassan II University of Casablanca; Hassan II University of Casablanca; Sidi Mohamed Ben Abdellah University of Fez</t>
  </si>
  <si>
    <t>Oubihi, M (corresponding author), Hassan II Univ, Lab Energy &amp; Elect Syst LESE, Higher Natl Sch Elect &amp; Mech ENSEM, Casablanca, Morocco.</t>
  </si>
  <si>
    <t>meryem.oubihi12@gmail.com; lissan1@yahoo.com; m.khafallah@gmail.com; jawabf@gmail.com</t>
  </si>
  <si>
    <t>JAWAB, Fouad/G-3962-2018; Fouad, JAWAB/G-3962-2018</t>
  </si>
  <si>
    <t>JAWAB, Fouad/0000-0002-0508-7278; LISSANE ELHAQ, Saad/0000-0001-5425-547X</t>
  </si>
  <si>
    <t>978-1-7281-4679-9</t>
  </si>
  <si>
    <t>10.1109/logistiqua.2019.8907328</t>
  </si>
  <si>
    <t>BQ8DQ</t>
  </si>
  <si>
    <t>WOS:000619512400054</t>
  </si>
  <si>
    <t>Zhang, SN</t>
  </si>
  <si>
    <t>Zhang, Shining</t>
  </si>
  <si>
    <t>URBAN PLANNING BASED ON THE OPTIMIZATION LAYOUT OF URBAN LOGISTICS NETWORK.</t>
  </si>
  <si>
    <t>OPEN HOUSE INTERNATIONAL</t>
  </si>
  <si>
    <t>Urban Logistics; Urban Function; Spatial Optimization; Urban Planning</t>
  </si>
  <si>
    <t>With the development of economy and the progress of science and technology, the function of Luoyang city is constantly enriched and expanded. The city is no longer a simple area for people to live in. The function structure of the city is affected by the external factors and is constantly expanding. Urban logistics is one of the important influencing factors. To more comprehensively and accurately understand the status and role of logistics network space in urban planning, the characteristics and development law of urban logistics structure from the theoretical point of view are analyzed in this paper with Luoyang City as the research background. The city logistics function is determined as one of the main factors affecting the economic growth of the city is determined through the literature search method, consulting professionals and other research methods. Urban road planning and design are the focus of the study; the planning and development of urban logistics road network in Luoyang City are compared and analyzed. In full consideration of the necessity of the optimization of the urban logistics network space, the preliminary optimization scheme design and suggestion of Luoyang logistics is introduced. At the end of this paper, the sustainable development and the status of the future urban logistics function are analyzed and prospected. Continuous research and analysis of multiple subjects and angles are still needed.</t>
  </si>
  <si>
    <t>[Zhang, Shining] Henan Univ, Inst Business Adm, Kaifeng, Henan, Peoples R China</t>
  </si>
  <si>
    <t>Henan University</t>
  </si>
  <si>
    <t>Zhang, SN (corresponding author), Henan Univ, Inst Business Adm, Kaifeng, Henan, Peoples R China.</t>
  </si>
  <si>
    <t>zsn11@126.com</t>
  </si>
  <si>
    <t>zhang, shining/KIB-7072-2024</t>
  </si>
  <si>
    <t>Natural Science Foundation of China [U1204706]</t>
  </si>
  <si>
    <t>Natural Science Foundation of China(National Natural Science Foundation of China (NSFC))</t>
  </si>
  <si>
    <t>This work is supported by the Natural Science Foundation of China (Research on the influence of the new product development based on the behavior of quality management NO. U1204706).</t>
  </si>
  <si>
    <t>OPEN HOUSE INT</t>
  </si>
  <si>
    <t>GREAT BRITAIN</t>
  </si>
  <si>
    <t>URBAN INTERNATIONAL PRESS, PO BOX 74, GATESHEAD, TYNE &amp; WEAR, GREAT BRITAIN, NE9 5UZ, ENGLAND</t>
  </si>
  <si>
    <t>0168-2601</t>
  </si>
  <si>
    <t>Open House Int.</t>
  </si>
  <si>
    <t>Architecture; Environmental Studies; Urban Studies</t>
  </si>
  <si>
    <t>Social Science Citation Index (SSCI); Arts &amp; Humanities Citation Index (A&amp;HCI)</t>
  </si>
  <si>
    <t>Architecture; Environmental Sciences &amp; Ecology; Urban Studies</t>
  </si>
  <si>
    <t>EF4UI</t>
  </si>
  <si>
    <t>WOS:000390327100022</t>
  </si>
  <si>
    <t>Ormond, P; Telhada, J</t>
  </si>
  <si>
    <t>Soares, I; Resende, J</t>
  </si>
  <si>
    <t>Ormond, Paulo; Telhada, Jose</t>
  </si>
  <si>
    <t>USING URBAN CONSOLIDATION CENTRE WITH CYCLOSCARGOS SUPPORT TO INCREASE THE PERFORMANCE AND SUSTAINABILITY OF URBAN LOGISTICS: A LITERATURE REVIEW AND A CASE STUDY IN THE CITY OF SAO PAULO</t>
  </si>
  <si>
    <t>PROCEEDINGS OF THE 3RD INTERNATIONAL CONFERENCE ON ENERGY AND ENVIRONMENT (ICEE 2017)</t>
  </si>
  <si>
    <t>ICEE International Conference on Energy &amp; Environment</t>
  </si>
  <si>
    <t>3rd Internacional Conference on Energy and Environment (ICEE) - Bringing Together Economics and Engineering</t>
  </si>
  <si>
    <t>JUN 29-30, 2017</t>
  </si>
  <si>
    <t>Porto, PORTUGAL</t>
  </si>
  <si>
    <t>Urban Consolidation Centre; Sustainable city logistics; Cargo cyclos</t>
  </si>
  <si>
    <t>FREIGHT</t>
  </si>
  <si>
    <t>The distribution of goods in urban areas is a major challenge for managers in the public and private sectors, due to population growth with large population concentration in large urban centers and, in many cases, lack of planning in urban cargo transport system. In this context, the objective of this study is to present the results of a systematic review of the literature that summarizes the existing research and identify the potential of the use of Urban Centre Consolidation (UCC) with the support of the cargocyclos as a way to mitigate the environmental impact making the urban distribution of goods more sustainable and viable. The paper also presents data from the field research in a case study carried out at a transportation company located in the city of Sao Paulo.</t>
  </si>
  <si>
    <t>[Ormond, Paulo; Telhada, Jose] Univ Minho, Sch Engn, ALGORITMI Res Ctr, Guimaraes, Portugal</t>
  </si>
  <si>
    <t>Ormond, P (corresponding author), Univ Minho, Sch Engn, Dept Prod &amp; Syst, P-4800058 Guimaraes, Portugal.</t>
  </si>
  <si>
    <t>pg31478@alunos.uminho.pt</t>
  </si>
  <si>
    <t>Telhada, José/P-5697-2014</t>
  </si>
  <si>
    <t>UNIV PORTO, FAC ECONOMICS</t>
  </si>
  <si>
    <t>PORTO</t>
  </si>
  <si>
    <t>RUA DR. ROBERTO FRIAS, PORTO, 4200-464, PORTUGAL</t>
  </si>
  <si>
    <t>2183-3982</t>
  </si>
  <si>
    <t>978-972-95396-9-5</t>
  </si>
  <si>
    <t>ICEE INT C ENERG</t>
  </si>
  <si>
    <t>Green &amp; Sustainable Science &amp; Technology; Energy &amp; Fuels; Environmental Sciences; Environmental Studies</t>
  </si>
  <si>
    <t>Science &amp; Technology - Other Topics; Energy &amp; Fuels; Environmental Sciences &amp; Ecology</t>
  </si>
  <si>
    <t>BK9PU</t>
  </si>
  <si>
    <t>WOS:000444802100085</t>
  </si>
  <si>
    <t>Nathanail, E; Gogas, M; Adamos, G</t>
  </si>
  <si>
    <t>Rafalski, L; Zofka, A</t>
  </si>
  <si>
    <t>Nathanail, Eftihia; Gogas, Michael; Adamos, Giannis</t>
  </si>
  <si>
    <t>Smart interconnections of interurban and urban freight transport towards achieving sustainable city logistics</t>
  </si>
  <si>
    <t>TRANSPORT RESEARCH ARENA TRA2016</t>
  </si>
  <si>
    <t>6th Transport Research Arena (TRA)</t>
  </si>
  <si>
    <t>APR 18-21, 2016</t>
  </si>
  <si>
    <t>freight transport; sustainability; city logistics; supply chain; multi stakeholder multi criteria evaluation</t>
  </si>
  <si>
    <t>The booming increase in the need for passenger and freight transport concerning both interurban and urban context during the last two decades has resulted in deep impact in human and natural environment. Towards the alleviation of consequences, the decision makers consider various smart logistics solutions, which do not always results in the desired impacts. The key concept of the methodology presented in this paper is the incorporation of an evaluation framework and the estimation of the assessment indicators for smart logistics solutions, to be used in the decision-making of the involved stakeholders. Such solutions fall into two sub-categories: administrative and regulatory schemes and incentives and cooperative logistics. The paper presents: an integrated evaluation framework for city logistics which incorporates the complexity of interconnecting interurban and urban freight transport and the life cycle of the smart solutions; the impact of these solutions on the city performance and business viability and sustainability, based on a pilot implementation; guidance for implementing these solutions through the establishment of communications links and collaborations amongst the involved stakeholders. (C) 2016 Published by Elsevier B.V.</t>
  </si>
  <si>
    <t>[Nathanail, Eftihia; Gogas, Michael; Adamos, Giannis] Univ Thessaly, Volos 38334, Volos, Greece</t>
  </si>
  <si>
    <t>Nathanail, E (corresponding author), Univ Thessaly, Volos 38334, Volos, Greece.</t>
  </si>
  <si>
    <t>Adamos, Giannis/0000-0002-2639-1607; Nathanail, Eftihia/0000-0002-9083-9584;</t>
  </si>
  <si>
    <t>10.1016/j.trpro.2016.05.078</t>
  </si>
  <si>
    <t>BF6LN</t>
  </si>
  <si>
    <t>WOS:000383251001006</t>
  </si>
  <si>
    <t>Foltynski, M</t>
  </si>
  <si>
    <t>Foltynski, Marcin</t>
  </si>
  <si>
    <t>Management tool for streamlining city logistics</t>
  </si>
  <si>
    <t>2ND INTERNATIONAL CONFERENCE GREEN CITIES - GREEN LOGISTICS FOR GREENER CITIES</t>
  </si>
  <si>
    <t>2nd International Conference on Green Cities - Green Logistics for Greener Cities</t>
  </si>
  <si>
    <t>MAR 02-03, 2016</t>
  </si>
  <si>
    <t>urban logistics; sustainable urban logistics plan; SULP</t>
  </si>
  <si>
    <t>This paper aims to present and discuss the methodology for implementing the SULP (Sustainable Urban Logistics Plan) as part of the Sustainable Urban Mobility approach on a step by step basis, operative working details (including specific requirements) and crucial actions to be carried out for setting the urban logistics plan. (C) 2016 The Authors. Published by Elsevier B.V. This is an open access article under the CC BY-NC-ND license.</t>
  </si>
  <si>
    <t>[Foltynski, Marcin] Inst Logist &amp; Warehousing, Estkowskiego 6, PL-61755 Poznan, Poland</t>
  </si>
  <si>
    <t>Instytut Logistyki Magazynowania</t>
  </si>
  <si>
    <t>Foltynski, M (corresponding author), Inst Logist &amp; Warehousing, Estkowskiego 6, PL-61755 Poznan, Poland.</t>
  </si>
  <si>
    <t>Marcin.Foltynski@ilim.poznan.pl</t>
  </si>
  <si>
    <t>10.1016/j.trpro.2016.11.010</t>
  </si>
  <si>
    <t>Green &amp; Sustainable Science &amp; Technology; Transportation; Urban Studies</t>
  </si>
  <si>
    <t>Science &amp; Technology - Other Topics; Transportation; Urban Studies</t>
  </si>
  <si>
    <t>BG6NF</t>
  </si>
  <si>
    <t>WOS:000390612800009</t>
  </si>
  <si>
    <t>Saragih, NI; Suprayogi; Bahagia, SN; Syabri, I</t>
  </si>
  <si>
    <t>Saragih, Nova Indah; Suprayogi; Bahagia, Senator Nur; Syabri, Ibnu</t>
  </si>
  <si>
    <t>City Logistics for Mega City: A Conceptual Model (Case Study: DKI Jakarta)</t>
  </si>
  <si>
    <t>PROCEEDING JOINT INTERNATIONAL CONFERENCE ON ELECTRIC VEHICULAR TECHNOLOGY AND INDUSTRIAL, MECHANICAL, ELECTRICAL, AND CHEMICAL ENGINEERING (ICEVT &amp; IMECE)</t>
  </si>
  <si>
    <t>Joint International Conference On Electric Vehicular Technology And Industrial, Mechanical, Electrical, And Chemical Engineering (ICEVT &amp; IMECE) 2015</t>
  </si>
  <si>
    <t>NOV 04-05, 2015</t>
  </si>
  <si>
    <t>Sunan Hotel, Surakarta, INDONESIA</t>
  </si>
  <si>
    <t>Sunan Hotel</t>
  </si>
  <si>
    <t>city logistics; low availability; traffic congestion</t>
  </si>
  <si>
    <t>URBAN CONSOLIDATION CENTERS; CHALLENGES; SYSTEMS</t>
  </si>
  <si>
    <t>As one of the mega cities in the world, to meet the needs of its population, DKI Jakarta not only faces logistics problem which is low availability, but also transportation problem which is traffic congestion. Those problems show that DKI Jakarta needs an urban logistics system that is not only effective and efficient, but also that does not add its transportation problem. Urban logistics system that takes into account traffic congestion is known as city logistics. Therefore, to address these needs, city logistics needs to be developed in DKI Jakarta. The importance of considering traffic congestion in developing urban logistics systems is due to traffic conditions that are getting worse lately in many cities in the world. This research is trying to develop city logistics that is able to solve low availability and traffic congestion problems as well. City logistics that is able to solve the problems has never been developed before. To develop city logistics for the problems, it needs to determine city logistics system, fundamental concept of city logistics, and initiatives of city logistics that are able to solve the problems.</t>
  </si>
  <si>
    <t>[Saragih, Nova Indah] Univ Widyatama, Inst Teknol Bandung, Dept Ind Enginering, Bandung, Indonesia; [Suprayogi; Bahagia, Senator Nur] Inst Teknol Bandung, Dept Ind Enginering, Bandung, Indonesia; [Syabri, Ibnu] Inst Teknol Bandung, Dept Reg &amp; City Planning, Bandung, Indonesia</t>
  </si>
  <si>
    <t>Widyatama University; Institute Technology of Bandung; Institute Technology of Bandung; Institute Technology of Bandung</t>
  </si>
  <si>
    <t>Saragih, NI (corresponding author), Univ Widyatama, Inst Teknol Bandung, Dept Ind Enginering, Bandung, Indonesia.</t>
  </si>
  <si>
    <t>nova.indah@widyatama.ac.id; yogi@mail.ti.itb.ac.id; senator@mail.ti.itb.ac.id; syabri@pl.itb.ac.id</t>
  </si>
  <si>
    <t>Syabri, Ibnu/AAR-4270-2021; Suprayogi, Suprayogi/ABD-7796-2021; Saragih, Nova/ISR-9274-2023</t>
  </si>
  <si>
    <t>Maulani, Rijanti Rahaju/0000-0003-2237-5842; Syabri, Ibnu/0000-0002-8922-0346; , Nova/0000-0003-3361-0844</t>
  </si>
  <si>
    <t>978-1-4673-8504-6</t>
  </si>
  <si>
    <t>Engineering, Electrical &amp; Electronic; Engineering, Mechanical; Transportation Science &amp; Technology</t>
  </si>
  <si>
    <t>BI3OB</t>
  </si>
  <si>
    <t>WOS:000411330300024</t>
  </si>
  <si>
    <t>Xu, FW; Lv, P</t>
  </si>
  <si>
    <t>Liu, XY; Zhang, H; Zhao, R</t>
  </si>
  <si>
    <t>Xu Fengwei; Lv Pu</t>
  </si>
  <si>
    <t>A Research on Evaluation of Urban Logistics Development Level</t>
  </si>
  <si>
    <t>PROCEEDINGS OF 2010 INTERNATIONAL CONFERENCE ON MANAGEMENT SCIENCE AND ENGINEERING</t>
  </si>
  <si>
    <t>International Conference on Management Sci and Engineering</t>
  </si>
  <si>
    <t>NOV 20-21, 2010</t>
  </si>
  <si>
    <t>SW Univ Nationalities, Chengdu, PEOPLES R CHINA</t>
  </si>
  <si>
    <t>SW Univ Nationalities</t>
  </si>
  <si>
    <t>urban logistics; evaluation index system; principal element analysis</t>
  </si>
  <si>
    <t>With fast development of world economy and urbanization, city becomes the convergence fields of modem logistics. Developing city logistics energetically has great importance to improve operation quality of city economy, to perfect the urbanization function, and improve urban comprehensive competitiveness. According to the meaning of urban logistics, this paper establishes the evaluation model of urban logistics level from Index System and Evaluation Method. On this basis, taking Dalian in Liaoning province as samples, it evaluates the urban logistics development level with principal element analysis, thus obtains some valuable information.</t>
  </si>
  <si>
    <t>[Xu Fengwei; Lv Pu] Dalian Jiaotong Univ, Sch Management, Dalian 116028, Peoples R China</t>
  </si>
  <si>
    <t>Dalian Jiaotong University</t>
  </si>
  <si>
    <t>xu_fengwei@163.com</t>
  </si>
  <si>
    <t>lyu, pu/LWK-3179-2024</t>
  </si>
  <si>
    <t>ORIENT ACAD FORUM</t>
  </si>
  <si>
    <t>MARRICKVILLE</t>
  </si>
  <si>
    <t>PO BOX 893, MARRICKVILLE, NSW 2204, AUSTRALIA</t>
  </si>
  <si>
    <t>978-0-9807687-5-6</t>
  </si>
  <si>
    <t>BXP81</t>
  </si>
  <si>
    <t>WOS:000296677800094</t>
  </si>
  <si>
    <t>Drop, N; Chelstowska, A</t>
  </si>
  <si>
    <t>Drop, Natalia; Chelstowska, Aleksandra</t>
  </si>
  <si>
    <t>Emerging Trends in Eco-Logistics: A Review of Sustainable Practices in Szczecin (Poland) from the Residents' Perspective</t>
  </si>
  <si>
    <t>management; sustainable transportation; eco-logistics; sustainable development; city logistics</t>
  </si>
  <si>
    <t>URBAN LOGISTICS; IMPACT; AREAS</t>
  </si>
  <si>
    <t>This article offers an interdisciplinary analysis of eco-friendly urban logistics in Szczecin. It includes a review of innovative ecological solutions, results from a survey on residents' awareness and acceptance and a case study on the implementation of these solutions in Szczecin. The theoretical part discusses the latest trends in eco-logistics, emphasising urban-specific solutions. The empirical section presents survey findings and explores the practical application of eco-friendly practices in Szczecin, analysing the associated benefits and challenges. The respondents demonstrated a high level of awareness and acceptance of city logistics solutions, such as urban pick-up points and electric scooters, which indicates support for sustainable urban transport. The residents of Szczecin appreciate the practical benefits and positive environmental impact of these eco-friendly investments, which they believe enhance city life by improving air quality and mobility. This article aims to provide a detailed perspective on eco-logistics in Szczecin, focusing on both the social and practical aspects of implementing sustainable solutions.</t>
  </si>
  <si>
    <t>[Drop, Natalia; Chelstowska, Aleksandra] Maritime Univ Szczecin, Fac Econ &amp; Transport Engn, Ul Waly Chrobrego 1-2, PL-70500 Szczecin, Poland</t>
  </si>
  <si>
    <t>Drop, N (corresponding author), Maritime Univ Szczecin, Fac Econ &amp; Transport Engn, Ul Waly Chrobrego 1-2, PL-70500 Szczecin, Poland.</t>
  </si>
  <si>
    <t>n.drop@pm.szczecin.pl; a.chelstowska@pm.szczecin.pl</t>
  </si>
  <si>
    <t>; Chełstowska, Aleksandra/NSV-1331-2025</t>
  </si>
  <si>
    <t>Chełstowska, Aleksana/0009-0000-3193-1973;</t>
  </si>
  <si>
    <t>10.3390/su16229721</t>
  </si>
  <si>
    <t>N7Z7Q</t>
  </si>
  <si>
    <t>WOS:001366477800001</t>
  </si>
  <si>
    <t>Patella, SM; Grazieschi, G; Gatta, V; Marcucci, E; Carrese, S</t>
  </si>
  <si>
    <t>Patella, Sergio Maria; Grazieschi, Gianluca; Gatta, Valerio; Marcucci, Edoardo; Carrese, Stefano</t>
  </si>
  <si>
    <t>The Adoption of Green Vehicles in Last Mile Logistics: A Systematic Review</t>
  </si>
  <si>
    <t>last mile logistics; green logistics; urban freight; e-commerce; green vehicles; drones; autonomous vehicles</t>
  </si>
  <si>
    <t>URBAN FREIGHT TRANSPORT; TRAVELING SALESMAN PROBLEM; BATTERY ELECTRIC VEHICLES; FACILITY LOCATION PROBLEM; EX-ANTE EVALUATION; CITY LOGISTICS; ROUTING PROBLEM; DRONE DELIVERY; PARCEL DELIVERY; AUTONOMOUS VEHICLES</t>
  </si>
  <si>
    <t>Widespread adoption of green vehicles in urban logistics may contribute to the alleviation of problems such as environmental pollution, global warming, and oil dependency. However, the current adoption of green vehicles in the last mile logistics is relatively low despite many actions taken by public authorities to overcome the negative externalities of distributing goods in cities. This paper presents a comprehensive literature review on studies investigating the adoption of green vehicles in urban freight transportation, paying specific attention to e-commerce. To shed light on the adoption of green vehicles in city logistics, the paper conducts a systematic review of the empirical literature on the topic. The 159 articles reviewed were classified into the following: (a) Optimization and scheduling (67 papers); (b) policy (55 papers); (c) sustainability (37 papers). Among the 159 articles, a further selection of 17 papers dealing with e-commerce, i.e., studies that highlight the most relevant aspects related to the integration of green vehicles in e-commerce urban logistics, was performed. Our findings indicate that green vehicles are competitive in urban deliveries characterized by frequent stop-and-go movements and low consolidation levels while incentives are still necessary for their adoption. The use of autonomous vehicles results the most promising and challenging solution for last-mile logistics.</t>
  </si>
  <si>
    <t>[Patella, Sergio Maria] Univ Mercatorum, Fac Econ, Piazza Mattei 10, I-00186 Rome, Italy; [Grazieschi, Gianluca; Carrese, Stefano] Roma Tre Univ, Dept Engn, Via Vito Volterra 62, I-00146 Rome, Italy; [Gatta, Valerio; Marcucci, Edoardo] Roma Tre Univ, Dept Polit Sci, Via Gabriello Chiabrera 199, I-00145 Rome, Italy; [Gatta, Valerio; Marcucci, Edoardo] Molde Univ Coll, Dept Logist, POB 2110, N-6402 Molde, Norway</t>
  </si>
  <si>
    <t>Universita Telematica Mercatorum; Roma Tre University; Roma Tre University; Molde University College</t>
  </si>
  <si>
    <t>Patella, SM (corresponding author), Univ Mercatorum, Fac Econ, Piazza Mattei 10, I-00186 Rome, Italy.</t>
  </si>
  <si>
    <t>sergiomaria.patella@unimercatorum.it; gianluca.grazieschi@uniroma3.it; valerio.gatta@uniroma3.it; edoardo.marcucci@uniroma3.it; stefano.carrese@uniroma3.it</t>
  </si>
  <si>
    <t>; marcucci, edoardo/AAJ-6539-2020; Patella, Sergio/AAL-3180-2020; Grazieschi, Gianluca/AAW-9179-2020; Carrese, Stefano/JDM-3261-2023</t>
  </si>
  <si>
    <t>Marcucci, Edoardo/0000-0002-9813-3973; Grazieschi, Gianluca/0000-0003-0947-4344; Gatta, Valerio/0000-0003-1631-1797; Patella, Sergio Maria/0000-0002-3385-7049</t>
  </si>
  <si>
    <t>Roma Tre University (Research Development Plan: Action 4) research project: ShareLab-Sharing Economy in a Living Lab; European Union [861598]</t>
  </si>
  <si>
    <t>Roma Tre University (Research Development Plan: Action 4) research project: ShareLab-Sharing Economy in a Living Lab; European Union(European Union (EU))</t>
  </si>
  <si>
    <t>This work was supported by the Roma Tre University (Research Development Plan: Action 4) research project: ShareLab-Sharing Economy in a Living Lab. Edoardo Marcucci and Valerio Gatta would like to acknowledge the funding from the European Union's Horizon 2020 research and innovation program under grant agreement No 861598 for the LEAD project (www.leadproject.eu/).</t>
  </si>
  <si>
    <t>10.3390/su13010006</t>
  </si>
  <si>
    <t>PQ8AQ</t>
  </si>
  <si>
    <t>WOS:000606766600001</t>
  </si>
  <si>
    <t>Hauge, JB; Birkie, SE; Jeong, Y</t>
  </si>
  <si>
    <t>Hauge, Jannicke Baalsrud; Birkie, Seyoum Eshetu; Jeong, Yongkuk</t>
  </si>
  <si>
    <t>Developing a holistic decision support framework: From production logistics to sustainable freight transport in an urban environment</t>
  </si>
  <si>
    <t>TRANSPORTATION RESEARCH INTERDISCIPLINARY PERSPECTIVES</t>
  </si>
  <si>
    <t>Urban logistics; Urban production logistics; Production logistics; Sustainable cities; Multi -criteria analysis</t>
  </si>
  <si>
    <t>CITY LOGISTICS; HORIZONTAL COLLABORATION; SIMULATION FRAMEWORK; MODELING EFFORTS; GREEN LOGISTICS; IMPACTS; PROVIDERS; VEHICLES; SYSTEM</t>
  </si>
  <si>
    <t>In recent years, policy makers as well as urban logistics and transport research have investigated how to reduce environmental impact from transportation in urban areas. Therefore, many new frameworks that can help a specific actor in its decision making process at a certain decision making level (i.e., business or policy level) have been implemented and published. However, the first screening of existing literature did not reveal frameworks that can be used across different decision making levels. This limits the possibility for actors using the same infrastructure but not necessarily co-operate to discuss how the actions and needs of each actor of different decision making levels mutually influence each other. This paper first presents an outcome of a literature review and analysis of existing research project results before. It combines these to a multi-layer framework that can enhance collaborative decision-making and seamless aggregation of performance measures such as environmental impact from multiple transportation activities in and around urban areas. For this multi-layer framework, factors are identified, and possible relationships across the various layers are indicated. The field of application is the area near urban manufacturing sites and specifically addressing all actors that share on regulate infrastructure relevant to last mile inbound logistics. The source of data is project databases as well as for the literature review research databases. The methodology applied is a combination of a literature review based on database entries and a snowball approach. The article also presents how the framework can be prototypically implemented in participatory simulations using a simplified example. Potential usage for establishing holistic urban mobility structures is also discussed.</t>
  </si>
  <si>
    <t>[Hauge, Jannicke Baalsrud; Birkie, Seyoum Eshetu; Jeong, Yongkuk] KTH Royal Inst Technol, Sch Ind Engn &amp; Management, Sodertalje, Sweden; [Hauge, Jannicke Baalsrud] Univ Bremen, Bremer Inst Prod &amp; Logist, Bremen, Germany; [Jeong, Yongkuk] Kvarnbergagatan 12, SE-15181 Sodertalje, Sweden</t>
  </si>
  <si>
    <t>Royal Institute of Technology; BIBA - Bremer Institut fur Produktion &amp; Logistik; University of Bremen</t>
  </si>
  <si>
    <t>Jeong, Y (corresponding author), Kvarnbergagatan 12, SE-15181 Sodertalje, Sweden.</t>
  </si>
  <si>
    <t>yongkuk@kth.se</t>
  </si>
  <si>
    <t>Jeong, Yongkuk/W-3228-2018; Birkie, Seyoum/G-7213-2014</t>
  </si>
  <si>
    <t>Birkie, Seyoum Eshetu/0000-0002-4123-0721;</t>
  </si>
  <si>
    <t>HUPMOBILE project from INTERREG Baltic Sea Region Programme</t>
  </si>
  <si>
    <t>The authors would like to acknowledge HUPMOBILE project from INTERREG Baltic Sea Region Programme 2014-2020 for funding of this research work.</t>
  </si>
  <si>
    <t>2590-1982</t>
  </si>
  <si>
    <t>TRANSP RES INTERDISC</t>
  </si>
  <si>
    <t>Transp. Res. Interdiscip. Perspect.</t>
  </si>
  <si>
    <t>10.1016/j.trip.2021.100496</t>
  </si>
  <si>
    <t>KX4L2</t>
  </si>
  <si>
    <t>WOS:001183250300007</t>
  </si>
  <si>
    <t>Rose, WJ; Mollenkopf, DA; Autry, CW; Williams, BD</t>
  </si>
  <si>
    <t>Rose, William J.; Mollenkopf, Diane A.; Autry, Chad W.; Williams, Brent D.</t>
  </si>
  <si>
    <t>Tailoring Transportation Planning Decisions to Diverse Urban Environments</t>
  </si>
  <si>
    <t>DECISION SCIENCES</t>
  </si>
  <si>
    <t>Urban logistics; City logistics; Vehicle routing; Heuristics</t>
  </si>
  <si>
    <t>VEHICLE-ROUTING PROBLEM; CITY LOGISTICS; ACCESSIBILITY; NETWORK; REDUNDANCY; DENSITY; SYSTEM; IMPACT; CITIES; DRIVER</t>
  </si>
  <si>
    <t>As the world's population continues to urbanize, providing efficient and effective logistics service to customers in urban areas has become an increasingly important, but difficult task. Recent vehicle routing studies suggest that logistics planners face numerous difficulties during decision-making due to certain complexities associated with the urban environment, but to date, specific challenges have remained unidentified. Using a multiple case study methodology, this research examines several environmental characteristics that influence vehicle routing decisions across eight U.S. urban centers, and contrasts decisions firms make when creating solutions to address these factors. Cross-case synthesis uncovered patterns connecting specific environmental characteristics with variations on traditional vehicle routing decisions. Results allow us to construct a theoretical framework and propositions to guide managers when tailoring urban logistics strategies to urban environments having different combinations of structural characteristics.</t>
  </si>
  <si>
    <t>[Rose, William J.] Iowa State Univ, Debbie &amp; Jerry Ivy Coll Business, Dept Supply Chain Management, 3331 Gerdin Business Bldg, Ames, IA 50011 USA; [Mollenkopf, Diane A.] Univ Tennessee, Haslam Coll Business, Dept Supply Chain Management, 336 Stokely Management Ctr, Knoxville, TN 37996 USA; [Autry, Chad W.] Univ Tennessee, Haslam Coll Business, Dept Supply Chain Management, 310 Stokely Management Ctr, Knoxville, TN 37996 USA; [Williams, Brent D.] Univ Arkansas, Sam M Walton Coll Business, WJWH 546, Fayetteville, AR 72701 USA</t>
  </si>
  <si>
    <t>Iowa State University; University of Tennessee System; University of Tennessee Knoxville; University of Tennessee System; University of Tennessee Knoxville; University of Arkansas System; University of Arkansas Fayetteville</t>
  </si>
  <si>
    <t>Rose, WJ (corresponding author), Iowa State Univ, Debbie &amp; Jerry Ivy Coll Business, Dept Supply Chain Management, 3331 Gerdin Business Bldg, Ames, IA 50011 USA.</t>
  </si>
  <si>
    <t>wjrose@iastate.edu; mollenkopf@utk.edu; autry@utk.edu; bwilliams@walton.uark.edu</t>
  </si>
  <si>
    <t>Rose, William/IUN-2389-2023; Mollenkopf, Diane/N-9582-2014</t>
  </si>
  <si>
    <t>Mollenkopf, Diane/0000-0003-0944-0806; Rose, William/0000-0003-3958-7454</t>
  </si>
  <si>
    <t>0011-7315</t>
  </si>
  <si>
    <t>1540-5915</t>
  </si>
  <si>
    <t>DECISION SCI</t>
  </si>
  <si>
    <t>Decis. Sci.</t>
  </si>
  <si>
    <t>10.1111/deci.12397</t>
  </si>
  <si>
    <t>MZ8MJ</t>
  </si>
  <si>
    <t>WOS:000559378800003</t>
  </si>
  <si>
    <t>Faure, L; Battaia, G; Marquès, G; Guillaume, R; Vega-Mejía, CA; Montoya-Torres, JR; Muñoz-Villamizar, A; Quintero-Araújo, CL</t>
  </si>
  <si>
    <t>Faure, Lucile; Battaia, Guillaume; Marques, Guillaume; Guillaume, Romain; Vega-Mejia, Carlos Alberto; Montoya-Torres, Jairo R.; Munoz-Villamizar, Andres; Quintero-Araujo, Carlos L.</t>
  </si>
  <si>
    <t>How to anticipate the level of activity of a sustainable collaborative network: the case of urban freight delivery through logistics platforms</t>
  </si>
  <si>
    <t>2013 7TH IEEE INTERNATIONAL CONFERENCE ON DIGITAL ECOSYSTEMS AND TECHNOLOGIES (DEST)</t>
  </si>
  <si>
    <t>IEEE International Conference on Digital Ecosystems and Technologies</t>
  </si>
  <si>
    <t>7th IEEE International Conference on Digital Ecosystems and Technologies (DEST)</t>
  </si>
  <si>
    <t>JUL 24-26, 2013</t>
  </si>
  <si>
    <t>Menlo Park, CA</t>
  </si>
  <si>
    <t>Sustainable collaborative network; Urban consolidation center; Games theory; City logistics</t>
  </si>
  <si>
    <t>CONSOLIDATION CENTERS; MODELING APPROACH; SYSTEMS; AREAS</t>
  </si>
  <si>
    <t>In this paper, we elaborate a methodology to study a particular case of collaborative network: city logistics. We identify that many solutions for urban logistics are, most of time, badly evaluated. Indeed, the theory often predicts a positive effect but the reality is most of time counterbalanced. We tried to fill this gap by making use of innovative methods. To do so, we mobilize several domains of knowledge: operational research, game theory and transportation studies on real cases. We suggest a solution to anticipate the level of activity of an Urban Consolidation Center and determine the condition under which it generates benefit for a carrier using or not, the collaborative network We present the result obtained by application of our method on the real case of the city of Saint-Etienne.</t>
  </si>
  <si>
    <t>[Faure, Lucile; Battaia, Guillaume; Marques, Guillaume] Ecole Natl Super Mines, CNRS, UMR5600, FAYOL,EMSE,EVS, F-42023 St Etienne, France; [Guillaume, Romain] Univ Toulouse, IRIT, UTM 5, F-31058 Toulouse, France; [Vega-Mejia, Carlos Alberto; Montoya-Torres, Jairo R.; Munoz-Villamizar, Andres; Quintero-Araujo, Carlos L.] Univ La Sabana, Escuela Ciencias Econ &amp; Adm, Chia, Cundinamarca, Colombia; [Montoya-Torres, Jairo R.] Univ Leeds, Leeds Univ Business Sch, Leeds LS2 9JT, W Yorkshire, England</t>
  </si>
  <si>
    <t>Centre National de la Recherche Scientifique (CNRS); CNRS - Institute of Ecology &amp; Environment (INEE); Institut National des Sciences Appliquees de Lyon - INSA Lyon; IMT - Institut Mines-Telecom; Mines Saint-Etienne; Universite de Toulouse; Universite Toulouse III - Paul Sabatier; Universite Federale Toulouse Midi-Pyrenees (ComUE); Institut National Polytechnique de Toulouse; Universidad de La Sabana; University of Leeds</t>
  </si>
  <si>
    <t>Faure, L (corresponding author), Ecole Natl Super Mines, CNRS, UMR5600, FAYOL,EMSE,EVS, F-42023 St Etienne, France.</t>
  </si>
  <si>
    <t>lfaure@emsc.fr; gbattaia@emsc.fr; gmarques@emsc.fr; guillaume@irit.fr; carlosveme@unisabana.edu.co; jairo.montoya@unisabana.edu.co; andresmuvi@unisabana.edu.co; carlos.quintero5@unisabana.edu.co</t>
  </si>
  <si>
    <t>Quintero-Araujo, Carlos/V-1393-2017; Muñoz-Villamizar, Andrés/E-2642-2017; Muñoz-Villamizar, Andrés/E-2642-2017; Montoya-Torres, Jairo/B-8681-2009; Vega-Mejía, Carlos/O-4210-2019; Quintero Araujo, Carlos Leonardo/V-1393-2017</t>
  </si>
  <si>
    <t>Muñoz-Villamizar, Andrés/0000-0003-2542-0645; Montoya-Torres, Jairo R/0000-0002-6251-3667; Muñoz-Villamizar, Andrés/0000-0003-2542-0645; Vega-Mejía, Carlos A/0000-0003-1463-0495; Quintero Araujo, Carlos Leonardo/0000-0001-8563-4456</t>
  </si>
  <si>
    <t>2150-4938</t>
  </si>
  <si>
    <t>978-1-4799-0786-1; 978-1-4799-0784-7</t>
  </si>
  <si>
    <t>I C DIGIT ECOSYST TE</t>
  </si>
  <si>
    <t>BA2RD</t>
  </si>
  <si>
    <t>WOS:000333812900022</t>
  </si>
  <si>
    <t>Witkowski, K</t>
  </si>
  <si>
    <t>Slavickova, P</t>
  </si>
  <si>
    <t>Witkowski, Krzysztof</t>
  </si>
  <si>
    <t>THE ASPECT OF INTEGRATED LOGISTICS FOR SUSTAINABLE DEVELOPMENT</t>
  </si>
  <si>
    <t>SBORNIK Z MEZINARODNI VEDECKE KONFERENCE ZNALOSTI PRO TRZNI PRAXI 2012: VYZNAM ZNALOSTI V AKTUALNI FAZI EKONOMICKEHO CYKLU</t>
  </si>
  <si>
    <t>International Scientific Conference on Knowledge for Market Use - Significance of Knowledge at the Current Phase of Economic Cycle</t>
  </si>
  <si>
    <t>SEP 06-07, 2012</t>
  </si>
  <si>
    <t>Olomouc, CZECH REPUBLIC</t>
  </si>
  <si>
    <t>Logistics; Sustainable Development; Supply Chain Management; Information Technology</t>
  </si>
  <si>
    <t>LIFE; IRON</t>
  </si>
  <si>
    <t>The aim of this article is to present how important are innovativeness and innovation in every level for sustainable development. There is focused on the paper the role of innovativeness and innovation in education. The most important finding of this research is that the education should be begin with logistics thinking. Every innovation plays big role in education system and education is important for innovativeness. Education and training build the critical foundation for sustainable development. The Commission encourages Member States in their efforts to develop more strategic approaches to sharing knowledge and good practice in a bid to stimulate Education for Sustainable Development. The presented article is part of a research project on developing application methods for urban logistics Referential model of city logistics versus quality of life of citizens funded by funds for science in the years 2010-2012 as a research project.</t>
  </si>
  <si>
    <t>[Witkowski, Krzysztof] Univ Zielona Gora, Fac Econ &amp; Management, PL-65246 Zielona Gora, Poland</t>
  </si>
  <si>
    <t>University of Zielona Gora</t>
  </si>
  <si>
    <t>k.witkowski@wez.uz.zgora.pl</t>
  </si>
  <si>
    <t>SOCIETAS SCIENTIARUM OLOMUCENSIS LI</t>
  </si>
  <si>
    <t>OLOMOUC</t>
  </si>
  <si>
    <t>KRIZKOVSKEHO 10, OLOMOUC, 77900, CZECH REPUBLIC</t>
  </si>
  <si>
    <t>978-80-87533-04-8</t>
  </si>
  <si>
    <t>Economics; Management</t>
  </si>
  <si>
    <t>BIB28</t>
  </si>
  <si>
    <t>WOS:000327205300056</t>
  </si>
  <si>
    <t>Liu, Y; Pan, SL; Ballot, E</t>
  </si>
  <si>
    <t>Liu, Yu; Pan, Shenle; Ballot, Eric</t>
  </si>
  <si>
    <t>Federated digital twins platform for smart city logistics: A knowledge-driven approach</t>
  </si>
  <si>
    <t>INTERNATIONAL JOURNAL OF PRODUCTION ECONOMICS</t>
  </si>
  <si>
    <t>Smart city logistics; Digital twins; Asset management; Semantics and ontology; Constrained K-Means clustering; Multi-echelon and multi-modal logistics networks</t>
  </si>
  <si>
    <t>MANAGEMENT; INTERNET; THINGS; FIRM</t>
  </si>
  <si>
    <t>Urban logistics faces increasing pressure from rising population densities, escalating delivery demands, and constrained urban resources. Traditional logistics systems struggle to adapt to real-time urban dynamics, leading to inefficiencies, congestion, and environmental concerns. A key challenge lies in mobilizing underutilized assets, such as off-hour freight parking, and adopting multimodal solutions to navigate diverse and increasingly strict regulations, thereby enhancing both sustainability and operational efficiency. However, effective management and utilization of these assets require real-time visibility, cross-stakeholder collaboration, and intelligent decision-making. This study proposes a federated digital twin platform to enhance logistics operations efficiency by integrating asset management and knowledge-driven operations management, relying on real-time asset visibility and delivery knowledge, such as destination characteristics and preferred logistics modalities. Unlike traditional logistics planning, which relies on static assumptions, our approach adapts to urban constraints by continuously querying real-time asset information and integrating logistics-related knowledge into operations management. To assess the effectiveness of this approach, an optimization-based simulation framework with decision-making tools is developed. The study evaluates multi-echelon logistics networks, incorporating microhubs, dynamic transshipment points, and multimodal logistics options, including on-foot porters, E-cargo bikes, and Road Autonomous Delivery Robots (RADRs). Findings demonstrate that integrating federated digital twins with knowledge-driven approaches, such as destination-based clustering and modality selection, reduces costs by over 50 % and emissions by more than 30 %. This study underscores the transformative potential of digital twins in enabling real-time, knowledge-driven operations management, and fostering more sustainable and efficient urban logistics systems.</t>
  </si>
  <si>
    <t>[Liu, Yu; Pan, Shenle; Ballot, Eric] PSL Univ, Ctr Management Sci CGS, Mines Paris, CNRS,i3 UMR9217, F-75006 Paris, France; [Liu, Yu] EPF Engn Sch, 55 Ave President Wilson, F-94230 Cachan, France</t>
  </si>
  <si>
    <t>Universite PSL; MINES ParisTech; Centre National de la Recherche Scientifique (CNRS)</t>
  </si>
  <si>
    <t>Liu, Y (corresponding author), PSL Univ, Ctr Management Sci CGS, Mines Paris, CNRS,i3 UMR9217, F-75006 Paris, France.</t>
  </si>
  <si>
    <t>yu.liu@epf.fr</t>
  </si>
  <si>
    <t>Physical Internet Chair at Mines Paris-PSL University; Orange Innovation; Project ASAP (Awaken Sleeping Assets Project) - European Union's Horizon 2020 research and innovation program [875022]</t>
  </si>
  <si>
    <t>Physical Internet Chair at Mines Paris-PSL University; Orange Innovation; Project ASAP (Awaken Sleeping Assets Project) - European Union's Horizon 2020 research and innovation program</t>
  </si>
  <si>
    <t>This work was supported by the Physical Internet Chair at Mines Paris-PSL University, Orange Innovation, and the project ASAP (Awaken Sleeping Assets Project) which has received funding from the European Union's Horizon 2020 research and innovation program under grant agreement No 875022.</t>
  </si>
  <si>
    <t>0925-5273</t>
  </si>
  <si>
    <t>1873-7579</t>
  </si>
  <si>
    <t>INT J PROD ECON</t>
  </si>
  <si>
    <t>Int. J. Prod. Econ.</t>
  </si>
  <si>
    <t>10.1016/j.ijpe.2025.109772</t>
  </si>
  <si>
    <t>NOV 2025</t>
  </si>
  <si>
    <t>C2262</t>
  </si>
  <si>
    <t>WOS:001620311800004</t>
  </si>
  <si>
    <t>Brunetti, M; Mes, M; Lalla-Ruiz, E</t>
  </si>
  <si>
    <t>Brunetti, Matteo; Mes, Martijn; Lalla-Ruiz, Eduardo</t>
  </si>
  <si>
    <t>Smart logistics nodes: concept and classification</t>
  </si>
  <si>
    <t>Logistics nodes; connected automated transport; ports; digital ecosystems; Physical Internet; Internet of Things</t>
  </si>
  <si>
    <t>LOCATION-ROUTING PROBLEM; GATE APPOINTMENT SYSTEM; PHYSICAL INTERNET; DIGITAL TWIN; TIME WINDOWS; DESIGN; PORTS; MODEL; SIMULATION; MANAGEMENT</t>
  </si>
  <si>
    <t>This paper presents the Smart Logistics Node concept, which combines the physical infrastructure of logistics nodes with digital systems to enhance collaboration. The Smart Logistics Node benefits from data sharing, supporting infrastructure, and Connected and Automated Transport (CAT) technologies. Based on a literature review on logistics nodes and CAT, we propose a general classification of Smart Logistics Nodes distinguishing upon the node function, degree of organisational (de-)centralisation, digital integration, and infrastructure support for automated driving. Then, we classify sixteen logistics nodes and find that high digital integration is common while automation is lacking. Further automation entails mixed traffic on public roads and requires organisational changes that do not always align with current business models. Our work supports the adoption of emerging technology at logistics nodes and the comparability of business cases. Ultimately, node authorities can use our concept and classification to draw a roadmap to develop CAT capabilities.</t>
  </si>
  <si>
    <t>[Brunetti, Matteo; Mes, Martijn; Lalla-Ruiz, Eduardo] Univ Twente, Dept High Tech Business &amp; Entrepreneurship, Drienerlolaan 5, NL-7522 NB Enschede, Netherlands</t>
  </si>
  <si>
    <t>University of Twente</t>
  </si>
  <si>
    <t>Brunetti, M (corresponding author), Univ Twente, Dept High Tech Business &amp; Entrepreneurship, Drienerlolaan 5, NL-7522 NB Enschede, Netherlands.</t>
  </si>
  <si>
    <t>m.brunetti@utwente.nl</t>
  </si>
  <si>
    <t>Mes, Martijn/P-9649-2015; Lalla-Ruiz, Eduardo/F-1549-2014</t>
  </si>
  <si>
    <t>Mes, Martijn/0000-0001-9676-5259; Lalla-Ruiz, Eduardo/0000-0002-7286-9501; Brunetti, Matteo/0000-0002-5730-2662</t>
  </si>
  <si>
    <t>Dutch Research Council (NWO, Nederlandse Organisatie voor Wetenschappelijk Onderzoek); TKI Dinalog as part of the CATALYST Living Lab [439.18.458 B]</t>
  </si>
  <si>
    <t>Dutch Research Council (NWO, Nederlandse Organisatie voor Wetenschappelijk Onderzoek); TKI Dinalog as part of the CATALYST Living Lab</t>
  </si>
  <si>
    <t>This research has been funded by the Dutch Research Council (NWO, Nederlandse Organisatie voor Wetenschappelijk Onderzoek) and TKI Dinalog as part of the CATALYST Living Lab (reference 439.18.458 B). This public-private partnership is coordinated by TNO, The Netherlands Organization for Applied Scientific Research.</t>
  </si>
  <si>
    <t>10.1080/13675567.2024.2327394</t>
  </si>
  <si>
    <t>K4H9C</t>
  </si>
  <si>
    <t>WOS:001181752900001</t>
  </si>
  <si>
    <t>Kmiecik, M; Wierzbicka, A</t>
  </si>
  <si>
    <t>Kmiecik, Mariusz; Wierzbicka, Aleksandra</t>
  </si>
  <si>
    <t>Enhancing Smart Cities through Third-Party Logistics: Predicting Delivery Intensity</t>
  </si>
  <si>
    <t>smart city; 3PL companies; last-mile delivery; traffic studies</t>
  </si>
  <si>
    <t>DEMAND MANAGEMENT; 3PL; SYSTEM; MODEL</t>
  </si>
  <si>
    <t>This article addresses the key and current issues of smart cities in the context of last-mile supply management. Specifically, it explores how third-party logistics (3PL) activities impact last-mile delivery management in smart cities. It examines how 3PL affects delivery volumes, expanding the predictive capabilities of logistics operators. A research question included in the Introduction of this paper is also posed to explore the problem in depth. The research conducted focuses mainly on a case study conducted on the operations of an international 3PL logistics operator. In addition, predictive methods are used to analyse the shipment volume data for individual barcodes in the two analysed cities in Poland. Currently, the concept of a smart city assumes the limited participation of logistics operators in creating improvements for cities. The case study analysis shows that in the cities studied, 3PL companies, through predictive actions, can regulate the flow of vehicles out of the logistics centre and into the city, thus influencing the traffic volume in the city. The research is limited to two cities in Poland implementing smart city solutions and one logistics operator. The research also does not include e-commerce. The authors acknowledge that the results obtained cannot be generalised to a larger scale. This paper bridges the research gap on 3PL activities for last-mile logistics improvements. In addition, the paper proposes the first concept related to the implementation of a 3PL company's predictive activities associated with the operator's ability to control the impact on urban traffic.</t>
  </si>
  <si>
    <t>[Kmiecik, Mariusz; Wierzbicka, Aleksandra] Silesian Tech Univ, Dept Logist, PL-44100 Gliwice, Poland</t>
  </si>
  <si>
    <t>Kmiecik, M (corresponding author), Silesian Tech Univ, Dept Logist, PL-44100 Gliwice, Poland.</t>
  </si>
  <si>
    <t>mariusz.kmiecik@polsl.pl; aleksandra.wierzbicka@polsl.pl</t>
  </si>
  <si>
    <t>; Kmiecik, Mariusz/JCD-4598-2023</t>
  </si>
  <si>
    <t>Kmiecik, Mariusz/0000-0003-2015-1132;</t>
  </si>
  <si>
    <t>10.3390/smartcities7010022</t>
  </si>
  <si>
    <t>JI4W5</t>
  </si>
  <si>
    <t>WOS:001172533500001</t>
  </si>
  <si>
    <t>Tadic, S; Krstic, M; Kovac, M</t>
  </si>
  <si>
    <t>Tadic, Snezana; Krstic, Mladen; Kovac, Milovan</t>
  </si>
  <si>
    <t>Assessment of city logistics initiative categories sustainability: case of Belgrade</t>
  </si>
  <si>
    <t>ENVIRONMENT DEVELOPMENT AND SUSTAINABILITY</t>
  </si>
  <si>
    <t>City logistics initiative; Sustainability; MCDM; Fuzzy AHP; Fuzzy MARCOS</t>
  </si>
  <si>
    <t>ANALYTIC HIERARCHY PROCESS; FUZZY AHP; TRANSPORTATION SYSTEM; LOCATION SELECTION; FREIGHT TRANSPORT; SERVICE PROVIDERS; TOPSIS; SIMULATION; EMISSIONS; FRAMEWORK</t>
  </si>
  <si>
    <t>The goal of city logistics (CL) is to reconcile the interests of all stakeholders and find compromise solutions for problems associated with the urban logistics flows. A great number of CL initiatives have been the subject of research, analysis and practical application. Some of them indicated significant positive effects, but their implementation brought only partial effects. The non-systematic approach in problem-solving and neglect of other stakeholders' interests by the local government caused the failure of many applied CL initiatives. The purpose of this paper is to evaluate the CL initiatives categories sustainability, taking into consideration the goals of all stakeholder groups. This is the first paper analyzing various CL initiatives categories simultaneously, from the aspect of providers, shippers/receivers, local authorities, and residents, which is the main contribution of the paper. Twelve basic CL initiative categories were considered, while their assessment and ranking were performed with a novel hybrid multi-criteria decision-making (MCDM) model based on fuzzy Analytic Hierarchy Process and fuzzy Measurement Alternatives and Ranking according to Compromise Solution, which is another contribution of the paper. The results indicate that the development and implementation of logistics centers emerge as the best CL initiative category for solving CL problems in the city of Belgrade. The theoretical implications of this article are the creation of a framework for the evaluation of the sustainability of CL initiatives, as well as the novel MCDM model that could be used for problem-solving in different areas. The practical implication of the article is the provision of a framework for decision-makers, policy-creators and practitioners for supporting the process of plans development and initiative implementation in the field of CL.</t>
  </si>
  <si>
    <t>[Tadic, Snezana; Krstic, Mladen; Kovac, Milovan] Univ Belgrade, Fac Transport &amp; Traff Engn, Vojvode Stepe 305, Belgrade 11000, Serbia</t>
  </si>
  <si>
    <t>University of Belgrade</t>
  </si>
  <si>
    <t>Krstic, M (corresponding author), Univ Belgrade, Fac Transport &amp; Traff Engn, Vojvode Stepe 305, Belgrade 11000, Serbia.</t>
  </si>
  <si>
    <t>m.krstic@sf.bg.ac.rs; s.tadic@sf.bg.ac.rs; kovac.g.milovan@gmail.com</t>
  </si>
  <si>
    <t>Tadić, Snežana/P-9689-2016; Krstić, Mladen/ISU-9119-2023; Tadic, Snezana/P-9689-2016; Kovač, Milovan/GLQ-7304-2022</t>
  </si>
  <si>
    <t>Tadić, Snežana/0000-0003-4651-3699; Krstić, Mladen/0000-0002-7937-0543; Kovač, Milovan/0000-0003-4525-5245</t>
  </si>
  <si>
    <t>1387-585X</t>
  </si>
  <si>
    <t>1573-2975</t>
  </si>
  <si>
    <t>ENVIRON DEV SUSTAIN</t>
  </si>
  <si>
    <t>Environ. Dev. Sustain.</t>
  </si>
  <si>
    <t>10.1007/s10668-021-02099-0</t>
  </si>
  <si>
    <t>8K9JG</t>
  </si>
  <si>
    <t>WOS:000741624800004</t>
  </si>
  <si>
    <t>Saha, A; Simic, V; Senapati, T; Dabic-Miletic, S; Ala, A</t>
  </si>
  <si>
    <t>Saha, Abhijit; Simic, Vladimir; Senapati, Tapan; Dabic-Miletic, Svetlana; Ala, Ali</t>
  </si>
  <si>
    <t>A Dual Hesitant Fuzzy Sets-Based Methodology for Advantage Prioritization of Zero-Emission Last-Mile Delivery Solutions for Sustainable City Logistics</t>
  </si>
  <si>
    <t>IEEE TRANSACTIONS ON FUZZY SYSTEMS</t>
  </si>
  <si>
    <t>Urban areas; Logistics; Transportation; Decision making; Fuzzy sets; Sustainable development; Pollution measurement; Cross-entropy-based optimization model (CEBOM); city logistics; dual hesitant fuzzy set; last-mile delivery; score-based double normalized measurement alternatives and ranking according to the compromise solution (SDNMARCOS); sustainability</t>
  </si>
  <si>
    <t>DECISION-MAKING APPROACH; AGGREGATION OPERATORS; SUPPLY CHAIN; URBAN FREIGHT; RISK; FLEXIBILITY; TRANSPORT</t>
  </si>
  <si>
    <t>For the first time, the critical worldwide problem of prioritizing zero-emission last-mile delivery (LMD) solutions for sustainable city logistics is addressed and solved in this article. It not only aims to help city logistics companies sustainably decarbonize urban freight distribution but also provide valuable practical guidelines. To evaluate zero-emission LMD solutions, this article presents a novel multicriteria group decision-making methodology with dual hesitant fuzzy (DHF) sets. First, we propose some improved operations on DHF elements and investigate their vital properties. Second, based on these operations, we develop DHF improved weighted averaging operator to overcome the drawbacks of the existing operators on DHF sets. Third, for measuring the weights of criteria, a new model called the cross-entropy-based optimization model (CEBOM) is developed. Fourth, for the rational aggregation of the preferences, we formulate a new method namely score-based double normalized measurement alternatives and ranking according to the compromise solution (SDNMARCOS). The proposed DNMARCOS method couples the linear and vector normalization techniques. It is composed of the complete compensatory model and the incomplete compensatory model. Thus, SDNMARCOS is more robust compared to the available state-of-the-art approaches. To exhibit the applicability of the proposed DHF-CEBOM-SDNMARCOS methodology in real-world settings, a case study for one of the largest Austrian logistics companies in Serbia is provided. The research findings show that electric light commercial vehicles are the best LMD solution. Also, it is recommended to consider electric cargo bikes as a viable mid-term solution. The superiority of the introduced methodology is demonstrated through the comparative investigation.</t>
  </si>
  <si>
    <t>[Saha, Abhijit] Techno Coll Engn Agartala, Dept Math, Agartala 799004, Tripura, India; [Simic, Vladimir; Dabic-Miletic, Svetlana] Univ Belgrade, Dept Transport &amp; Traff Engn, Belgrade 11010, Serbia; [Senapati, Tapan] Southwest Univ, Dept Math &amp; Stat, Chongqing 400715, Peoples R China; [Ala, Ali] Shanghai Jiao Tong Univ, Dept Ind Engn &amp; Management, Shanghai 200240, Peoples R China</t>
  </si>
  <si>
    <t>University of Belgrade; Southwest University - China; Shanghai Jiao Tong University</t>
  </si>
  <si>
    <t>Simic, V (corresponding author), Univ Belgrade, Dept Transport &amp; Traff Engn, Belgrade 11010, Serbia.</t>
  </si>
  <si>
    <t>abhijit84.math@gmail.com; vsima@sf.bg.ac.rs; math.tapan@gmail.com; cecad@sf.bg.ac.rs; kanban@sjtu.edu.cn</t>
  </si>
  <si>
    <t>Dabic-Miletic, Svetlana/AGW-7049-2022; Simic, Vladimir/B-8837-2011; Saha, Abhijit/ACI-9007-2022; Senapati, Tapan/H-9672-2019</t>
  </si>
  <si>
    <t>Saha, Abhijit/0000-0001-7300-7623; Simic, Vladimir/0000-0001-5709-3744; Senapati, Tapan/0000-0003-0399-7486; Ala, Ali/0000-0003-4552-4732; Dabic, Svetlana/0000-0002-9316-0817</t>
  </si>
  <si>
    <t>1063-6706</t>
  </si>
  <si>
    <t>1941-0034</t>
  </si>
  <si>
    <t>IEEE T FUZZY SYST</t>
  </si>
  <si>
    <t>IEEE Trans. Fuzzy Syst.</t>
  </si>
  <si>
    <t>10.1109/TFUZZ.2022.3164053</t>
  </si>
  <si>
    <t>D1IK6</t>
  </si>
  <si>
    <t>WOS:000966325800001</t>
  </si>
  <si>
    <t>Balamurugan, J; Kasthuri, N; Sudarsan, JS; Reddy, AB; Siddi, S; Sakhare, D; Sampathkumar,</t>
  </si>
  <si>
    <t>Balamurugan, J.; Kasthuri, N.; Sudarsan, J. S.; Reddy, A. Basi; Siddi, Someshwar; Sakhare, D.; Sampathkumar, V</t>
  </si>
  <si>
    <t>An efficient wastewater collection model for groundwater resource protection in smart cities</t>
  </si>
  <si>
    <t>GROUNDWATER FOR SUSTAINABLE DEVELOPMENT</t>
  </si>
  <si>
    <t>Smart cities; Wastewater collection; Divide-and-conquer (DAC); Variable neighborhood search (VNS); Sustainability; Urban infrastructure; Environmental efficiency; Ground water</t>
  </si>
  <si>
    <t>Efficient wastewater collection is a critical concern in the development of smart cities, where sustainable urban infrastructure is paramount. In the context of smart city wastewater optimization, this study highlights the need for a comprehensive approach that considers both surface water and groundwater dynamics. Existing methods often fall short in addressing groundwater-related concerns, with limitations in accounting for potential contamination and aquifer vulnerability. The proposed method integrates a nuanced understanding of groundwater aspects, providing a more robust and sustainable solution for urban water resource management. This research introduces a new approach that harnesses the power of Divide-And-Conquer (DAC) and Variable Neighborhood Search (VNS) to optimize wastewater collection systems in smart cities. The DAC strategy divides the city into manageable zones, simplifying the optimization problem for parallel processing in large-scale urban environments. VNS fine-tunes wastewater collection networks within each zone by exploring diverse neighborhood solutions. The DAC and VNS offers several benefits, including improved efficiency in wastewater transport, reduced energy consumption, and minimized environmental impact. Zoning the urban landscape is a strategic approach to optimize wastewater collection in smart cities. It involves dividing the city into manageable zones based on specific criteria such as geographical features, population density, and infrastructure layout. Each zone is treated as an independent unit for focused analysis and optimization. The optimization process employs a scoring function that combines weighted criteria, yielding a composite score for each geographical location. Applying a threshold or clustering algorithm group's locations into zones, facilitating tailored wastewater management strategies. By optimizing collection routes and infrastructure design, this approach assists smart cities in achieving sustainability goals while efficiently managing wastewater. The study showcases the potential of DAC and VNS as a robust and adaptable solution for wastewater collection in smart cities, contributing to the development of greener, more resource-efficient urban areas.</t>
  </si>
  <si>
    <t>[Balamurugan, J.] St Josephs Coll Engn, Dept MBA, Chennai, Tamil Nadu, India; [Kasthuri, N.] Karpagam Inst Technol, Dept Chem, Coimbatore, India; [Sudarsan, J. S.] NICMAR Univ, Sch Energy &amp; Environm, Program Director Environm, Pune Campus,NIA PO, Balewadi, India; [Reddy, A. Basi] Mohan Babu Univ, Sch Comp, Dept Comp Sci &amp; Engn, Tirupati, Andhra Pradesh, India; [Siddi, Someshwar] St Martins Engn Coll, Dept Math, Secunderabad, India; [Sakhare, D.] Shivaji Arts Comm &amp; Sci Coll Aurangabad, Dept Chem, Aurangabad, Maharashtra, India; [Sampathkumar, V] Kongu Engn Coll, Dept Civil Engn, Perundurai 638060, Erode, India</t>
  </si>
  <si>
    <t>St. Joseph's College of Engineering, Chennai; Kongu Engineering College</t>
  </si>
  <si>
    <t>Balamurugan, J (corresponding author), St Josephs Coll Engn, Dept MBA, Chennai, Tamil Nadu, India.</t>
  </si>
  <si>
    <t>drjbalamuruganpdf@gmail.com; kasthuri.np@gmail.com; ssudarsan@nicmar.ac; basireddy.a@gmail.com; someshsiddi@gmail.com; sakharedhondiram@yahoo.com; anbusampathcivil@gmail.com</t>
  </si>
  <si>
    <t>Sakhare, Dipti/NUP-5643-2025; MURUGAN, Dr.J.BALA/ADO-1892-2022; VELUSAMY, SAMPATHKUMAR/D-4995-2018</t>
  </si>
  <si>
    <t>MURUGAN, J BALA/0000-0002-3093-5611; , NKASTHURI/0000-0003-0264-7206;</t>
  </si>
  <si>
    <t>2352-801X</t>
  </si>
  <si>
    <t>GROUNDWATER SUST DEV</t>
  </si>
  <si>
    <t>Groundwater Sustain. Dev.</t>
  </si>
  <si>
    <t>10.1016/j.gsd.2024.101091</t>
  </si>
  <si>
    <t>FEB 2024</t>
  </si>
  <si>
    <t>Engineering, Environmental; Environmental Sciences; Water Resources</t>
  </si>
  <si>
    <t>Engineering; Environmental Sciences &amp; Ecology; Water Resources</t>
  </si>
  <si>
    <t>KE7A0</t>
  </si>
  <si>
    <t>WOS:001178334300001</t>
  </si>
  <si>
    <t>Fontaine, P; Minner, S; Schiffer, M</t>
  </si>
  <si>
    <t>Fontaine, Pirmin; Minner, Stefan; Schiffer, Maximilian</t>
  </si>
  <si>
    <t>Smart and sustainable city logistics: Design, consolidation, and regulation</t>
  </si>
  <si>
    <t>Logistics; City logistics; Consolidation; Continuous approximation</t>
  </si>
  <si>
    <t>VEHICLE-ROUTING PROBLEMS; PLANNING APPROXIMATIONS; AVERAGE LENGTH; DELIVERY; LOCATION; MODEL</t>
  </si>
  <si>
    <t>Growing e-commerce delivery increases traffic congestion and demands for smart last-mile city distri-bution systems. In this context, municipalities and logistics service providers aim towards sustainable and profitable city logistics, which are often conflicting goals. Whether to use single-echelon or two -echelon systems with micro-depots and city freighters as well as quantifying the benefits of shipment consolidation between independent providers under different system designs are unanswered questions in academia and practice.We provide a general methodological framework based on continuous approximation theory to study the design of city logistics networks with multiple logistics service providers that choose transportation strategies, each defined by a network structure and specific transportation modes. We provide analytical results on the comparison of different transportation strategies. By providing thresholds on the benefit of consolidated systems, we analytically quantify shipment consolidation effects in city centers. We then embed this continuous approximation into a mixed-integer non-linear program and study parameter sen-sitivities for a real-world case study.Our results show that higher customer density and longer distances between depots and distribution areas promote 2-tier transportation strategies. Consolidation between logistics service providers allows for emission reductions independent of the transportation strategy and correlate with cost reductions up to 50% on the lower echelon. Outsourcing promotes 2-tier last-mile deliveries with city freighters and in a city with heterogeneous districts, it is beneficial to use a hybrid network that includes both single-and two-echelon strategies using multiple transportation modes for different demand classes.(c) 2022 Elsevier B.V. All rights reserved.</t>
  </si>
  <si>
    <t>[Fontaine, Pirmin] Catholic Univ Eichstatt Ingolstadt, Ingolstadt Sch Management, Schanz 49, D-85049 Ingolstadt, Germany; [Minner, Stefan; Schiffer, Maximilian] Tech Univ Munich, TUM Sch Management, D-80333 Munich, Germany; [Minner, Stefan; Schiffer, Maximilian] Tech Univ Munich, Munich Data Sci Inst, D-80333 Munich, Germany</t>
  </si>
  <si>
    <t>Technical University of Munich; Technical University of Munich</t>
  </si>
  <si>
    <t>Fontaine, P (corresponding author), Catholic Univ Eichstatt Ingolstadt, Ingolstadt Sch Management, Schanz 49, D-85049 Ingolstadt, Germany.</t>
  </si>
  <si>
    <t>pirmin.fontaine@ku.de</t>
  </si>
  <si>
    <t>Schiffer, Maximilian/V-3015-2018; Minner, Stefan/D-1441-2017</t>
  </si>
  <si>
    <t>Schiffer, Maximilian/0000-0003-2682-4975; Fontaine, Pirmin/0000-0002-5893-7010; Minner, Stefan/0000-0001-6127-8223</t>
  </si>
  <si>
    <t>JUN 16</t>
  </si>
  <si>
    <t>10.1016/j.ejor.2022.09.022</t>
  </si>
  <si>
    <t>FEB 2023</t>
  </si>
  <si>
    <t>9A1VT</t>
  </si>
  <si>
    <t>WOS:000933853200001</t>
  </si>
  <si>
    <t>Jaegler, A; Randrianarisoa, LM; Yahyaoui, H</t>
  </si>
  <si>
    <t>Jaegler, Anicia; Randrianarisoa, Laingo M.; Yahyaoui, Hiba</t>
  </si>
  <si>
    <t>Policy decision-support for inland waterway transport in sustainable urban areas: an analysis of economic viability</t>
  </si>
  <si>
    <t>ANNALS OF OPERATIONS RESEARCH</t>
  </si>
  <si>
    <t>Inland waterway transport; Last-mile delivery; City logistics; Economic cost; Decision-support; Carbon emissions; Case study</t>
  </si>
  <si>
    <t>VEHICLE-ROUTING PROBLEM; LOGISTICS; LOCATION</t>
  </si>
  <si>
    <t>Many cities have initiated promoting inland waterway transport to serve parcel delivery in urban areas to achieve sustainable transportation. This research aims to identify the key components of an economically viable urban network distribution, where inland waterway transport is deployed as the main transport, and cargo bikes or electric vehicles are used for last-mile delivery. The analysis uses a decision-support framework based on a two-echelon city distribution scheme. Numerical experiments are conducted using near-practical instances in France and inputs from industry stakeholders. From the study, it was found that the economic viability of inland waterways as main transport depends on the number of parcels to be delivered, and the existing infrastructures. The city configurations, their accessibility, as well as their operating conditions are also of utmost importance. The lowest CO2 equivalent emissions are obtained by combining inland waterways with electric bikes. This paper can be used as decision-making support and guidance for transport companies, industry stakeholders, and public authorities for an efficient and sustainable urban distribution network combining inland waterways and bikes/vans.</t>
  </si>
  <si>
    <t>[Jaegler, Anicia; Randrianarisoa, Laingo M.; Yahyaoui, Hiba] Kedge Business Sch, 40 Ave Terroirs France, F-75012 Paris, France</t>
  </si>
  <si>
    <t>Kedge Business School</t>
  </si>
  <si>
    <t>Jaegler, A (corresponding author), Kedge Business Sch, 40 Ave Terroirs France, F-75012 Paris, France.</t>
  </si>
  <si>
    <t>anicia.jaegler@kedgebs.com; laingo.randrianarisoa@kedgebs.com; hiba.yahyaoui@kedgebs.com</t>
  </si>
  <si>
    <t>jaegler, anicia/H-6965-2019; jaegler, anicia/O-3273-2018</t>
  </si>
  <si>
    <t>jaegler, anicia/0000-0002-3014-4561; Ranianarisoa, Laingo M/0000-0003-1985-3559</t>
  </si>
  <si>
    <t>Geoposte</t>
  </si>
  <si>
    <t>0254-5330</t>
  </si>
  <si>
    <t>1572-9338</t>
  </si>
  <si>
    <t>ANN OPER RES</t>
  </si>
  <si>
    <t>Ann. Oper. Res.</t>
  </si>
  <si>
    <t>2024 MAY 16</t>
  </si>
  <si>
    <t>10.1007/s10479-024-06034-0</t>
  </si>
  <si>
    <t>RI9M2</t>
  </si>
  <si>
    <t>WOS:001227151700002</t>
  </si>
  <si>
    <t>Ganesh, SV; Suresh, V; Barnabas, SG; Rajakarunakaran, S</t>
  </si>
  <si>
    <t>Ganesh, S. Valai; Suresh, V.; Barnabas, S. Godwin; Rajakarunakaran, S.</t>
  </si>
  <si>
    <t>Innovative solid waste management strategies for smart cities in Tamil Nadu: challenges, technological solutions, and sustainable prospects</t>
  </si>
  <si>
    <t>DISCOVER APPLIED SCIENCES</t>
  </si>
  <si>
    <t>Solid waste management; Smart cities; Urban areas; Sustainability; Circular economy</t>
  </si>
  <si>
    <t>INDIA; RECOVERY</t>
  </si>
  <si>
    <t>This study focuses on the challenges, technological solutions, and sustainability prospects of solid waste management practices in eleven smart cities in Tamil Nadu, India, through a case study. It was through a systematic review and stakeholder interviews that we assessed the current waste management infrastructure, collection, and processing capabilities in these cities. The analysis concluded that measures for waste segregation remain poor, with collection efficiencies ranging between 80 and 100% and segregation rates across the sampled cities from below 50% to 100% for varying cities. Constraints also include poor infrastructure, lack of public awareness, and financial problems. We develop an integrated waste management framework that advocates source segregation, localized processing, and waste-to-energy plans. The study has shown that the efficient use of smart technologies, the development of public-private alliances, and the principles of the circular economy would significantly enhance the effectiveness of waste management practices in the smart cities of Tamil Nadu. Policy makers and urban planners focused on ameliorating municipal solid waste management systems in fast-growing urban areas can benefit from these findings.</t>
  </si>
  <si>
    <t>[Ganesh, S. Valai; Rajakarunakaran, S.] Ramco Inst Technol, Dept Mech Engn, Rajapalayam, Tamil Nadu, India; [Suresh, V.] Natl Engn Coll, Dept Elect &amp; Commun Engn, Kovilpatti, Tamil Nadu, India; [Barnabas, S. Godwin] Vaigai Coll Engn, Dept Mech Engn, Madurai, Tamil Nadu, India</t>
  </si>
  <si>
    <t>National Engineering College - India</t>
  </si>
  <si>
    <t>Ganesh, SV (corresponding author), Ramco Inst Technol, Dept Mech Engn, Rajapalayam, Tamil Nadu, India.</t>
  </si>
  <si>
    <t>valaiganesh@ritrjpm.ac.in</t>
  </si>
  <si>
    <t>; Suresh, V/JRY-4258-2023; Vaikundam, Suresh/JRY-4258-2023; S, VALAI/ACS-5433-2022</t>
  </si>
  <si>
    <t>S, VALAI GANESH/0000-0001-7383-5066; Suresh, V/0000-0002-4795-2776;</t>
  </si>
  <si>
    <t>National Engineering College; Ministry of Housing and Urban Affairs, Government of India</t>
  </si>
  <si>
    <t>RAMCO Institute of Technology and National Engineering College helped the research greatly with their knowledge, even though they might not agree with all of the ideas in this paper. The Tamil Nadu Pollution Control Board for granting access to crucial waste management data and reports. The municipal corporations of the 11 smart cities in Tamil Nadu for their cooperation in data collection and for facilitating field visits to waste management facilities. The Ministry of Housing and Urban Affairs, Government of India, for providing information and resources related to the Smart Cities Mission. The waste management professionals, municipal officials, and community members who participated in our surveys and interviews, offering invaluable insights into the ground realities of solid waste management in Tamil Nadu.</t>
  </si>
  <si>
    <t>3004-9261</t>
  </si>
  <si>
    <t>DISCOV APPL SCI</t>
  </si>
  <si>
    <t>DISCOV. APPL. SCI.</t>
  </si>
  <si>
    <t>DEC 3</t>
  </si>
  <si>
    <t>10.1007/s42452-024-06404-0</t>
  </si>
  <si>
    <t>O2G2T</t>
  </si>
  <si>
    <t>WOS:001369371900003</t>
  </si>
  <si>
    <t>Rao, PSVS; Bhadula, S; Balasubramani, R; Suryawanshi, PB; Yadav, AK; Vekariya, D</t>
  </si>
  <si>
    <t>Rao, P. S. V. Srinivasa; Bhadula, Shuchi; Balasubramani, R.; Suryawanshi, P. B.; Yadav, Ajay Kumar; Vekariya, Daxa</t>
  </si>
  <si>
    <t>Adaptive Traffic Management in Smart Cities using Deep Reinforcement Learning for IoT Mobile Ad Hoc Networks</t>
  </si>
  <si>
    <t>2024 SECOND INTERNATIONAL CONFERENCE ON INTELLIGENT CYBER PHYSICAL SYSTEMS AND INTERNET OF THINGS, ICOICI 2024</t>
  </si>
  <si>
    <t>2nd International Conference on Intelligent Cyber Physical Systems and Internet of Things (ICoICI)</t>
  </si>
  <si>
    <t>AUG 28-30, 2024</t>
  </si>
  <si>
    <t>JCT Coll Engn &amp; Technol, Coimbatore, INDIA</t>
  </si>
  <si>
    <t>JCT Coll Engn &amp; Technol</t>
  </si>
  <si>
    <t>adaptive traffic management; deep reinforcement learning; smart cities; parking space optimization; IoT integration</t>
  </si>
  <si>
    <t>This research evaluates four Deep Reinforcement Learning (DRL) algorithms-TD3, SAC, Rainbow DQN, and TRPO-for their effectiveness in adaptive traffic management, specifically in optimizing parking space management in smart cities. The algorithms were assessed based on key performance metrics: TD3 achieved a reward score of 85.6 with Actor Loss of 0.023, Critic Loss of 0.041, and 72 hours of training time. SAC outperformed with a reward score of 88.2, Actor Loss of 0.018, Critic Loss of 0.035, and 68 hours of training. Rainbow DQN achieved a competitive reward score of 87.4, Q-value of 0.075, Loss of 0.027, and 80 hours of training. TRPO attained a reward score of 86.8, Policy Loss of 0.032, Value Function Loss of 0.021, and 75 hours of training. SAC has shown best performance across the board, achieving a good exploration and exploitation trade-off. While Rainbow DQN can be seen excelling on tasks with discrete action spaces, the TD3 and TRPO clearly outperformed the others from continuous control task performance and a robust stable policy update of following iterations perspective respectively. The results show that SAC had the best overall performance with demonstrating a good trade-off between exploration and exploitation. While Rainbow DQN was robust to dilution in discrete action spaces, TD3 and TRPO performed well on continuous control tasks and stable policy updates respectively. These results give further evidence to the potential of DRL for real-world applications, such as dynamically assigning parking slots and directing traffic in cities towards efficient city-wide mobility. Future research may examine the further integration of real-time IoT data and increased scalability for citywide implementations to deliver smarter, more adaptive, traffic management solutions that account for the complexities of today's urban areas.</t>
  </si>
  <si>
    <t>[Rao, P. S. V. Srinivasa] Joginpally BR Engn Coll, Dept CSE, Hyderabad 500075, Telangana, India; [Bhadula, Shuchi] Graph Era Deemed Univ, Dept Comp Sci &amp; Engn, Dehra Dun 248002, Uttarakhand, India; [Balasubramani, R.] NITTE Deemed Univ, NMAM Inst Technol, Dept Informat Sci &amp; Engn, Nitte 574110, Karnataka, India; [Suryawanshi, P. B.] IBMRD, Dept MBA, Po MIDC Nr Coll Engn, Ahmednagar 414111, Maharashtra, India; [Yadav, Ajay Kumar] United Inst Management, Dept Comp Applicat, Prayagraj 211010, Uttar Pradesh, India; [Vekariya, Daxa] Parul Univ, Parul Inst Engn &amp; Technol, Dept Comp Sci &amp; Engn, Post Limda, Limda 391760, Gujarat, India</t>
  </si>
  <si>
    <t>Graphic Era University; NITTE (Deemed to be University); NMAM Institute of Technology; Parul University; Parul Institute of Engineering &amp; Technology</t>
  </si>
  <si>
    <t>Rao, PSVS (corresponding author), Joginpally BR Engn Coll, Dept CSE, Hyderabad 500075, Telangana, India.</t>
  </si>
  <si>
    <t>ParimiRao66@gmail.com; shuchibhadula.cse@geu.ac.in; balasubramani.r@nitte.edu.in; pbsphd2016@gmail.com; ajaykumar.uim@gmail.com; daxa.vekariya18436@paruluniversity.ac.in</t>
  </si>
  <si>
    <t>Yadav, Ajay/HDL-7860-2022; R, Balasubramani/X-5389-2019</t>
  </si>
  <si>
    <t>Yadav, Ajay Kumar/0000-0002-4787-4093</t>
  </si>
  <si>
    <t>979-8-3315-4066-1; 979-8-3315-4067-8</t>
  </si>
  <si>
    <t>10.1109/ICOICI62503.2024.10696734</t>
  </si>
  <si>
    <t>BX8VZ</t>
  </si>
  <si>
    <t>WOS:001339488100059</t>
  </si>
  <si>
    <t>Yan, Z; Ding, HP; Chen, L</t>
  </si>
  <si>
    <t>Yan, Zhu; Ding, Huiping; Chen, Lu</t>
  </si>
  <si>
    <t>The analyzing the role of electric vehicles in urban logistics: A case of China</t>
  </si>
  <si>
    <t>FRONTIERS IN ENVIRONMENTAL SCIENCE</t>
  </si>
  <si>
    <t>urban logistics (UL); electric vehicle (EV); economic valuation; government policy; environment; carbon trading (CT)</t>
  </si>
  <si>
    <t>SUSTAINABLE SUPPLY CHAIN; CITY LOGISTICS; POLICY OPTIONS; FREIGHT; MODEL; PRICE; INNOVATION; DECISIONS; BARRIERS; MOBILITY</t>
  </si>
  <si>
    <t>In recent years, the rapid development of electric vehicles has gained widespread attention, and has especially brought new vitality to the fast-growing logistics service industry. Electric vehicles in urban logistics are not only ideal transportation tools but also do not affect the environment. This study thus implements the economic valuation of electric vehicles in urban logistics from the viewpoints of both manufacturers and business users through the investigation of pricing mechanism and discusses the potential for improving policy-making together with the real case in China. The net present value (NPV) approach is used to quantitatively analyze the investment decisions of urban logistics electric vehicles, with government regulation, incentive policy, and carbon emission trading taken into consideration. Our findings provide insights into the decision-making mechanism for commercializing electric vehicles in urban logistics that involves optimizing the government subsidy and transaction price between the manufacturers and business users. The results imply that with rationalized government policy incentives and coordinated transaction price, both manufacturers and business users are expected to achieve their break-even in limited time periods. The carbon cap placed on business users rather than manufacturers would be relatively more conducive to the marketization process.</t>
  </si>
  <si>
    <t>[Yan, Zhu; Ding, Huiping; Chen, Lu] Beijing Jiaotong Univ, Sch Econ &amp; Management, Beijing, Peoples R China</t>
  </si>
  <si>
    <t>Beijing Jiaotong University</t>
  </si>
  <si>
    <t>Ding, HP (corresponding author), Beijing Jiaotong Univ, Sch Econ &amp; Management, Beijing, Peoples R China.</t>
  </si>
  <si>
    <t>hpding@bjtu.edu.cn</t>
  </si>
  <si>
    <t>National Natural Science Foundation of China [71372012]; Beijing Planning Office of Philosophy and Social Science Foundation of China [13JGB021]; China Scholarship Council [202007090179]</t>
  </si>
  <si>
    <t>National Natural Science Foundation of China(National Natural Science Foundation of China (NSFC)); Beijing Planning Office of Philosophy and Social Science Foundation of China; China Scholarship Council(China Scholarship Council)</t>
  </si>
  <si>
    <t>This research is supported by the National Natural Science Foundation of China with grant no. 71372012 and the Beijing Planning Office of Philosophy and Social Science Foundation of China with grant no. 13JGB021. ZY is grateful for the support provided by the China Scholarship Council (no. 202007090179).</t>
  </si>
  <si>
    <t>2296-665X</t>
  </si>
  <si>
    <t>FRONT ENV SCI-SWITZ</t>
  </si>
  <si>
    <t>Front. Environ. Sci.</t>
  </si>
  <si>
    <t>FEB 21</t>
  </si>
  <si>
    <t>10.3389/fenvs.2023.1128079</t>
  </si>
  <si>
    <t>9P2AV</t>
  </si>
  <si>
    <t>WOS:000944091900001</t>
  </si>
  <si>
    <t>Harazha, O; Shevchuk, D</t>
  </si>
  <si>
    <t>Slavinska, O; Danchuk, V; Kunytska, O; Hulchak, O</t>
  </si>
  <si>
    <t>Harazha, Olena; Shevchuk, Dmytro</t>
  </si>
  <si>
    <t>Smart Logistics in the Organization of Air Transportation</t>
  </si>
  <si>
    <t>INTELLIGENT TRANSPORT SYSTEMS: ECOLOGY, SAFETY, QUALITY, COMFORT, ITS ESQC 2024, VOL 1</t>
  </si>
  <si>
    <t>2nd International Scientific Conference Intelligent Transport Systems Ecology Safety Quality Comfort-ITS ESQC</t>
  </si>
  <si>
    <t>NOV 26-27, 2024</t>
  </si>
  <si>
    <t>Kyiv, UKRAINE</t>
  </si>
  <si>
    <t>Smart Logistics; Air Transportation; Internet of Things (IoT); Artificial Intelligence (AI); Blockchain; Cargo Tracking; Route Optimization; Logistics as a Service (LAAS)</t>
  </si>
  <si>
    <t>The article is devoted to smart logistics in the organization of air transportation of cargo and passengers in modern economic, political, and social development conditions under the influence of the digital economy and globalization processes. The theoretical provisions regarding the formation of smart logistics, which includes the latest technological and innovative processes and replaces traditional methods of managing chain freight transportation with more efficient, more complex network systems connected to the global logistics system, are considered. The main stages of the development and implementation of smart logistics in the organization of air transportation are highlighted, including: 1) the initial stage; 2) analytical stage; 3) intellectual stage. It was found that during the period of 2020-2021, the transportation of passengers increased, and cargo decreased. It has been proven that the state faces an acute problem of resuming the operation of airports and providing them with qualified staff to ensure flight safety. It was found that the closed airspace led to the loss of qualified personnel, the suspension of the development of logistics services, and the introduction of advanced smart logistics technologies. The advantages of automated processes are revealed: reduction of the cost of specific operations; exclusion of errors by the employee; reduction of delivery time; increase in orders; maximum accuracy; preventing the influence of external factors; information support.</t>
  </si>
  <si>
    <t>[Harazha, Olena; Shevchuk, Dmytro] Natl Aviat Univ, Lubomyra Huzara Ave, UA-03058 Kyiv, Ukraine</t>
  </si>
  <si>
    <t>Ministry of Education &amp; Science of Ukraine; State University Kyiv Aviation Institute</t>
  </si>
  <si>
    <t>Harazha, O (corresponding author), Natl Aviat Univ, Lubomyra Huzara Ave, UA-03058 Kyiv, Ukraine.</t>
  </si>
  <si>
    <t>oasissun@ukr.net</t>
  </si>
  <si>
    <t>Shevchuk, Olena/0000-0003-4117-1474</t>
  </si>
  <si>
    <t>978-3-031-87375-1; 978-3-031-87376-8</t>
  </si>
  <si>
    <t>10.1007/978-3-031-87376-8_33</t>
  </si>
  <si>
    <t>BY9KD</t>
  </si>
  <si>
    <t>WOS:001512824500033</t>
  </si>
  <si>
    <t>Shrestha, S; Haarstad, H; Rauws, W; Buijs, P</t>
  </si>
  <si>
    <t>Shrestha, Subina; Haarstad, Havard; Rauws, Ward; Buijs, Paul</t>
  </si>
  <si>
    <t>From experiments to organizational change: Learning from urban logistics projects in Groningen and Bergen</t>
  </si>
  <si>
    <t>TECHNOLOGICAL FORECASTING AND SOCIAL CHANGE</t>
  </si>
  <si>
    <t>Urban experimentation; Learning; Governance; Sustainability transitions; Urban logistics; Organizational change</t>
  </si>
  <si>
    <t>CITY LOGISTICS; TRANSITIONS; PERSPECTIVE; MANAGEMENT; GOVERNMENT; GOVERNANCE; INNOVATION; DYNAMICS; CITIES</t>
  </si>
  <si>
    <t>Cities are increasingly employing experimentation to address complex sustainability challenges. Experimentation, premised on learning-by-doing, offers organizations the space to test interventions and learn from them. However, it is not clear whether and how experiments bring about organizational changes through learning. This paper seeks to scrutinize the relationship between experimentation, learning, and organizational change, and asks: To what extent does learning from experimentation bring about organizational change? Drawing on the literature on urban governance and sustainability transitions in the context of experimentation and learning, we conduct a cross-case comparison of four urban logistics experiments in the cities of Bergen and Groningen. Our findings show that whilst experiments indeed generate learning, this is not sufficient to bring about organizational change. Learning from the experiments themselves needs to be coupled with persistent relational work within and between organizations, in order to turn experimentation into actual organizational change.</t>
  </si>
  <si>
    <t>[Shrestha, Subina; Haarstad, Havard] Univ Bergen, Dept Geog, POB 7802, N-5020 Bergen, Norway; [Shrestha, Subina; Haarstad, Havard] Univ Bergen, Ctr Climate &amp; Energy Transformat, POB 7802, N-5020 Bergen, Norway; [Rauws, Ward] Univ Groningen, Fac Spatial Sci, Dept Planning, NL-9747 AD Groningen, Netherlands; [Buijs, Paul] Univ Groningen, Fac Econ &amp; Business, Dept Operat, NL-9747 AE Groningen, Netherlands</t>
  </si>
  <si>
    <t>University of Bergen; University of Bergen; University of Groningen; University of Groningen</t>
  </si>
  <si>
    <t>Shrestha, S (corresponding author), POB 7802, N-5020 Bergen, Norway.</t>
  </si>
  <si>
    <t>Subina.shrestha@uib.no</t>
  </si>
  <si>
    <t>Buijs, Paul/0000-0001-5214-6763; Shrestha, Subina/0000-0003-3944-8868</t>
  </si>
  <si>
    <t>Research Council of Norway [308790]</t>
  </si>
  <si>
    <t>Research Council of Norway(Research Council of Norway)</t>
  </si>
  <si>
    <t>This work was supported by the Research Council of Norway [Grant Number: 308790] .</t>
  </si>
  <si>
    <t>ELSEVIER SCIENCE INC</t>
  </si>
  <si>
    <t>STE 800, 230 PARK AVE, NEW YORK, NY 10169 USA</t>
  </si>
  <si>
    <t>0040-1625</t>
  </si>
  <si>
    <t>1873-5509</t>
  </si>
  <si>
    <t>TECHNOL FORECAST SOC</t>
  </si>
  <si>
    <t>Technol. Forecast. Soc. Chang.</t>
  </si>
  <si>
    <t>10.1016/j.techfore.2025.124023</t>
  </si>
  <si>
    <t>FEB 2025</t>
  </si>
  <si>
    <t>Business; Regional &amp; Urban Planning</t>
  </si>
  <si>
    <t>Business &amp; Economics; Public Administration</t>
  </si>
  <si>
    <t>X0L0N</t>
  </si>
  <si>
    <t>WOS:001422360900001</t>
  </si>
  <si>
    <t>Rao, CJ; Goh, M; Zhao, Y; Zheng, JJ</t>
  </si>
  <si>
    <t>Rao, Congjun; Goh, Mark; Zhao, Yong; Zheng, Junjun</t>
  </si>
  <si>
    <t>Location selection of city logistics centers under sustainability</t>
  </si>
  <si>
    <t>City logistics centers; Location selection; Sustainability; THOWA operator; TOPSIS</t>
  </si>
  <si>
    <t>GROUP DECISION-MAKING; NETWORK DESIGN PROBLEM; FACILITY LOCATION; AGGREGATION OPERATORS; ALGORITHM; MANAGEMENT; MODEL; UNCERTAINTY; HEURISTICS; EMISSIONS</t>
  </si>
  <si>
    <t>City Logistics Centers (CLC) are an important part of the modern urban logistics system, and the selection of the location of a CLC has become a key problem in logistics and supply chain management. Integrating the economic, environmental, and social dimensions of sustainable development, this paper presents a new evaluation system for the location selection of a CLC from a sustainability perspective. A fuzzy multi-attribute group decision making (FMAGDM) technique based on a linguistic 2-tuple is used to evaluate potential alternative CLC locations. In this method, the linguistic evaluation values of all the evaluation criteria are transformed into linguistic 2-tuples. A new 2-tuple hybrid ordered weighted averaging (THOWA) operator is presented to aggregate the overall evaluation values of all experts into a collective evaluation value for each alternative, which is then used to rank and select alternative CLC locations. An application example is provided to validate the method developed and to highlight the implementation, practicality, and effectiveness by comparing with the fuzzy Technique for Order of Preference by Similarity to Ideal Solution (TOPSIS) method. (C) 2015 Elsevier Ltd. All rights reserved.</t>
  </si>
  <si>
    <t>[Rao, Congjun; Zhao, Yong] Huazhong Univ Sci &amp; Technol, Inst Syst Engn, Wuhan 430074, Peoples R China; [Rao, Congjun] Huanggang Normal Univ, Coll Math &amp; Phys, Huanggang 438000, Peoples R China; [Goh, Mark] RMIT Univ, Sch Business IT &amp; Logist, Melbourne, Vic, Australia; [Goh, Mark] RMIT Univ, Platform Technol Res Inst, Melbourne, Vic, Australia; [Zheng, Junjun] Wuhan Univ, Sch Econ &amp; Management, Wuhan 430072, Peoples R China</t>
  </si>
  <si>
    <t>Huazhong University of Science &amp; Technology; Huanggang Normal University; Royal Melbourne Institute of Technology (RMIT); Royal Melbourne Institute of Technology (RMIT); Wuhan University</t>
  </si>
  <si>
    <t>Rao, CJ (corresponding author), Huazhong Univ Sci &amp; Technol, Inst Syst Engn, Wuhan 430074, Peoples R China.</t>
  </si>
  <si>
    <t>cjrao@foxmail.com</t>
  </si>
  <si>
    <t>; goh, mark/G-1689-2010; Zhao, Yong/OGQ-6191-2025; goh, mark/GQO-8860-2022</t>
  </si>
  <si>
    <t>Rao, Congjun/0000-0002-1045-559X; goh, mark/0000-0002-3620-7658; Zheng, Junjun/0000-0002-6687-6617;</t>
  </si>
  <si>
    <t>National Natural Science Foundation of China [71201064, 61273206, 71371147]; Postdoctoral Science Foundation of China [2012M521432]; Special Fund of Postdoctoral Science Foundation of China [2013T60724]; Natural Science Foundation of Hubei Province, China [2014CFC1096]; Key Project of Hubei provincial Department of Education, China [D20142903]</t>
  </si>
  <si>
    <t>National Natural Science Foundation of China(National Natural Science Foundation of China (NSFC)); Postdoctoral Science Foundation of China(China Postdoctoral Science Foundation); Special Fund of Postdoctoral Science Foundation of China; Natural Science Foundation of Hubei Province, China(Natural Science Foundation of Hubei Province); Key Project of Hubei provincial Department of Education, China</t>
  </si>
  <si>
    <t>This work is supported by the National Natural Science Foundation of China (Nos. 71201064, 61273206, 71371147), the Postdoctoral Science Foundation of China (No. 2012M521432), the Special Fund of Postdoctoral Science Foundation of China (No. 2013T60724), the Natural Science Foundation of Hubei Province, China (No. 2014CFC1096), and the 2014 Key Project of Hubei provincial Department of Education, China (No. D20142903).</t>
  </si>
  <si>
    <t>10.1016/j.trd.2015.02.008</t>
  </si>
  <si>
    <t>CH0WF</t>
  </si>
  <si>
    <t>WOS:000353742400004</t>
  </si>
  <si>
    <t>Heitz, A; Berthon, J</t>
  </si>
  <si>
    <t>Heitz, Adeline; Berthon, Juliette</t>
  </si>
  <si>
    <t>In search of operational tools in urban planning for the development of urban logistics spaces: the case of logistics urban design in Paris</t>
  </si>
  <si>
    <t>TRANSPORTATION PLANNING AND TECHNOLOGY</t>
  </si>
  <si>
    <t>Logistics urban design; urban logistics; project management; urban project; urban governance</t>
  </si>
  <si>
    <t>FREIGHT TRANSPORT; CITY LOGISTICS</t>
  </si>
  <si>
    <t>The rise of proximity logistics and e-commerce has intensified the need for stronger public policies on logistics areas. However, a lack of operational urban planning tools hinders policy implementation, creating a gap between planning objectives and actual projects. Simultaneously, urban planning is shifting from a regulatory to a project-based approach. In response, the City of Paris has developed innovative logistics urban planning schemes, integrating logistics into mixed-use projects. By leveraging urban design and assuming a proactive role, it encourages developers to include logistics spaces. This article examines two key initiatives: Call for Innovative Urban Projects (CIUPs) and Perimeter of Location (PLOCs). Through participant observation and interviews during Paris's 2021 bioclimatic PLU pre-consultation, we analyze their impact on governance. Findings reveal that urban logistics design improves project integration but faces challenges, including expertise gaps, market constraints, and land ownership issues.</t>
  </si>
  <si>
    <t>[Heitz, Adeline] CNAM, LIRSA, 292 Rue St Martin, F-75003 Paris, France; [Berthon, Juliette] Sogaris Paris, Paris, France</t>
  </si>
  <si>
    <t>heSam Universite; Conservatoire National Arts &amp; Metiers (CNAM)</t>
  </si>
  <si>
    <t>Heitz, A (corresponding author), CNAM, LIRSA, 292 Rue St Martin, F-75003 Paris, France.</t>
  </si>
  <si>
    <t>adeline.heitz@lecnam.net</t>
  </si>
  <si>
    <t>0308-1060</t>
  </si>
  <si>
    <t>1029-0354</t>
  </si>
  <si>
    <t>TRANSPORT PLAN TECHN</t>
  </si>
  <si>
    <t>Transp. Plan. Technol.</t>
  </si>
  <si>
    <t>2025 MAR 12</t>
  </si>
  <si>
    <t>10.1080/03081060.2025.2476747</t>
  </si>
  <si>
    <t>Z9G9A</t>
  </si>
  <si>
    <t>WOS:001441914000001</t>
  </si>
  <si>
    <t>Nguyen, DN; Usuda, Y; Imamura, F</t>
  </si>
  <si>
    <t>Nguyen, David N.; Usuda, Yuichiro; Imamura, Fumihiko</t>
  </si>
  <si>
    <t>Gaps in and Opportunities for Disaster Risk Reduction in Urban Areas Through International Standardization of Smart Community Infrastructure</t>
  </si>
  <si>
    <t>risk management; resiliency; sustainability; disasters; smart cities</t>
  </si>
  <si>
    <t>CLIMATE-CHANGE ADAPTATION; PREPAREDNESS; INTEGRATION; RESILIENCE; PRIVACY</t>
  </si>
  <si>
    <t>Global communities are becoming increasingly vulnerable to natural hazards and climate change, and the rapid pace of urbanization exacerbates these risks. According to the World Bank, approximately 50% of the world's population lives in areas exposed to natural hazards, making the need to overcome the challenges to sustainable urban development pressing. The increasing frequency of heavy rain, flooding, landslides, and wildfires underscores the urgent need for disaster risk mitigation strategies, aligned with sustainable development goals. Infrastructure plays a crucial role in cultivating resilient cities that can withstand, recover from, and adapt to disasters, while promoting long-term sustainability, by minimizing environmental degradation and encouraging responsible development. International standards for smart community infrastructure provide significant advantages, including cost reductions, technology transfer, and enhanced innovation through improved global competitiveness. This paper investigates how these standards can empower community stakeholders to strengthen both the resilience and sustainability of urban areas, facilitating balanced growth that addresses environmental and social demands.</t>
  </si>
  <si>
    <t>[Nguyen, David N.] Ritsumeikan Asia Pacific Univ, Coll Sustainabil &amp; Tourism, Beppu, Oita 8740011, Japan; [Usuda, Yuichiro] Natl Res Inst Earth Sci &amp; Disaster Resilience, Ibaraki 3050006, Japan; [Imamura, Fumihiko] Tohoku Univ, Int Res Inst Disaster Sci, Sendai, Miyagi 9800845, Japan</t>
  </si>
  <si>
    <t>Ritsumeikan Asia Pacific University; National Research Institute for Earth Science &amp; Disaster Resilience; Tohoku University</t>
  </si>
  <si>
    <t>Nguyen, DN (corresponding author), Ritsumeikan Asia Pacific Univ, Coll Sustainabil &amp; Tourism, Beppu, Oita 8740011, Japan.</t>
  </si>
  <si>
    <t>nguyen.david.ngoc.a6@alumni.tohoku.ac.jp; usuyu@bosai.go.jp; fumihiko.imamura.c3@tohoku.ac.jp</t>
  </si>
  <si>
    <t>; Nguyen, David/C-1546-2019; USUDA, Yuichiro/AAF-3290-2020</t>
  </si>
  <si>
    <t>Imamura, Fumihiko/0000-0001-7628-575X; Nguyen, David/0000-0001-8902-8461; 臼田, 裕一郎/0000-0002-8660-7270</t>
  </si>
  <si>
    <t>Ministry of Economy, Trade and Industry, Japan; JST OPERA Prog. [JPMJOP1852]</t>
  </si>
  <si>
    <t>Ministry of Economy, Trade and Industry, Japan(Ministry of Economy, Trade &amp; Industry of Japan (METI)); JST OPERA Prog.</t>
  </si>
  <si>
    <t>This research was supported by a project from the Ministry of Economy, Trade and Industry, Japan, for the development of international standardization standards, and the JST OPERA Prog. on the Creation of R-EIC (Resilient-Energy-Information-Communication) Converged Network Infrastructure based on Overall Optimization of Autonomous Distributed Decentralized Cooperative DC Microgrids (JPMJOP1852).</t>
  </si>
  <si>
    <t>10.3390/su16219586</t>
  </si>
  <si>
    <t>L6S4Q</t>
  </si>
  <si>
    <t>WOS:001351993700001</t>
  </si>
  <si>
    <t>Przybylska, E; Kramarz, M; Dohn, K</t>
  </si>
  <si>
    <t>Przybylska, Edyta; Kramarz, Marzena; Dohn, Katarzyna</t>
  </si>
  <si>
    <t>Analysis of stakeholder roles in balancing freight transport in the city logistics ecosystem</t>
  </si>
  <si>
    <t>Urban freight transport (UFT); Stakeholders; Roles of stakeholders; Sustainable freight transport; Urban logistics ecosystem; Sustainable urban freight transport (SUFT)</t>
  </si>
  <si>
    <t>INNOVATION ECOSYSTEMS; URBAN; MANAGEMENT; SYSTEMS; CHOICE; CITIES</t>
  </si>
  <si>
    <t>The current guidelines for urban freight transport are determined by sustainability objectives. Therefore, local authorities face the challenge of making urban freight transport sustainable. To do so, it is necessary to involve the various stakeholder groups of the city logistics ecosystem in ongoing sustainability efforts. This problem formed the basis for our formulated objective of this article, which is to analyse the roles of stakeholders in freight transport sustainability in the city logistics ecosystem. For the purpose of the objective thus formulated, in the article, we identified the roles of stakeholders in balancing freight transport. In addition, we have identified the freight transport balancing tasks in the city logistics ecosystem in which the stakeholders assigned to each identified role should be involved. The methodology we adopted for identifying stakeholder roles and assigning them to tasks in the city logistics ecosystem is universal. In the stakeholder analysis, we used expert research, where we first identified 16 stakeholder roles adopted in balancing freight transport in the city logistics ecosystem. We assigned these roles to the eight identified tasks in the city logistics ecosystem. To verify the adopted methodology, we conducted research in Polish cities. As part of them, we identified a group of 20 stakeholders (out of 30 considered) who perform 10 out of 16 roles (six roles were not identified in Polish cities). It is unfortunate that for Polish cities we did not identify any stakeholders performing the role of freight transport balancing leader. The recommendation for Polish city authorities is to include the 20 identified stakeholder groups in the individual identified freight balancing tasks in the city logistics ecosystem.</t>
  </si>
  <si>
    <t>[Przybylska, Edyta; Kramarz, Marzena; Dohn, Katarzyna] Silesian Tech Univ, Fac Org &amp; Management, Ul Roosevelta 26, PL-41800 Zabrze, Poland</t>
  </si>
  <si>
    <t>Przybylska, E (corresponding author), Silesian Tech Univ, Fac Org &amp; Management, Ul Roosevelta 26, PL-41800 Zabrze, Poland.</t>
  </si>
  <si>
    <t>edyta.przybylska@polsl.pl; marzena.kramarz@polsl.pl; katarzyna.dohn@polsl.pl</t>
  </si>
  <si>
    <t>Dohn, Katarzyna/S-3513-2018</t>
  </si>
  <si>
    <t>Silesian University of Technology [13/050/BK-23/0006]; Transport and Logistics Observatory [13/040/FSD20/0094]</t>
  </si>
  <si>
    <t>Silesian University of Technology; Transport and Logistics Observatory</t>
  </si>
  <si>
    <t>The research presented in the paper was supported by Silesian University of Technology (13/050/BK-23/0006) and Transport and Logistics Observatory (13/040/FSD20/0094).</t>
  </si>
  <si>
    <t>10.1016/j.rtbm.2023.101009</t>
  </si>
  <si>
    <t>JUL 2023</t>
  </si>
  <si>
    <t>N9UX2</t>
  </si>
  <si>
    <t>WOS:001040387800001</t>
  </si>
  <si>
    <t>Bindzar, P; Marasova, D; Brodny, J; Tutak, M; Ulewicz, R; Sliva, A</t>
  </si>
  <si>
    <t>Bindzar, Peter; Marasova, Daniela; Brodny, Jaroslaw; Tutak, Magdalena; Ulewicz, Robert; Sliva, Ales</t>
  </si>
  <si>
    <t>Modeling the Impact of Intersection Design Configurations on Traffic Flow During Peak Hour in Smart Cities: A Case Study on Urban Roads in Slovakia</t>
  </si>
  <si>
    <t>Urban areas; Road traffic; vehicle safety; Transportation; Computational modeling; Analytical models; Traffic control; Traffic congestion; Roundabouts; signalized intersection; simulation; traffic flow optimization; traffic model</t>
  </si>
  <si>
    <t>SIMULATION; CITY</t>
  </si>
  <si>
    <t>The aim of this article is to gain valuable insights into the performance and effectiveness of intersection design configurations and their impact on traffic flow during peak hour in urban road networks. The study focuses on a case study in the second largest city of the country, and considers three different scenarios: 1) replacing some of the signalized intersection with a roundabout; 2) replacing all signalized intersections with roundabouts; and 3) optimizing the signal plans of existing signalized intersections. The study uses mesoscopic simulation and measures traffic flow efficiency, including delays and queues, to analyze and compare the performance of each scenario. The research methodology involves conducting a comparative analysis of different scenarios, as well as data collection, traffic surveys, and the creation of simulation models using the PTV Vissim software. The results indicate that the most effective solution is to modify signal plans while preserving the traditional signalized intersections. The research also provides insights into the advantages and disadvantages of different intersection designs, which can aid decision-makers in selecting and implementing the most appropriate solution to accommodate evolving traffic demands in urban areas.</t>
  </si>
  <si>
    <t>[Bindzar, Peter; Marasova, Daniela] Tech Univ Kosice, Inst Logist &amp; Transport, BERG Fac, Kosice 04200, Slovakia; [Brodny, Jaroslaw] Silesian Tech Univ, Fac Org &amp; Management, PL-44100 Gliwice, Poland; [Tutak, Magdalena] Silesian Tech Univ, Fac Min Safety Engn &amp; Ind Automat, PL-44100 Gliwice, Poland; [Ulewicz, Robert] Czestochowa Tech Univ, Dept Prod Engn &amp; Safety, Fac Management, PL-42201 Czestochowa, Poland; [Sliva, Ales] VSB Tech Univ Ostrava, Inst Transport, Ostrava 70833, Czech Republic</t>
  </si>
  <si>
    <t>Technical University Kosice; Silesian University of Technology; Silesian University of Technology; Technical University Czestochowa; Technical University of Ostrava</t>
  </si>
  <si>
    <t>Bindzar, P (corresponding author), Tech Univ Kosice, Inst Logist &amp; Transport, BERG Fac, Kosice 04200, Slovakia.</t>
  </si>
  <si>
    <t>peter.bindzar@tuke.sk</t>
  </si>
  <si>
    <t>Tutak, Magdalena/AAH-1036-2019; Bindzar, Peter/D-9690-2013; Marasova, Daniela/A-9649-2013; Ulewicz, Robert/V-4423-2018; Slíva, Aleš/P-4753-2019; Ulewicz, Robert/M-3979-2018</t>
  </si>
  <si>
    <t>Bindzar, Peter/0000-0002-7526-4575; Slíva, Aleš/0000-0001-6109-3616; Ulewicz, Robert/0000-0002-5694-4284;</t>
  </si>
  <si>
    <t>Project Students Grant Competition ''Applied Research, Experimental Development and Innovation in Transport and Logistics''; Ministry of Education, Youth and Sports and Faculty of Mechanical Engineering, Vysoka skolabanska-Technical University of Ostrava (VSB-TUO) [SP2024/095]; European Union (EU); State Budget of Czech Republic [CZ.02.01.01/00/22_008/0004631]; EU through the REFRESH-Research Excellence For REgion Sustainability and High-Tech Industries via the Operational Programme Just Transition [CZ.10.03.01/00/22_003/0000048]</t>
  </si>
  <si>
    <t>Project Students Grant Competition ''Applied Research, Experimental Development and Innovation in Transport and Logistics''; Ministry of Education, Youth and Sports and Faculty of Mechanical Engineering, Vysoka skolabanska-Technical University of Ostrava (VSB-TUO); European Union (EU)(European Union (EU)CGIAR); State Budget of Czech Republic; EU through the REFRESH-Research Excellence For REgion Sustainability and High-Tech Industries via the Operational Programme Just Transition</t>
  </si>
  <si>
    <t>This work was supported in part by the project Students Grant Competition ''Applied Research, Experimental Development and Innovation in Transport and Logistics'' financed by the Ministry of Education, Youth and Sports and Faculty of Mechanical Engineering, Vysoka skolabanska-Technical University of Ostrava (VSB-TUO), under Grant SP2024/095; in part by the Materials and Technologies for Sustainable Development within the Jan Amos Komensky Operational Program financed by the European Union (EU) and the State Budget of Czech Republic under Grant CZ.02.01.01/00/22_008/0004631; and in part by the EU through the REFRESH-Research Excellence For REgion Sustainability and High-Tech Industries via the Operational Programme Just Transition under Project CZ.10.03.01/00/22_003/0000048.</t>
  </si>
  <si>
    <t>10.1109/ACCESS.2024.3412709</t>
  </si>
  <si>
    <t>UW5I2</t>
  </si>
  <si>
    <t>WOS:001251109900001</t>
  </si>
  <si>
    <t>Zhan, JS; Dong, SF; Hu, W</t>
  </si>
  <si>
    <t>Zhan, Jinsong; Dong, Shaofeng; Hu, Wei</t>
  </si>
  <si>
    <t>IoE-supported smart logistics network communication with optimization and security</t>
  </si>
  <si>
    <t>Goods and services can be tracked in real-time with smart logistics. Smart logistics have been utilized by enterprises, transportation applications, and delivery services for some time now. The primary objective of logistics management is to find the most efficient and cost-effective methods to move resources and goods from their starting point to their final destination and the customer. Logistics is still plagued by high prices and poor efficiency in the current industry. These issues can be solved with the development of smart logistics. Several industries and business solutions rely heavily on a logistics system to handle transportation issues and save costs. The Internet of Everything Smart Logistic Network (IoE-SLN) has been suggested in this paper. Various applications for logistics systems are integrated into many systems, and they cost a lot and are not utilized in certain cases, making it difficult to justify their purchase. IoE is important in information and communication technology because it can generate vast amounts of data and evaluate the complex links between transactions represented by this data using various mathematical techniques. Although the logistics industry is heavily involved, security has become a hot subject of particular concern with complicated technology and a massive volume of data. This paper builds a financial logistics monitoring system using Internet of Everything technologies in the context of an intelligent environment. Numerical results show that the method has a better-quality accuracy ratio of 92.1%, investment ratio of 98.4%, demand forecast ratio of 95.4%, product delivery ratio of 97.6%, and network security ratio of 96.4%.&amp; nbsp;Data transmission, materials management, manufacture, marketing, inventories, shipping, storage, and security are all part of physical item logistics. As a result, simulation programmes have been developed to handle the complexity of logistics. When importing and exporting, logistics is all about saving money and resources.&amp; nbsp;Whether IoE devices gather, transfer, and distribute information significantly impacts data accuracy. Data capture systems that can operate on-premise, as an interface service that can store and send data on miscommunication, are crucial to information management. Smart objects connected to the Internet of Everything (IoE) enable us to improve agriculture and food security, identify and contain fatal infections, and decrease pollution in some of the world's largest cities. Over half the world's population now resides in urban areas, and this trend is expected to continue.</t>
  </si>
  <si>
    <t>[Zhan, Jinsong; Dong, Shaofeng; Hu, Wei] Xidian Univ, Sch Mechanoengn, Xian 710071, Peoples R China</t>
  </si>
  <si>
    <t>Xidian University</t>
  </si>
  <si>
    <t>Dong, SF (corresponding author), Xidian Univ, Sch Mechanoengn, Xian 710071, Peoples R China.</t>
  </si>
  <si>
    <t>shaofengdongxdu@126.com</t>
  </si>
  <si>
    <t>National Natural Science Founda-tion of Shaanxi Province [2020JM-204]; Natural Science Foundation of China [61806143]; China National Major Scientific Research Instrument Projects [61727804]</t>
  </si>
  <si>
    <t>National Natural Science Founda-tion of Shaanxi Province; Natural Science Foundation of China(National Natural Science Foundation of China (NSFC)); China National Major Scientific Research Instrument Projects</t>
  </si>
  <si>
    <t>Acknowledgement The research is supported by:the National Natural Science Founda-tion of Shaanxi Province under Grant no. 2020JM-204; the Natural Science Foundation of China under the Grant No.61806143;China National Major Scientific Research Instrument Projects under Grant No.61727804.</t>
  </si>
  <si>
    <t>A</t>
  </si>
  <si>
    <t>10.1016/j.seta.2022.102052</t>
  </si>
  <si>
    <t>FEB 2022</t>
  </si>
  <si>
    <t>0X3XZ</t>
  </si>
  <si>
    <t>WOS:000789645000007</t>
  </si>
  <si>
    <t>Méndez, A; Prieto, B; Font, JMAI; Sanmartín, P</t>
  </si>
  <si>
    <t>Mendez, Anxo; Prieto, Beatriz; Aguirre i Font, Josep M.; Sanmartin, Patricia</t>
  </si>
  <si>
    <t>Better, not more, lighting: Policies in urban areas towards environmentally-sound illumination of historical stone buildings that also halts biological colonization</t>
  </si>
  <si>
    <t>ALAN pollution; Biodeterioration; Environmental policy for sustainability; Monumental illumination; Smart cities; Stone monuments</t>
  </si>
  <si>
    <t>POLLUTION; ORIENTATION; MELATONIN; INSECTS; GROWTH</t>
  </si>
  <si>
    <t>Anthropogenic or Artificial light at night (ALAN) pollution, or more simply light pollution, is an issue of increasing concern to the general public, as well as to scientists and politicians. However, although advances have been made in terms of scientific knowledge, these advances have not been fully transferred to or considered by politicians. In addition, illumination of stone monuments in urban areas is an emerging contribution to ALAN pollution that has scarcely been considered to date. This paper presents a literature review of the topic of light pollution and related policies, including a bibliometric analysis of studies published between 2020 and 2022. The prevailing legislation in Europe regarding the regulation of outdoor lighting, which emphasises the complexity of controlling light pollution, is summarised and the regulation of monumental lighting in Spain is discussed. Findings concerning the impact of ALAN on biodiversity in urban areas, and the promising biostatic effect of ornamental lighting (halting biological colonization on stone monuments, mainly caused by algae andcyanobacteria) are described. Finally, trends in monument illumination and policymaking towards environmentally sustainable management are considered.</t>
  </si>
  <si>
    <t>[Mendez, Anxo; Prieto, Beatriz; Sanmartin, Patricia] Univ Santiago De Compostela, Fac Farm, Dept Edafol &amp; Quim Agr, GEMAP GI 1243, Santiago De Compostela 15782, Spain; [Mendez, Anxo; Prieto, Beatriz] Cidade Cultura, CISPAC, Santiago De Compostela, Spain; [Aguirre i Font, Josep M.] Univ Girona, Dept Dret Publ, Girona 17003, Spain; [Sanmartin, Patricia] Univ Santiago De Compostela, CRETUS, Santiago De Compostela, Spain</t>
  </si>
  <si>
    <t>Universidade de Santiago de Compostela; Universitat de Girona; Universidade de Santiago de Compostela</t>
  </si>
  <si>
    <t>Sanmartín, P (corresponding author), Univ Santiago De Compostela, Fac Farm, Dept Edafol &amp; Quim Agr, GEMAP GI 1243, Santiago De Compostela 15782, Spain.</t>
  </si>
  <si>
    <t>; Méndez, Anxo/ABF-5902-2021; Prieto, Beatriz/AAX-6633-2021; Prieto, Beatriz/K-5837-2014; Sanmartín, Patricia/I-2669-2015</t>
  </si>
  <si>
    <t>Aguirre i Font, Josep M/0000-0003-1797-893X; Sanmartín, Patricia/0000-0002-5733-8833; Prieto, Beatriz/0000-0001-9243-6829;</t>
  </si>
  <si>
    <t>Xunta de Galicia [04_IN606D_2021_2598528, RYC2020-029987-I]; Spanish State Research Agency (AEI) of the Ministry of Science and Innovation (MCIN) [ED431F 2022/14]; Competitive Reference Group (GRC) grant [ED431C 2022/09]</t>
  </si>
  <si>
    <t>Xunta de Galicia(Xunta de Galicia); Spanish State Research Agency (AEI) of the Ministry of Science and Innovation (MCIN); Competitive Reference Group (GRC) grant</t>
  </si>
  <si>
    <t>This review study was developed in the framework of the CROMA- LUX project: Third SMARTIAGO Challenge - Smart lighting system for Heritage Conservation. A. Mendez acknowledges receipt of a grant in the Programa de Doutoramento Industrial (04_IN606D_2021_2598528) financed by the Xunta de Galicia. P. Sanmartin acknowledges receipt of the Ramon y Cajal contract (RYC2020-029987-I) financed by the Spanish State Research Agency (AEI) of the Ministry of Science and Innovation (MCIN) . The authors are also grateful to the Xunta de Galicia for concession of the FONTES project (ED431F 2022/14) and the Competitive Reference Group (GRC) grant ED431C 2022/09.</t>
  </si>
  <si>
    <t>JAN 1</t>
  </si>
  <si>
    <t>10.1016/j.scitotenv.2023.167560</t>
  </si>
  <si>
    <t>OCT 2023</t>
  </si>
  <si>
    <t>W1GU7</t>
  </si>
  <si>
    <t>WOS:001089189000001</t>
  </si>
  <si>
    <t>Deja, A; Slaczka, W; Kaup, M; Szoltysek, J; Dzhuguryan, L; Dzhuguryan, T</t>
  </si>
  <si>
    <t>Deja, Agnieszka; Slaczka, Wojciech; Kaup, Magdalena; Szoltysek, Jacek; Dzhuguryan, Lyudmyla; Dzhuguryan, Tygran</t>
  </si>
  <si>
    <t>Supply Chain Management in Smart City Manufacturing Clusters: An Alternative Approach to Urban Freight Mobility with Electric Vehicles</t>
  </si>
  <si>
    <t>smart city; manufacturing; sustainability; freight logistics; crowdshipping; electric vehicles; management</t>
  </si>
  <si>
    <t>EFFICIENCY</t>
  </si>
  <si>
    <t>The development of green production types such as personalized production and shared manufacturing, which use additive technologies in city multifloor manufacturing clusters (CMFMCs), has led to an increase in last-mile parcel delivery (LMPD) activity. This study investigates the integration of electric vehicles and crowdshipping systems into smart CMMCs to improve urban logistics operations related to the distribution of products to consumers. The aim of this study is to improve the LMPD performance of these integrated systems and to provide alternative solutions for sustainable city logistics using the potential of crowdshipping and vehicle sharing fleets (VSFs) in the city logistics nodes (CLNs) of CMFMCs. The issues presented by the loading-unloading operations and sustainable crowdshipping scenarios for LMPD in CMFMCs are considered. This paper presents a new performance evaluation model for crowdshipping LMPD in CMFMCs using VSFs. The case study shows that the proposed model enables the analysis of LMPD performance in CMFMCs, taking into account their finite production capacity, and that it facilitates the planning of cargo turnover and the structure of VSFs consisting of e-bicycles, e-cars, and e-light commercial vehicles (e-LCVs). The model is verified based on a case study for sustainable LMPD scenarios using VSFs. The proposed model enables the planning of both short- and long-term logistics operations with the specified performance indicator of VSF usage in CMFMCs. The validity of using the integrated potential of crowdshipping and vehicle sharing services for LMPD under demand uncertainty in CMFMCs is discussed. This study should prove useful for decision-making and planning processes related to LMPD in CMFMCs and large cities.</t>
  </si>
  <si>
    <t>[Deja, Agnieszka; Dzhuguryan, Tygran] Maritime Univ Szczecin, Fac Econ &amp; Transport Engn, Waly Chrobrego St 1-2, PL-70507 Szczecin, Poland; [Slaczka, Wojciech; Kaup, Magdalena] Maritime Univ Szczecin, Fac Nav, Waly Chrobrego St 1-2, PL-70507 Szczecin, Poland; [Szoltysek, Jacek] Univ Econ Katowice, Fac Management, Ul Bogucicka 3a, PL-40226 Katowice, Poland; [Dzhuguryan, Lyudmyla] IJ Paderewski Nonpubl Primary Sch Promyk Szkola Ja, Ul Starzynskiego 3-4, PL-70506 Szczecin, Poland</t>
  </si>
  <si>
    <t>Maritime University of Szczecin; Maritime University of Szczecin; University of Economics in Katowice</t>
  </si>
  <si>
    <t>Deja, A (corresponding author), Maritime Univ Szczecin, Fac Econ &amp; Transport Engn, Waly Chrobrego St 1-2, PL-70507 Szczecin, Poland.</t>
  </si>
  <si>
    <t>a.deja@pm.szczecin.pl; w.slaczka@pm.szczecin.pl; m.kaup@pm.szczecin.pl; szoltysek@uekat.pl; l.dzhuguryan@gmail.com; t.dzhuguryan@pm.szczecin.pl</t>
  </si>
  <si>
    <t>; Deja, Agnieszka/AAA-8104-2021; Ślączka, Wojciech/AAC-9769-2020</t>
  </si>
  <si>
    <t>Dzhuguryan, Lyudmyla/0000-0002-8210-6129; JACEK, SZOLTYSEK/0000-0003-3266-0241; Kaup, Magdalena/0000-0002-9384-8144; Deja, Agnieszka/0000-0001-5988-788X; Ślączka, Wojciech/0000-0003-3265-9726; Dzhuguryan, Tygran/0000-0001-5613-9448</t>
  </si>
  <si>
    <t>Maritime University of Szczecin; Ministry of Science and Higher Education; [1/S/KRiZR/2024]</t>
  </si>
  <si>
    <t>Maritime University of Szczecin; Ministry of Science and Higher Education;</t>
  </si>
  <si>
    <t>This research has been funded by the research project no. 1/S/KRiZR/2024, financed by the Maritime University of Szczecin, with subsidy from the Ministry of Science and Higher Education.</t>
  </si>
  <si>
    <t>10.3390/en17215284</t>
  </si>
  <si>
    <t>L5S7C</t>
  </si>
  <si>
    <t>WOS:001351320700001</t>
  </si>
  <si>
    <t>Büyüközkan, G; Ilicak, Ö</t>
  </si>
  <si>
    <t>Buyukozkan, Gulcin; Ilicak, Oyku</t>
  </si>
  <si>
    <t>Smart urban logistics: Literature review and future directions</t>
  </si>
  <si>
    <t>SOCIO-ECONOMIC PLANNING SCIENCES</t>
  </si>
  <si>
    <t>Urban logistics; Review; Technology; Smart city</t>
  </si>
  <si>
    <t>LAST-MILE DELIVERY; TRAVELING SALESMAN PROBLEM; FREIGHT TRANSPORT; CITY LOGISTICS; MATHEMATICAL-MODEL; ELECTRIC VEHICLES; PARCEL DELIVERY; SYSTEMS; INFORMATION; EFFICIENCY</t>
  </si>
  <si>
    <t>Urban logistics, which is centered around defining and analyzing the logistical problems of the modern city, and developing solutions and models, is one of the most important contemporary fields of urbanization. The integration of the logistics activities in a city with technology is what constitutes smart urban logistics. This study aims to provide a review of smart urban logistics-related publications by collecting the main papers in the field for classification and analysis. Within the scope of the study, both the academic and industrial literature of smart urban logistics is examined and important points and gaps are emphasized. In the relevant literature, many different sub-topics are mentioned and a host of innovative technologies are evaluated, but there is currently no existing literature review that analyzes both the sub-topics and technologies in the field. This is what constitutes the original contribution of this study. The gaps revealed as a result of this research can serve as a guide for future investigation.</t>
  </si>
  <si>
    <t>[Buyukozkan, Gulcin; Ilicak, Oyku] Galatasaray Univ, Ind Engn Dept, TR-34349 Istanbul, Turkey</t>
  </si>
  <si>
    <t>Büyüközkan, G (corresponding author), Galatasaray Univ, Ind Engn Dept, TR-34349 Istanbul, Turkey.</t>
  </si>
  <si>
    <t>gbuyukozkan@gsu.edu.tr; oykuilicak12@gmail.com</t>
  </si>
  <si>
    <t>; Büyüközkan, Gülçin/AAC-8046-2020; ILICAK, OYKU/ABF-9160-2021</t>
  </si>
  <si>
    <t>Scientific Research Projects Commission of Galatasaray University [FOA-2021-1059]</t>
  </si>
  <si>
    <t>Scientific Research Projects Commission of Galatasaray University</t>
  </si>
  <si>
    <t>We would like to thank the editor-in-chief, associate editor and the reviewers for their careful consideration and review of our manuscript. This work has been supported by the Scientific Research Projects Commission of Galatasaray University (FOA-2021-1059).</t>
  </si>
  <si>
    <t>0038-0121</t>
  </si>
  <si>
    <t>1873-6041</t>
  </si>
  <si>
    <t>SOCIO-ECON PLAN SCI</t>
  </si>
  <si>
    <t>Socio-Econ. Plan. Sci.</t>
  </si>
  <si>
    <t>10.1016/j.seps.2021.101197</t>
  </si>
  <si>
    <t>Economics; Management; Operations Research &amp; Management Science</t>
  </si>
  <si>
    <t>2S5OH</t>
  </si>
  <si>
    <t>WOS:000821840900008</t>
  </si>
  <si>
    <t>Wagner, N; Iwan, S; Kijewska, K; Jensen, SA</t>
  </si>
  <si>
    <t>Wagner, Natalia; Iwan, Stanislaw; Kijewska, Kinga; Jensen, Sidsel Ahlmann</t>
  </si>
  <si>
    <t>Knowledge-Based city logistics: Do technology and people's attitude go hand in hand?</t>
  </si>
  <si>
    <t>City logistics; Knowledge-based; Data; Technology; Knowledge management; Delphi survey; Autonomous vehicles</t>
  </si>
  <si>
    <t>DELPHI METHOD; SMART CITY; FUTURE; MANAGEMENT; CONSENSUS; VEHICLES; SUCCESS</t>
  </si>
  <si>
    <t>Initiatives taken in the area of city logistics are still not effective enough. A solution to this problem may be more intensive development and wide application of the knowledge-based city logistics approach. This paper aims to evaluate the current development trends and challenges in city logistics, focusing on emerging technologies and knowledge-based processes. The study was conducted using the Delphi method. The findings show an expert consensus on the future common use of several technologies such as ICT, IoT, AI, big data, and drones. Autonomous vehicles constitute an exception here, as the experts do not expect them to be in common use in the future. It can be expected that city logistics projects and activities will be more data-driven, whereas processes necessary for effective knowledge management, which to a large extent depend on people's attitude, will not be strengthened. Identifying these processes as unlikely indicates the necessary way forward.</t>
  </si>
  <si>
    <t>[Wagner, Natalia; Iwan, Stanislaw; Kijewska, Kinga] Maritime Univ Szczecin, Fac Econ &amp; Transport Engn, Szczecin, Poland; [Jensen, Sidsel Ahlmann] Inst Transport Econ TOI, Dept Technol &amp; Innovat, Oslo, Norway</t>
  </si>
  <si>
    <t>Maritime University of Szczecin; Institute of Transport Economics</t>
  </si>
  <si>
    <t>Wagner, N (corresponding author), Maritime Univ Szczecin, Ul H Poboznego 11, PL-70507 Szczecin, Poland.</t>
  </si>
  <si>
    <t>n.wagner@pm.szczecin.pl</t>
  </si>
  <si>
    <t>; Kijewska, Kinga/AGE-9889-2022; Wagner, Natalia/AAC-9656-2020; Iwan, Stanisław/AEO-7695-2022</t>
  </si>
  <si>
    <t>Wagner, Natalia/0000-0001-6898-4737;</t>
  </si>
  <si>
    <t>Norwegian Financial Mechanism</t>
  </si>
  <si>
    <t>The study realized under project GRASS-NEXT (GReen And SuStainable-kNowledge EXpanded freight Transport in cities) , which is financed under the Norwegian Financial Mechanism 2014-2021.</t>
  </si>
  <si>
    <t>1879-2340</t>
  </si>
  <si>
    <t>10.1016/j.trd.2025.104851</t>
  </si>
  <si>
    <t>3RC2H</t>
  </si>
  <si>
    <t>WOS:001507001800002</t>
  </si>
  <si>
    <t>Ippolito, N; Mistrice, LMB; Gentile, G</t>
  </si>
  <si>
    <t>Ippolito, Nicola; Mistrice, Lory Michelle Bresciani; Gentile, Guido</t>
  </si>
  <si>
    <t>Last-mile-logistic Platform for companies within urban areas</t>
  </si>
  <si>
    <t>2023 8TH INTERNATIONAL CONFERENCE ON MODELS AND TECHNOLOGIES FOR INTELLIGENT TRANSPORTATION SYSTEMS, MT-ITS</t>
  </si>
  <si>
    <t>8th International Conference on Models and Technologies for Intelligent Transportation Systems (MT-ITS)</t>
  </si>
  <si>
    <t>JUN 14-16, 2023</t>
  </si>
  <si>
    <t>Nice, FRANCE</t>
  </si>
  <si>
    <t>Last-Mile Logistics; Logistics Platform; urban freight transport; urban externalities effects</t>
  </si>
  <si>
    <t>This paper presents a Last-mile-logistic Platform for multi-companies within urban areas. The problem of Last-Mile Logistics has gained significant attention due to the growing trend of urbanization. It is considered one of the most inefficient, costly, and polluting parts of the supply chain. The literature offers various definitions of Last-Mile Logistics, and the most common one which generally refers as the final stage of the delivery process from the last distribution center to the recipient's preferred destination point, has been adopted. The Logistics Platform is a multi role platform, and seems to be as a valuable tool for both platform and company manager in Last-Mile Logistics. The platform unifies operations and functionalities, allowing for the hosting of multiple companies with different needs. Although the Logistics Platform has already shown promising results as a tool that covers all stage of Last-Mile Logistics, further development is necessary to enhance the role of the platform manager. In fact, by having access to data from all companies on the platform, the platform manager can play a key role to: (1) improve collaboration and cooperation among companies, (2) optimize routes also with respect some parameters idle from company managers' prospective, and (3) highlight the need for urban policies that support Last-Mile Logistics.</t>
  </si>
  <si>
    <t>[Ippolito, Nicola; Mistrice, Lory Michelle Bresciani; Gentile, Guido] Univ Roma La Sapienza, DICEA, Rome, Italy</t>
  </si>
  <si>
    <t>Sapienza University Rome</t>
  </si>
  <si>
    <t>Ippolito, N (corresponding author), Univ Roma La Sapienza, DICEA, Rome, Italy.</t>
  </si>
  <si>
    <t>nicola.ippolito@uniroma1.it; lorymichelle.brescianimiristice@uniroma1.it; guido.gentile@uniroma1.it</t>
  </si>
  <si>
    <t>; Gentile, Guido/E-9615-2011</t>
  </si>
  <si>
    <t>Gentile, Guido/0000-0002-1523-1640; BRESCIANI MIRISTICE, LORY MICHELLE/0000-0003-1271-6252;</t>
  </si>
  <si>
    <t>978-1-6654-5530-5</t>
  </si>
  <si>
    <t>10.1109/MT-ITS56129.2023.10241672</t>
  </si>
  <si>
    <t>Computer Science, Artificial Intelligence; Computer Science, Information Systems; Transportation Science &amp; Technology</t>
  </si>
  <si>
    <t>BV7OB</t>
  </si>
  <si>
    <t>WOS:001069745000059</t>
  </si>
  <si>
    <t>Mo, JQ; Chen, JY; Gong, ZG</t>
  </si>
  <si>
    <t>Mo, Jiqian; Chen, Junyang; Gong, Zhiguo</t>
  </si>
  <si>
    <t>Knowledge Transfer Service for Multi-Granular Traffic Prediction in Smart Cities</t>
  </si>
  <si>
    <t>IEEE TRANSACTIONS ON SERVICES COMPUTING</t>
  </si>
  <si>
    <t>Urban areas; Spatiotemporal phenomena; Training; Data models; Knowledge transfer; Computational modeling; Autoregressive processes; Smart cities; Adaptation models; Predictive models; Knowledge transfer service; multi-granular; spatiotemporal pattern; traffic prediction</t>
  </si>
  <si>
    <t>Traffic prediction is essential for the efficient resource allocation and management of smart cities. However, many cities face challenges in accessing sufficient traffic data due to high collection costs and privacy concerns, which impacts the accuracy of predictions. To address the issue of data sparsity, transfer learning methods have been explored with promising outcomes. Nonetheless, key challenges remain in determining which knowledge to transfer and how to transfer it effectively. In this paper, we propose a Knowledge Transfer Service for multi-granular traffic prediction in smart cities, leveraging Multi-Granular Spatiotemporal Pattern Transfer Learning (MGSTPAT). MGSTPAT utilizes meta-learning to acquire rich, multi-granularity spatiotemporal knowledge from data-abundant source cities and initializes robust models. Additionally, our Embedded Adaptive Clustering module generates task-specific multi-granularity patterns, while the Granularity-Aware Pattern Attention mechanism enables target cities with limited data to select the most relevant patterns, enhancing prediction accuracy. Extensive experiments on real-world datasets demonstrate the effectiveness of our approach in addressing traffic prediction challenges across cities.</t>
  </si>
  <si>
    <t>[Mo, Jiqian; Chen, Junyang] Shenzhen Univ, Coll Comp Sci &amp; Software Engn, Shenzhen 518060, Peoples R China; [Gong, Zhiguo] Univ Macau, State Key Lab Internet Things Smart City &amp; Dept Co, Guangdong Macau Joint Lab Adv &amp; Intelligent Comp, Macau 999078, Peoples R China</t>
  </si>
  <si>
    <t>Shenzhen University; University of Macau</t>
  </si>
  <si>
    <t>Chen, JY (corresponding author), Shenzhen Univ, Coll Comp Sci &amp; Software Engn, Shenzhen 518060, Peoples R China.</t>
  </si>
  <si>
    <t>mjqsk@szu.edu.cn; junyangchen@szu.edu.cn; fstzgg@um.edu.mo</t>
  </si>
  <si>
    <t>Chen, Junyang/AAZ-4344-2020</t>
  </si>
  <si>
    <t>Stable Support Project of Shenzhen [20231120161634002]; Shenzhen Science and Technology Program [JCYJ20240813141417023]; Natural Science Foundation of Guangdong Province of China [2025A1515010233]; Guangdong Provincial Department of Education [2024KTSCX060]; Tencent Rhinoceros Birds- Scientific Research Foundation for Young Teachers of Shenzhen University</t>
  </si>
  <si>
    <t>Stable Support Project of Shenzhen; Shenzhen Science and Technology Program; Natural Science Foundation of Guangdong Province of China(National Natural Science Foundation of Guangdong Province); Guangdong Provincial Department of Education; Tencent Rhinoceros Birds- Scientific Research Foundation for Young Teachers of Shenzhen University</t>
  </si>
  <si>
    <t>This work was supported in part by Stable Support Project of Shenzhen under Grant 20231120161634002, in part by Shenzhen Science and Technology Program under Grant JCYJ20240813141417023, in part by Natural Science Foundation of Guangdong Province of China under Grant 2025A1515010233, in part by Guangdong Provincial Department of Education under Grant 2024KTSCX060, and in part by Tencent Rhinoceros Birds- Scientific Research Foundation for Young Teachers of Shenzhen University.</t>
  </si>
  <si>
    <t>10662 LOS VAQUEROS CIRCLE, PO BOX 3014, LOS ALAMITOS, CA 90720-1314 USA</t>
  </si>
  <si>
    <t>1939-1374</t>
  </si>
  <si>
    <t>IEEE T SERV COMPUT</t>
  </si>
  <si>
    <t>IEEE Trans. Serv. Comput.</t>
  </si>
  <si>
    <t>JUL-AUG</t>
  </si>
  <si>
    <t>10.1109/TSC.2025.3583232</t>
  </si>
  <si>
    <t>5YS5G</t>
  </si>
  <si>
    <t>WOS:001547519500025</t>
  </si>
  <si>
    <t>Yang, L</t>
  </si>
  <si>
    <t>Yang, Lin</t>
  </si>
  <si>
    <t>AI-Based Classification Model for Low-Energy Buildings: Promoting Sustainable Economic Development of Smart Cities With Spherical Fuzzy Decision Algorithm</t>
  </si>
  <si>
    <t>Buildings; Fuzzy sets; Urban areas; Uncertainty; Economics; Mathematical models; Energy consumption; Sustainable development; Glass box; Costs; Spherical fuzzy information; Schweizer-Sklar operators; CRITIC-COCOSO method and decision-making process</t>
  </si>
  <si>
    <t>SETS; PREDICTION; OPERATORS</t>
  </si>
  <si>
    <t>AI-based classification models for low-energy buildings are essential in promoting the economic development of smart cities by optimizing energy use, reducing operational costs, and enhancing overall efficiency. These models classify buildings based on energy consumption patterns, predicting energy needs and identifying areas for improvement. The spherical fuzzy set (SFS) is a potent approach used to handle ambiguous information during decision analysis and integrate big expert's opinions. This article evaluates intelligent AI-based models for low-energy buildings and economic development under some specific characteristics or key features. For this purpose, we modified the theory of criteria importance through intercriteria correlation (CRITIC) and combined compromise solution (COCOSO) methods to assess suitable optimal options for the multi-attribute group decision-making (MAGDM) problem. Moreover, we also propose a novel decision algorithm of the CRITIC-COCOSO method under consideration of spherical fuzzy situations. The CRITIC-COCOSO method has great capabilities to investigate weights of criterion and accurate ranking of preferences under specific linguistic scales. An experimental case study is established to investigate a reliable AI-based advanced technology and prove the superiority of diagnosed theories. Additionally, a robust comparison method is used to prove the supremacy of derived theories and pioneered mathematical terminologies. In the end, some key features and remarkable comments are also discussed.</t>
  </si>
  <si>
    <t>[Yang, Lin] Qingdao Univ Technol, Sch Architecture &amp; Urban Planning, Qingdao 266000, Shandong, Peoples R China</t>
  </si>
  <si>
    <t>Qingdao University of Technology</t>
  </si>
  <si>
    <t>Yang, L (corresponding author), Qingdao Univ Technol, Sch Architecture &amp; Urban Planning, Qingdao 266000, Shandong, Peoples R China.</t>
  </si>
  <si>
    <t>15066857110@163.com</t>
  </si>
  <si>
    <t>10.1109/ACCESS.2025.3530965</t>
  </si>
  <si>
    <t>U5D4V</t>
  </si>
  <si>
    <t>WOS:001411998400041</t>
  </si>
  <si>
    <t>Farchi, F; Touzi, B; Farchi, C; Mabroulci, C</t>
  </si>
  <si>
    <t>Motahhir, S; Bossoufi, B</t>
  </si>
  <si>
    <t>Farchi, Fadwa; Touzi, Badr; Farchi, Chayma; Mabroulci, Charif</t>
  </si>
  <si>
    <t>Literature Review Around: Sustainable Urban Logistics</t>
  </si>
  <si>
    <t>DIGITAL TECHNOLOGIES AND APPLICATIONS, ICDTA 2022, VOL 1</t>
  </si>
  <si>
    <t>2nd International Conference on Digital Technologies and Applications</t>
  </si>
  <si>
    <t>JAN 28-29, 2022</t>
  </si>
  <si>
    <t>Sustainable urban logistics; Literature review; Bibliographic study</t>
  </si>
  <si>
    <t>FREIGHT TRANSPORT; CITY LOGISTICS; SUPPLY CHAIN; SMART; EFFICIENCY; STRATEGY; CITIES</t>
  </si>
  <si>
    <t>Currently, we observe large numbers associated with internal urban migration exacerbating the environmental urban scenario, which is the outcome of various prior circumstances, and this is why urbanization is becoming more widespread. This is true of internet shopping, globalization, and damaging industrial and human resources, to name a few examples. The key solutions are primarily involved with urban mobility, the involvement of the relevant actors, trip optimization, the usage of lanes and roads, and vehicle selection. One of the most significant foundations of the notion of urban logistics is sustainability, which is one of the main parts of flow management. Indeed, the ultimate goal extends beyond the delivery of commodities, promoting the environment as a vital component of urban logistics. We will attempt to solve the following problem: Where are we in terms of urban logistics? To address this issue, we used the following strategy: Presentation of the fundamental principles, selection of articles to be used in the study, identification of the major axes, actors, and clarification of the most important axis.</t>
  </si>
  <si>
    <t>[Farchi, Fadwa; Farchi, Chayma; Mabroulci, Charif] Hassan 1er Univ, BP 577,Casablanca Rd, Settat 26000, Morocco; [Touzi, Badr] Mohammed V Univ, BP 8007 NU, Rabat 100000, Morocco</t>
  </si>
  <si>
    <t>Hassan First University of Settat</t>
  </si>
  <si>
    <t>Farchi, F (corresponding author), Hassan 1er Univ, BP 577,Casablanca Rd, Settat 26000, Morocco.</t>
  </si>
  <si>
    <t>f.farchi@uhp.ac.ma</t>
  </si>
  <si>
    <t>978-3-031-01941-8; 978-3-031-01942-5</t>
  </si>
  <si>
    <t>10.1007/978-3-031-01942-5_11</t>
  </si>
  <si>
    <t>BY3ZN</t>
  </si>
  <si>
    <t>WOS:001435908600011</t>
  </si>
  <si>
    <t>Iwan, S; Wagner, N; Kijewska, K; Jensen, SA</t>
  </si>
  <si>
    <t>Iwan, Stanislaw; Wagner, Natalia; Kijewska, Kinga; Jensen, Sidsel Ahlmann</t>
  </si>
  <si>
    <t>Concept of the knowledge-based city logistics: Problems and solutions</t>
  </si>
  <si>
    <t>PLOS ONE</t>
  </si>
  <si>
    <t>SMART LOGISTICS; MANAGEMENT; STAKEHOLDERS; PARTNERSHIP; CHALLENGES; ECOSYSTEM</t>
  </si>
  <si>
    <t>Efficient city logistics is essential to build smart sustainable cities where inhabitants' well-being is a priority. Meanwhile, despite the great importance of city logistics processes, their improvement is problematic for many cities. Although solutions from the field of emerging technologies are more and more often used, the question is whether implementing technological tools and filling cities with sensors is a sufficient solution that can solve the problems of intensely growing urban freight transport. The aim of the paper is to examine the role of knowledge management in city logistics and identify barriers to the implementation of knowledge-based city logistics. A key element of the research procedure was an expert survey, to which 31 international experts specialising in city logistics issues were invited, characterised by extensive experience working on research projects in the area of interest. Four knowledge management processes have been transferred to the city logistics area. The results of the study show that the difficulties are observed mainly in the processes of data gathering and knowledge acquisition. The main reason for difficulties in that area is the reluctance of city users, retailers, transport and logistics operators to share information. Identifying these processes as the most problematic is a valuable hint for logistics managers, municipalities and academics. To improve knowledge-based city logistics, it is therefore necessary to focus on these processes and look for the best solutions and new forms of organisational and business support. The solution to the problems identified in the study is the proposal to create a city logistics collaborative knowledge base which is a combination of an IT tool - the CL knowledge management platform, and the Freight Quality Partnership.</t>
  </si>
  <si>
    <t>[Iwan, Stanislaw; Wagner, Natalia; Kijewska, Kinga] Maritime Univ Szczecin, Fac Econ &amp; Transport Engn, Szczecin, Poland; [Jensen, Sidsel Ahlmann] Inst Transport Econ TOI, Dept Technol &amp; Innovat, Oslo, Norway</t>
  </si>
  <si>
    <t>Wagner, N (corresponding author), Maritime Univ Szczecin, Fac Econ &amp; Transport Engn, Szczecin, Poland.</t>
  </si>
  <si>
    <t>Kijewska, Kinga/AGE-9889-2022; Wagner, Natalia/AAC-9656-2020; Iwan, Stanisław/AEO-7695-2022</t>
  </si>
  <si>
    <t>Norwegian Financial Mechanism 2014-2021</t>
  </si>
  <si>
    <t>The study realized under project GRASS-NEXT (GReen And SuStainable - kNowledge EXpanded freight Transport in cities), which is financed under the Norwegian Financial Mechanism 2014-2021.</t>
  </si>
  <si>
    <t>PUBLIC LIBRARY SCIENCE</t>
  </si>
  <si>
    <t>SAN FRANCISCO</t>
  </si>
  <si>
    <t>1160 BATTERY STREET, STE 100, SAN FRANCISCO, CA 94111 USA</t>
  </si>
  <si>
    <t>1932-6203</t>
  </si>
  <si>
    <t>PLoS One</t>
  </si>
  <si>
    <t>JUN 25</t>
  </si>
  <si>
    <t>e0305563</t>
  </si>
  <si>
    <t>10.1371/journal.pone.0305563</t>
  </si>
  <si>
    <t>WF7A6</t>
  </si>
  <si>
    <t>WOS:001253508900116</t>
  </si>
  <si>
    <t>Singh, T; Solanki, A; Sharma, SK; Nayyar, A; Paul, A</t>
  </si>
  <si>
    <t>Singh, Tarana; Solanki, Arun; Sharma, Sanjay Kumar; Nayyar, Anand; Paul, Anand</t>
  </si>
  <si>
    <t>A Decade Review on Smart Cities: Paradigms, Challenges and Opportunities</t>
  </si>
  <si>
    <t>Smart cities; Urban areas; Government; Technological innovation; Sustainable development; Bibliometrics; Market research; Smart city; Internet of Things; big data; cloud computing; sustainability; cyber-physical system</t>
  </si>
  <si>
    <t>BIG DATA; ENERGY MANAGEMENT; SENSOR NETWORKS; DATA ANALYTICS; CITY; INTERNET; IOT; THINGS; SYSTEM; ARCHITECTURE</t>
  </si>
  <si>
    <t>Smart City has been an emerging research domain for Government, Businesses, and researchers in the last few years. The Indian government is also interested and investing lots of funds to develop smart cities. These cities are technology-based and require interdisciplinary research and development for successful implementation. Over the last few decades, various technological interventions have created a tendency to provide smart everyday objects to make human life more comfortable. The emergence of the smart city paradigm is a response to creating a future city that guarantees the well-being and rights of its citizens from the perspective of industrial development: industry, urban planning, environment, and sustainable development. There are several subdomains in the smart city for the research. To work with the different subdomains in a smart city, proper guidance about the background of the smart city is required. This research paper is a guide for the same. This research paper represents a systematic literature review of the smart city domain. This paper carries out a systematic review of research papers published in various well-reputed journals like IEEE, Springer, Elsevier, etc., between 2011 and 2021. This paper will help the government, businesses, and researchers aiming to enhance the smart city concept. Initially, this paper discusses the origin and emergence of this concept, followed by a few definitions and characteristics with the real roadmap and primary supporting pillars of the smart city. This paper discusses a typical architecture having different layers like Sensing, Transportation, Data Management, and Application Layers. There are various supporting technologies and platforms for the smart city; hence implementations are impossible without these technologies and media. This research paper discusses different components of the smart city. A broad literature survey is being done to observe various challenges, opportunities, and future trends in the smart city. This research paper can guide the researchers and provide the research direction in the smart city domain.</t>
  </si>
  <si>
    <t>[Singh, Tarana; Solanki, Arun; Sharma, Sanjay Kumar] Gautam Buddha Univ, Dept Comp &amp; Engn, Greater Noida 201308, Uttar Pradesh, India; [Nayyar, Anand] Duy Tan Univ, Fac Informat Technol, Grad Sch, Da Nang 550000, Vietnam; [Paul, Anand] Kyungpook Natl Univ, Sch Comp Sci &amp; Engn, Daegu 41566, South Korea</t>
  </si>
  <si>
    <t>Gautam Buddha University; Duy Tan University; Kyungpook National University (KNU)</t>
  </si>
  <si>
    <t>Singh, T (corresponding author), Gautam Buddha Univ, Dept Comp &amp; Engn, Greater Noida 201308, Uttar Pradesh, India.;Paul, A (corresponding author), Kyungpook Natl Univ, Sch Comp Sci &amp; Engn, Daegu 41566, South Korea.</t>
  </si>
  <si>
    <t>taranasingh14@gmail.com; paul.editor@gmail.com</t>
  </si>
  <si>
    <t>Paul, Anand/V-6724-2017; Nayyar, Anand/F-3732-2015; Nayyar, Anand/F-3732-2015; Sharma, Sanjay/AAR-2495-2020</t>
  </si>
  <si>
    <t>Nayyar, Anand/0000-0002-9821-6146; Paul, Anand/0000-0002-0737-2021; Nayyar, Anand/0000-0002-9821-6146; Singh, Tarana/0000-0002-9035-0068</t>
  </si>
  <si>
    <t>National Research Foundation of Korea [2020R1A2C1012196]; School of Computer Science and Engineering, Ministry of Education, Kyungpook National University, South Korea [4199990214394]</t>
  </si>
  <si>
    <t>National Research Foundation of Korea(National Research Foundation of Korea); School of Computer Science and Engineering, Ministry of Education, Kyungpook National University, South Korea</t>
  </si>
  <si>
    <t>This work was supported in part by the National Research Foundation of Korea under Grant 2020R1A2C1012196; and in part by the School of Computer Science and Engineering, Ministry of Education, Kyungpook National University, South Korea, through the BK21 Four Project, AI-Driven Convergence Software Education Research Program, under Grant 4199990214394.</t>
  </si>
  <si>
    <t>10.1109/ACCESS.2022.3184710</t>
  </si>
  <si>
    <t>3Q9NL</t>
  </si>
  <si>
    <t>WOS:000838549400001</t>
  </si>
  <si>
    <t>Comi, A; Russo, F</t>
  </si>
  <si>
    <t>Comi, Antonio; Russo, Francesco</t>
  </si>
  <si>
    <t>Emerging Information and Communication Technologies: the Challenges for the Dynamic Freight Management in City Logistics</t>
  </si>
  <si>
    <t>FRONTIERS IN FUTURE TRANSPORTATION</t>
  </si>
  <si>
    <t>city logistics; intelligent transport systems; information and communication technologies; navigation system; vehicle routing and scheduling; courier route; dynamic freight management; smart city</t>
  </si>
  <si>
    <t>ASSIGNMENT MODEL; TRANSPORT; DELIVERY; ALGORITHMS; CHOICE; PATH</t>
  </si>
  <si>
    <t>Recently, the evolution of emerging information and communication technologies (e-ICTs) has opened the road for developing and implementing new integrated and dynamic city logistics solutions and subsequently for identifying new frontiers of intelligent transport systems (ITSs). The study evolves pointing out the different city logistics groups of actors and their reciprocal interactions in relation to the considered new technologies (i.e., internet of things, block chain, big data, and artificial intelligence), which allow actors to increase their utility exploiting the advancement of current intelligent transport systems. The changes in the generalized path costs supported by each stakeholder are explored, and the modifications guided by e-ICTs are analyzed. The learning process due to the update for within-day and day-to-day dynamics is detailed and formalized. In this way, the current formulation of the classical transport problem (vehicle routing and scheduling) and the new one (pushed from the growth of ecommerce, i.e., courier routing) are explored under the light of the new knowledge derived from the use of e-ICTs. Novelty of the study mainly comprises the analysis of each emerging ICT group and of the formalization, in the classical transport system models (TSM), of the new knowledge for each actor group.</t>
  </si>
  <si>
    <t>[Comi, Antonio] Univ Roma Tor Vergata, Dept Enterprise Engn, Rome, Italy; [Russo, Francesco] Mediterranea Univ Reggio Calabria, Dipartimento Ingn Informaz Infrastrutture &amp; Energi, Reggio Di Calabria, Italy</t>
  </si>
  <si>
    <t>University of Rome Tor Vergata; Universita Mediterranea di Reggio Calabria</t>
  </si>
  <si>
    <t>Comi, A (corresponding author), Univ Roma Tor Vergata, Dept Enterprise Engn, Rome, Italy.</t>
  </si>
  <si>
    <t>comi@ing.uniroma2.it</t>
  </si>
  <si>
    <t>Comi, Antonio/C-5083-2008; russo, francesco/ABB-9859-2020</t>
  </si>
  <si>
    <t>2673-5210</t>
  </si>
  <si>
    <t>FRONT FUTURE TRANSP</t>
  </si>
  <si>
    <t>Front. Future Transp.</t>
  </si>
  <si>
    <t>10.3389/ffutr.2022.887307</t>
  </si>
  <si>
    <t>M6VO5</t>
  </si>
  <si>
    <t>WOS:001031575800001</t>
  </si>
  <si>
    <t>Ding, YK; Jin, MZ; Li, S; Feng, DZ</t>
  </si>
  <si>
    <t>Ding Yangke; Jin Mingzhou; Li Sen; Feng Dingzhong</t>
  </si>
  <si>
    <t>Smart logistics based on the internet of things technology: an overview</t>
  </si>
  <si>
    <t>Smart logistics; internet of things (IoT); cloud computing; big data; artificial intelligence (AI)</t>
  </si>
  <si>
    <t>WAREHOUSE MANAGEMENT-SYSTEM; INTELLIGENT MODEL; DELIVERY; TRANSPORTATION; IDENTIFICATION; DESIGN; OPERATIONS; INDUSTRY; QUALITY; ZIGBEE</t>
  </si>
  <si>
    <t>Smart logistics is an effective way to meet the challenges of fast-changing customer expectations, take opportunities brought by new technologies, and facilitate new business models. This review paper systematically summarises the recent research and applications of smart logistics based on the internet of things (IoT), including smart freight transportation, warehousing, and delivery. A bibliometric analysis based on publications between 2008 and 2019 reveals main technologies and impacts of the research and applications of IoT-based smart logistics and their industrial and geographic distributions. The content analysis demonstrates the role and impact of IoT on smart logistics, reveals challenges of IoT-based smart logistics, and provides research needs for the development of smart logistics. The current challenges include technical problems of radio frequency identification and wireless sensor networks, limited extension and technical capacity of IoT,standardisation issues of IoT, data acquisition and processing issues of IoT, and security and privacy concerns on IoT. There is a strong research need to address the key technical issues of IoT, promote various IoT technologies in logistics practice, and jointly develop advanced information and communications technologies and management systems.</t>
  </si>
  <si>
    <t>[Ding Yangke; Li Sen; Feng Dingzhong] Zhejiang Univ Technol, Coll Mech Engn, Hangzhou, Peoples R China; [Jin Mingzhou] Univ Tennessee, Dept Ind &amp; Syst Engn, Knoxville, TN 37916 USA</t>
  </si>
  <si>
    <t>Zhejiang University of Technology; University of Tennessee System; University of Tennessee Knoxville</t>
  </si>
  <si>
    <t>Feng, DZ (corresponding author), Zhejiang Univ Technol, Coll Mech Engn, Hangzhou, Peoples R China.</t>
  </si>
  <si>
    <t>fdz@zjut.edu.cn</t>
  </si>
  <si>
    <t>; feng, dingzhong/G-8051-2012; Ding, Yangke/A-9711-2019</t>
  </si>
  <si>
    <t>Li, Sen/0000-0002-7354-5808; Ding, Yangke/0000-0002-4072-8077; Jin, Mingzhou/0000-0002-2387-8129</t>
  </si>
  <si>
    <t>Natural Science Foundation of Zhejiang Province [LY18G010019]; China Scholarship Council</t>
  </si>
  <si>
    <t>Natural Science Foundation of Zhejiang Province(Natural Science Foundation of Zhejiang Province); China Scholarship Council(China Scholarship Council)</t>
  </si>
  <si>
    <t>This research was funded by the Natural Science Foundation of Zhejiang Province (No. LY18G010019). The authors gratefully acknowledge financial support from the China Scholarship Council.</t>
  </si>
  <si>
    <t>JUL 4</t>
  </si>
  <si>
    <t>10.1080/13675567.2020.1757053</t>
  </si>
  <si>
    <t>APR 2020</t>
  </si>
  <si>
    <t>TH5NB</t>
  </si>
  <si>
    <t>WOS:000531936200001</t>
  </si>
  <si>
    <t>Settey, T; Gnap, J; Benová, D; Pavlicko, M; Blazekova, O</t>
  </si>
  <si>
    <t>Settey, Tomas; Gnap, Jozef; Benova, Dominika; Pavlicko, Michal; Blazekova, Ol'ga</t>
  </si>
  <si>
    <t>The Growth of E-Commerce Due to COVID-19 and the Need for Urban Logistics Centers Using Electric Vehicles: Bratislava Case Study</t>
  </si>
  <si>
    <t>logistics centre; distribution; electric vehicle; sustainable city logistics</t>
  </si>
  <si>
    <t>LAST-MILE DELIVERY; IMPACT</t>
  </si>
  <si>
    <t>Before the COVID-19 pandemic there had already been an increase in individual shipment transportation including inner-city areas. During the pandemic and implementation of adopted preventive measures, it has increased by more than 100% in some cities. This presents an unsustainable development, particularly in terms of urban environment. The above-mentioned development has accelerated the research related to optimal allocation of logistics centres considering the last-mile distribution. Unfortunately, the theoretical mathematical model that finds an optimal urban logistics centre location based on the matrix of distance, number, and weight of shipments is not applicable in most cities. Therefore, the following research methodology was chosen in accordance with the approved territorial plan. The authors considered those locations in Bratislava-the capital of Slovak Republic-which are designated, or suitable for building up of an urban logistics centre. These localities were afterwards evaluated in a real-world case study employing methods of mathematical programming (linear programming), the nearest neighbour method, and the Clarke-Wright method. The presented methodology can be applied not only when deciding on the appropriate location of the city logistics centre, but also at optimizing the vehicle routing problem. Taking into account the urban logistics sustainability and the e-commerce growth, it was analysed whether the suggested location of urban logistics centre is feasible to provision examined facilities using electric vehicles. The range of considered electric vehicles of N2 category present in the market tends to be at the limits of distribution routes length for the given case study. Therefore, the article also deals with the fast-charging possibilities of vehicles during handling operations and the use of hybrid freight vehicles in city logistics.</t>
  </si>
  <si>
    <t>[Settey, Tomas; Gnap, Jozef; Benova, Dominika] Univ Zilina, Fac Operat &amp; Econ Transport &amp; Commun, Dept Rd &amp; Urban Transport, Zilina 01026, Slovakia; [Pavlicko, Michal; Blazekova, Ol'ga] Univ Zilina, Fac Operat &amp; Econ Transport &amp; Commun, Dept Quantitat Methods &amp; Econ Informat, Zilina 01026, Slovakia</t>
  </si>
  <si>
    <t>University of Zilina; University of Zilina</t>
  </si>
  <si>
    <t>Gnap, J (corresponding author), Univ Zilina, Fac Operat &amp; Econ Transport &amp; Commun, Dept Rd &amp; Urban Transport, Zilina 01026, Slovakia.</t>
  </si>
  <si>
    <t>tomas.settey@fpedas.uniza.sk; jozef.gnap@fpedas.uniza.sk; dominika.benova@fpedas.uniza.sk; michal.paylicko@fpedas.uniza.sk; olga.blazekova@fpedas.uniza.sk</t>
  </si>
  <si>
    <t>Gnap, Jozef/B-9940-2017; Pavlicko, Michal/P-5173-2016; Settey, Tomáš/AAB-5227-2021; Gnap, Jozef/AAF-2567-2021; Blazekova, Olga/Q-5607-2016; Beňová, Dominika/AAD-2319-2021</t>
  </si>
  <si>
    <t>Gnap, Jozef/0000-0002-0833-7850; Beňová, Dominika/0000-0002-6389-9557; Settey, Tomáš/0000-0001-6115-372X; Pavlicko, Michal/0000-0001-7311-9625; Blazekova, Olga/0000-0003-2394-2351;</t>
  </si>
  <si>
    <t>European Regional Development Fund [COVID-19, 313011AUX5]</t>
  </si>
  <si>
    <t>European Regional Development Fund(European Union (EU))</t>
  </si>
  <si>
    <t>This research was created thanks to support under the Operational Program Integrated Infrastructure for the project: Identification and possibilities of implementation of new technological measures in transport to achieve safe mobility during a pandemic caused by COVID-19 (ITMS code: 313011AUX5), co-financed by the European Regional Development Fund.</t>
  </si>
  <si>
    <t>10.3390/su13105357</t>
  </si>
  <si>
    <t>ST7PQ</t>
  </si>
  <si>
    <t>WOS:000662632100001</t>
  </si>
  <si>
    <t>Al Yarubi, KS; Khairy, SOF; Hossain, SME; Hayder, G</t>
  </si>
  <si>
    <t>Al Yarubi, Khadija Salim; Khairy, Sallam O. F.; Hossain, S. M. Emdad; Hayder, Gasim</t>
  </si>
  <si>
    <t>Internet of Things-Driven Waste Management: Paving the Way for Sustainable Smart Cities</t>
  </si>
  <si>
    <t>PROCESSES</t>
  </si>
  <si>
    <t>smart cities; IoT; waste management; machine learning; Sustainable Development Goals (SDGs); SDG 11; environmental sustainability; Oman Vision 2040</t>
  </si>
  <si>
    <t>Rapid urban growth around the globe has created major waste management challenges, particularly in locations that have experienced rapid urban expansion, such as Oman. In the following study, Al-Duqm as Oman's primary economic zone is investigated, where outdated waste management practices are at odds with the national Sustainable Development Goals. In order to address this problem, we present a system that includes the use of Internet of Things sensors, combined with GPS tracking features and artificial intelligence capabilities. With this waste collection system, we aim to achieve enhanced speed and cost effectiveness and environmental sustainability. Ultrasonic sensors with AI-based route planning installed in waste bins enable the system to minimize unnecessary waste collection rounds by trucks. Laboratory evaluations of our system demonstrated a 28% reduction in fuel consumption and a 15% decrease in operational expenses, achieving collection performance levels that improved by more than 41.5%. The unique quality of this approach consists of aligning multifaceted technologies to fulfill Al-Duqm's special requirements for its dry climate and expanding infrastructure. The combination of sensor-generated data enables trucks to navigate empty container spaces, thus saving time and lowering emission levels. The findings of this study aid Oman in reaching its 2040 targets, in addition to Global Sustainable Development Goal 11, while simultaneously enhancing environmentally friendly initiatives in urban areas. The results of this study demonstrate how modern smart systems transform expensive waste management services into an intelligent environmental tool, thus providing examples for other areas that seek to achieve sustainable development through urban growth.</t>
  </si>
  <si>
    <t>[Al Yarubi, Khadija Salim; Khairy, Sallam O. F.; Hossain, S. M. Emdad] Univ Nizwa, Coll Econ Management &amp; Informat Syst, Dept Informat Syst, Nizwa 616, Oman; [Hayder, Gasim] Univ Nizwa, Dept Civil &amp; Environm Engn, Coll Engn &amp; Architecture, Nizwa 616, Oman</t>
  </si>
  <si>
    <t>University of Nizwa; University of Nizwa</t>
  </si>
  <si>
    <t>Khairy, SOF (corresponding author), Univ Nizwa, Coll Econ Management &amp; Informat Syst, Dept Informat Syst, Nizwa 616, Oman.;Hayder, G (corresponding author), Univ Nizwa, Dept Civil &amp; Environm Engn, Coll Engn &amp; Architecture, Nizwa 616, Oman.</t>
  </si>
  <si>
    <t>ks.alyarubi@unizwa.edu.om; sallam@unizwa.edu.om; emdad.hossain@unizwa.edu.om; g.hayder@unizwa.edu.om</t>
  </si>
  <si>
    <t>Hayder, Gasim/C-5042-2013; Khairy, Sallam/HLW-1466-2023</t>
  </si>
  <si>
    <t>Hayder, Gasim/0000-0002-2677-0367; Khairy, Sallam O F/0000-0003-2845-5675</t>
  </si>
  <si>
    <t>Ministry of Higher Education, Scientific Research and Innovation, Sultanate of Oman; [BFP/GRG/HSS/23/161]</t>
  </si>
  <si>
    <t>Ministry of Higher Education, Scientific Research and Innovation, Sultanate of Oman;</t>
  </si>
  <si>
    <t>This research was funded by the Ministry of Higher Education, Scientific Research and Innovation, Sultanate of Oman, grant number [BFP/GRG/HSS/23/161], and the APC was funded by [BFP/GRG/HSS/23/161].</t>
  </si>
  <si>
    <t>2227-9717</t>
  </si>
  <si>
    <t>Processes</t>
  </si>
  <si>
    <t>10.3390/pr13041140</t>
  </si>
  <si>
    <t>Engineering, Chemical</t>
  </si>
  <si>
    <t>1VK0S</t>
  </si>
  <si>
    <t>WOS:001474569200001</t>
  </si>
  <si>
    <t>Larichev, AA; Kozhevnikov, OA; Korsun, KI</t>
  </si>
  <si>
    <t>Larichev, Alexander A.; Kozhevnikov, Oleg A.; Korsun, Ksenia I.</t>
  </si>
  <si>
    <t>Legal Regulation of Smart City Technologies in Solving Local Issues in Urban Areas</t>
  </si>
  <si>
    <t>PRAVO-ZHURNAL VYSSHEI SHKOLY EKONOMIKI</t>
  </si>
  <si>
    <t>Russian</t>
  </si>
  <si>
    <t>Smart city; local issues; Smart technologies; digitalization; urban space; digital transformation; cities of the future</t>
  </si>
  <si>
    <t>The fruits of research and technological progress are being introduced in various spheres of society practically on a daily basis. Smart technologies, actively developing in urban space, form cities of the future, highly intelligent territories based on advanced innovative technologies that fully meet the needs of modern mankind. The purpose of this article is to analyze the technologies of the smart city, the mechanism of their legal regulation, as well the possibility of solving local issues with their help by local governments. Based on general and specific methods of legal research, the authors come to the conclusion that at present in Russia there are both legal and technical opportunities for the population and local governments to resolve issues of local importance using Smart technologies. However, the practice of their implementation indicates the presence of serious difficulties in the process of digitalization of municipalities. According to the authors, the creation of conditions for the introduction of technologies of a smart city must be carried out in all the most important areas of the urban life. Improving the safety and comfort of the urban environment, developing civic participation and increasing the transparency of management, optimizing the use of infrastructure and resources through the introduction of digital solutions can have a multiplier effect and seriously increase the indicators of comfortable life in urban areas. At the same time, although all of the identified areas are somehow consistent with the mechanism for resolving issues of local importance, determined by municipal legislation, examples of their effective development indicate the need for coordinated work at all levels of government - from federal to municipal. In this regard, the relevant legal regulation also needs to be developed, since the existence of ministerial acts is not enough for the coordinated implementation of measures in all areas of the development of smart cities in Russia. The authors maintain the need for the development of complex legislation in the sphere mentioned, that would envisage connected powers of public power bodies at all levels, including the municipal level.</t>
  </si>
  <si>
    <t>[Larichev, Alexander A.] Natl Res Univ Higher Sch Econ, 20 Myasnitskaya Str, Moscow 101000, Russia; [Kozhevnikov, Oleg A.] Ural State Law Univ, 21 Komsomolskaya Str, Ekaterinburg 620137, Russia; [Kozhevnikov, Oleg A.; Korsun, Ksenia I.] Ural State Univ Econ, 62-45 Narodnoy Voli Str, Ekaterinburg 620144, Russia</t>
  </si>
  <si>
    <t>HSE University (National Research University Higher School of Economics); Ural State Law University; Ural State University of Economics</t>
  </si>
  <si>
    <t>Larichev, AA (corresponding author), Natl Res Univ Higher Sch Econ, 20 Myasnitskaya Str, Moscow 101000, Russia.</t>
  </si>
  <si>
    <t>alarichev@hse.ru; jktu1976@yandex.ru; korsunksenia@mail.ru</t>
  </si>
  <si>
    <t>; Kozhevnikov, Oleg/AAE-9318-2020</t>
  </si>
  <si>
    <t>Кожевников, Олег/0000-0003-1371-7249; Корсун, Ксения/0000-0003-4160-7338;</t>
  </si>
  <si>
    <t>[TZ-155]</t>
  </si>
  <si>
    <t>The results of the project TZ-155 Methodology for monitoring rule-making and law enforcement practice in the field of urban planning, carried out within the framework of the Basic Research Program at the National Research University Higher School of Economics (HSE University) in 2023 are presented in this work.</t>
  </si>
  <si>
    <t>NATL RES UNIV HIGHER EDUCATION</t>
  </si>
  <si>
    <t>NATL RES UNIV HIGHER EDUCATION, MOSCOW, 00000, RUSSIA</t>
  </si>
  <si>
    <t>2072-8166</t>
  </si>
  <si>
    <t>PRAVO</t>
  </si>
  <si>
    <t>Pravo</t>
  </si>
  <si>
    <t>10.17323/2072-8166.2023.3.56.77</t>
  </si>
  <si>
    <t>Law</t>
  </si>
  <si>
    <t>Government &amp; Law</t>
  </si>
  <si>
    <t>U2UX4</t>
  </si>
  <si>
    <t>WOS:001083415400003</t>
  </si>
  <si>
    <t>Chavhan, S; Gupta, D; Gochhayat, SP; Chandana, BN; Khanna, A; Shankar, K; Rodrigues, JJPC</t>
  </si>
  <si>
    <t>Chavhan, Suresh; Gupta, Deepak; Gochhayat, Sarada Prasad; Chandana, B. N.; Khanna, Ashish; Shankar, K.; Rodrigues, Joel J. P. C.</t>
  </si>
  <si>
    <t>Edge Computing AI-IoT Integrated Energy-efficient Intelligent Transportation System for Smart Cities</t>
  </si>
  <si>
    <t>ACM TRANSACTIONS ON INTERNET TECHNOLOGY</t>
  </si>
  <si>
    <t>Artificial intelligence; Internet of Things; ITS; MAS; edge computing; cloud computing; cyber physical systems</t>
  </si>
  <si>
    <t>PREDICTION; MANAGEMENT; INTERNET</t>
  </si>
  <si>
    <t>With the advancement of information and communication technologies (ICTs), there has been high-scale utilization of IoT and adoption of AI in the transportation system to improve the utilization of energy, reduce greenhouse gas (GHG) emissions, increase quality of services, and provide many extensive benefits to the commuters and transportation authorities. In this article, we propose a novel edge-based AI-IoT integrated energy-efficient intelligent transport system for smart cities by using a distributed multi-agent system. An urban area is divided into multiple regions, and each region is sub-divided into a finite number of zones. At each zone an optimal number of RSUs are installed along with the edge computing devices. The MAS deployed at each RSU collects a huge volume of data from the various sensors, devices, and infrastructures. The edge computing device uses the collected raw data from the MAS to process, analyze, and predict. The predicted information will be shared with the neighborhood RSUs, vehicles, and cloud by using MAS with the help of IoT. The predicted information can be used by freight vehicles to maintain smooth and steady movement, which results in reduction in GHG emissions and energy consumption, and finally improves the freight vehicles' mileage by reducing traffic congestion in the urban areas. We have exhaustively carried out the simulation results and demonstrated the effectiveness of the proposed system.</t>
  </si>
  <si>
    <t>[Chavhan, Suresh] Vellore Inst Technolog, Automot Res Ctr, Vellore, Tamil Nadu, Brazil; [Chavhan, Suresh; Gupta, Deepak; Khanna, Ashish; Shankar, K.] Univ Fed Piaui, BR-64049550 Teresina, PI, Brazil; [Gupta, Deepak; Khanna, Ashish] Maharaja Agrasen Inst Technol, Delhi, India; [Gochhayat, Sarada Prasad] Old Dominion Univ, Norfolk, VA 23529 USA; [Chandana, B. N.] IIT Kharagpur, Dept Elect &amp; Elect Commun Engn, Kharagpur, W Bengal, India; [Rodrigues, Joel J. P. C.] Senac Fac Ceara, Fortaleza, Ceara, Brazil; [Rodrigues, Joel J. P. C.] Inst Telecomunicacoes, Covilh, Portugal</t>
  </si>
  <si>
    <t>Universidade Federal do Piaui; Maharaja Agrasen Institute of Technology; Old Dominion University; Indian Institute of Technology System (IIT System); Indian Institute of Technology (IIT) - Kharagpur</t>
  </si>
  <si>
    <t>Chavhan, S (corresponding author), Vellore Inst Technolog, Automot Res Ctr, Vellore, Tamil Nadu, Brazil.;Chavhan, S (corresponding author), Univ Fed Piaui, BR-64049550 Teresina, PI, Brazil.</t>
  </si>
  <si>
    <t>suresh.chavhan046@gmail.com; deepakgupta@mait.ac.in; sgochhay@odu.edu; chandanabn65@gmail.com; ashishkhanna@mait.ac.in; drkshankar@ieee.org; joeljr@ieee.org</t>
  </si>
  <si>
    <t>Chavhan, Suresh/C-4181-2019; Khanna, Ashish/AAK-2968-2020; Rodrigues, Joel/A-8103-2013; Gupta, Deepak/AAV-2728-2020; Kathiresan, Shankar/Y-9178-2018; Gupta, Deepak/Y-8610-2018</t>
  </si>
  <si>
    <t>Kathiresan, Shankar/0000-0002-2803-3846; Gupta, Deepak/0000-0002-3019-7161</t>
  </si>
  <si>
    <t>FCT/MCTES; EU funds [UIDB/50008/2020]; Brazilian National Council for Research and Development (CNPq) [313036/2020-9]</t>
  </si>
  <si>
    <t>FCT/MCTES(Fundacao para a Ciencia e a Tecnologia (FCT)); EU funds; Brazilian National Council for Research and Development (CNPq)(Conselho Nacional de Desenvolvimento Cientifico e Tecnologico (CNPQ))</t>
  </si>
  <si>
    <t>This work is supported by FCT/MCTES through national funds and when applicable co-funded EU funds under Project UIDB/50008/2020, and by the Brazilian National Council for Research and Development (CNPq) via Grant No. 313036/2020-9.</t>
  </si>
  <si>
    <t>1533-5399</t>
  </si>
  <si>
    <t>1557-6051</t>
  </si>
  <si>
    <t>ACM T INTERNET TECHN</t>
  </si>
  <si>
    <t>ACM Trans. Internet. Technol.</t>
  </si>
  <si>
    <t>10.1145/3507906</t>
  </si>
  <si>
    <t>9Z4IP</t>
  </si>
  <si>
    <t>WOS:000951106600026</t>
  </si>
  <si>
    <t>Tahmasseby, S</t>
  </si>
  <si>
    <t>Tahmasseby, Shahram</t>
  </si>
  <si>
    <t>The Implementation of Smart Mobility for Smart Cities: A Case Study in Qatar</t>
  </si>
  <si>
    <t>CIVIL ENGINEERING JOURNAL-TEHRAN</t>
  </si>
  <si>
    <t>Smart City; Smart Mobility; Mobility-As-A-Service (MaaS); Real-Time Transportation Data; Intelligent Transportation Systems (ITS); Lusail City</t>
  </si>
  <si>
    <t>This paper contributes to building a systematic view of the mobility characteristics of smart cities by reviewing the lessons learned from the best practices implemented around the world. The main features of smart cities, such as smart homes, smart infrastructure, smart operations, smart services, smart utilities, smart energy, smart governance, smart lifestyle, smart business, and smart mobility in North America, Asia, and Europe are briefly reviewed. The study predominantly focuses on smart mobility features and their implications in newly built smart cities. As a case study, the modern city of Lusail located in the north of Doha, Qatar is considered. The provision of car park management and guidance, real-time traffic signal control, traffic information system, active-modes arrangement in promenade and busy urban avenues, LRT, buses, taxis, and water taxis information system, and multimodal journey planning facilities in the Lusail smart city is discussed in this study. Consequently, the implications of smart mobility features on adopting Intelligent Transportation Systems (ITS) will be studied. The study demonstrates that the implementation of Information and Communication Technologies (ICT) when supported by Intelligent Transportation Systems (ITS), could result in making the most efficient use of existing transportation infrastructure and consequently improve the safety and security, mobility, and the environment in urban areas. The findings of this study could be considered an initial step in the implementation of Mobility-as-a-Service (MaaS) in cities with advanced public transportation such as Doha, the capital of Qatar.</t>
  </si>
  <si>
    <t>[Tahmasseby, Shahram] Qatar Univ, Coll Engn, Qatar Transportat &amp; Traff Safety Ctr QTTSC, Dept Civil &amp; Architectural Engn, Doha, Qatar</t>
  </si>
  <si>
    <t>Qatar University</t>
  </si>
  <si>
    <t>Tahmasseby, S (corresponding author), Qatar Univ, Coll Engn, Qatar Transportat &amp; Traff Safety Ctr QTTSC, Dept Civil &amp; Architectural Engn, Doha, Qatar.</t>
  </si>
  <si>
    <t>stahmasseby@qu.edu.qa</t>
  </si>
  <si>
    <t>Qatar National Research Fund; [NPRP 13S-0130-200211]</t>
  </si>
  <si>
    <t>Qatar National Research Fund(Qatar National Research Fund (QNRF));</t>
  </si>
  <si>
    <t>The publication of this article is made possible by the financial support of the Qatar National Research Fund (a member of Qatar Foundation) under the NPRP grant</t>
  </si>
  <si>
    <t>C EJ PUBLISHING GROUP</t>
  </si>
  <si>
    <t>TEHRAN</t>
  </si>
  <si>
    <t>DR KAVIANPOUR OFF, 3RD FL CIVIL ENGINEERING FAC, K N TOOSI UNIV TECHNOLOGY, TEHRAN, 00000, IRAN</t>
  </si>
  <si>
    <t>2676-6957</t>
  </si>
  <si>
    <t>2476-3055</t>
  </si>
  <si>
    <t>CIV ENG J-TEHRAN</t>
  </si>
  <si>
    <t>Civ. Eng, J.-Tehran</t>
  </si>
  <si>
    <t>10.28991/CEJ-2022-08-10-09</t>
  </si>
  <si>
    <t>Engineering, Civil</t>
  </si>
  <si>
    <t>6I2CM</t>
  </si>
  <si>
    <t>WOS:000885936900009</t>
  </si>
  <si>
    <t>Adelantado, F; Ammouriova, M; Herrera, E; Juan, AA; Shinde, SS; Tarchi, D</t>
  </si>
  <si>
    <t>Adelantado, Ferran; Ammouriova, Majsa; Herrera, Erika; Juan, Angel A.; Shinde, Swapnil Sadashiv; Tarchi, Daniele</t>
  </si>
  <si>
    <t>Internet of Vehicles and Real-Time Optimization Algorithms: Concepts for Vehicle Networking in Smart Cities</t>
  </si>
  <si>
    <t>vehicle networking; Internet of Vehicles; IoT analytics; data analytics; agile optimization; distributed machine learning; smart cities</t>
  </si>
  <si>
    <t>RECURRENT NEURAL-NETWORKS; RESOURCE-ALLOCATION; ROUTING PROBLEM; VEHICULAR NETWORKS; EDGE; 5G; V2X; TECHNOLOGIES; FRAMEWORK; PROTOCOLS</t>
  </si>
  <si>
    <t>Achieving sustainable freight transport and citizens' mobility operations in modern cities are becoming critical issues for many governments. By analyzing big data streams generated through IoT devices, city planners now have the possibility to optimize traffic and mobility patterns. IoT combined with innovative transport concepts as well as emerging mobility modes (e.g., ridesharing and carsharing) constitute a new paradigm in sustainable and optimized traffic operations in smart cities. Still, these are highly dynamic scenarios, which are also subject to a high uncertainty degree. Hence, factors such as real-time optimization and re-optimization of routes, stochastic travel times, and evolving customers' requirements and traffic status also have to be considered. This paper discusses the main challenges associated with Internet of Vehicles (IoV) and vehicle networking scenarios, identifies the underlying optimization problems that need to be solved in real time, and proposes an approach to combine the use of IoV with parallelization approaches. To this aim, agile optimization and distributed machine learning are envisaged as the best candidate algorithms to develop efficient transport and mobility systems.</t>
  </si>
  <si>
    <t>[Adelantado, Ferran; Ammouriova, Majsa; Herrera, Erika] Univ Oberta Catalunya, Dept Comp Sci Multimedia &amp; Telecommun, Barcelona 08018, Spain; [Juan, Angel A.] Univ Politecn Valencia, Dept Appl Stat &amp; Operat Res, Alcoy 03801, Spain; [Shinde, Swapnil Sadashiv; Tarchi, Daniele] Univ Bologna, Dept Elect Elect &amp; Informat Engn Guglielmo Marconi, I-40126 Bologna, Italy</t>
  </si>
  <si>
    <t>UOC Universitat Oberta de Catalunya; Universitat Politecnica de Valencia; University of Bologna</t>
  </si>
  <si>
    <t>Tarchi, D (corresponding author), Univ Bologna, Dept Elect Elect &amp; Informat Engn Guglielmo Marconi, I-40126 Bologna, Italy.</t>
  </si>
  <si>
    <t>daniele.tarchi@unibo.it</t>
  </si>
  <si>
    <t>; Shinde, Swapnil/ABF-8762-2022; Adelantado, Ferran/AAD-4553-2019; Adelantado, Ferran/M-4878-2017; Tarchi, Daniele/A-4930-2010; Juan, Angel/GWZ-7540-2022; Ammouriova, Majsa/AAI-8442-2021</t>
  </si>
  <si>
    <t>Juan, Angel A/0000-0003-1392-1776; shinde, swapnil sadashiv/0000-0003-2716-6441; Adelantado, Ferran/0000-0002-9696-1169; Herrera Machado, Erika Magdalena/0000-0001-9905-2203; Tarchi, Daniele/0000-0001-7338-1957;</t>
  </si>
  <si>
    <t>Spanish Ministry of Science and Innovation [PID2019-111100RB-C21/AEI/10.13039/501100011033]; RF-VOLUTION project [PID2021-122247OB-I00]; Barcelona City Council-La Caixa' Foundation [21S09355-001]</t>
  </si>
  <si>
    <t>Spanish Ministry of Science and Innovation(Spanish GovernmentMinistry of Science &amp; Innovation, Spain (MICINN)); RF-VOLUTION project; Barcelona City Council-La Caixa' Foundation</t>
  </si>
  <si>
    <t>This research was partially supported by the Spanish Ministry of Science and Innovation (PID2019-111100RB-C21/AEI/10.13039/501100011033), RF-VOLUTION project (PID2021-122247OB-I00) and the Barcelona City Council-La Caixa' Foundation (21S09355-001).</t>
  </si>
  <si>
    <t>2624-8921</t>
  </si>
  <si>
    <t>VEHICLES-BASEL</t>
  </si>
  <si>
    <t>Vehicles</t>
  </si>
  <si>
    <t>10.3390/vehicles4040065</t>
  </si>
  <si>
    <t>Engineering, Mechanical; Transportation Science &amp; Technology</t>
  </si>
  <si>
    <t>7J0QC</t>
  </si>
  <si>
    <t>WOS:000904291200001</t>
  </si>
  <si>
    <t>Büyüközkan, G; Göçer, F; Feyzioglu, O</t>
  </si>
  <si>
    <t>Kahraman, C; Oztaysi, B; Tolga, C; Otay, I; Cebi, S; Onar, SC; Sari, IU</t>
  </si>
  <si>
    <t>Buyukozkan, Gulcin; Gocer, Fethullah; Feyzioglu, Orhan</t>
  </si>
  <si>
    <t>Prioritizing Urban Logistics Strategies for Istanbul Using IVPF-MULTIMOORA Approach</t>
  </si>
  <si>
    <t>INTELLIGENT AND FUZZY SYSTEMS, INFUS 2025, VOL 4</t>
  </si>
  <si>
    <t>2025 International Conference on Intelligent and Fuzzy Systems-INFUS-Annual</t>
  </si>
  <si>
    <t>JUL 29-31, 2025</t>
  </si>
  <si>
    <t>Istanbul, TURKIYE</t>
  </si>
  <si>
    <t>Urban Logistics; Interval-Valued Pythagorean Fuzzy Sets; Multi-Criteria Decision-Making; MULTIMOORA; Strategy Prioritization</t>
  </si>
  <si>
    <t>PYTHAGOREAN MEMBERSHIP GRADES; CITY LOGISTICS</t>
  </si>
  <si>
    <t>As urban populations continue to grow, cities have become central hubs for logistics, posing both opportunities and significant challenges. Increasing dependence on private vehicles and freight transport has led to rising traffic congestion, air pollution, transportation costs, and product prices. In response, Urban Logistics has emerged as a specialized discipline aiming to improve efficiency, environmental sustainability, traffic flow, safety, and energy use. These objectives reflect three core pillars: sustainability, mobility, and livability. This study seeks to prioritize urban logistics strategies for Istanbul by integrating these pillars into a structured decision-making process. In the first phase, a comprehensive literature review and expert consultations were conducted to identify context-specific strategies and evaluation criteria. In the second phase, the MULTIMOORA method-an advanced multi-criteria decision-making (MCDM) technique-was applied under an Interval-Valued Pythagorean Fuzzy (IVPF) environment to address uncertainty and imprecision in expert judgments. The findings provide valuable insights for policymakers and stakeholders, supporting the development of a more efficient, sustainable, and livable urban logistics system tailored to the unique dynamics of Istanbul.</t>
  </si>
  <si>
    <t>[Buyukozkan, Gulcin; Feyzioglu, Orhan] Galatasaray Univ, Dept Ind Engn, Istanbul, Turkiye; [Gocer, Fethullah] Kahramanmaras Sutcu Imam Univ, Dept Ind Engn, Kahramanmaras, Turkiye</t>
  </si>
  <si>
    <t>Galatasaray University; Kahramanmaras Sutcu Imam University</t>
  </si>
  <si>
    <t>Büyüközkan, G (corresponding author), Galatasaray Univ, Dept Ind Engn, Istanbul, Turkiye.</t>
  </si>
  <si>
    <t>GÖÇER, FETHULLAH/A-1259-2016</t>
  </si>
  <si>
    <t>The authors acknowledge the experts for their invaluable input to this research. Their contributions have been instrumental in this study. This paper is financially supported by the Galatasaray University Research Fund (FOA-2023-1181).</t>
  </si>
  <si>
    <t>978-3-031-98303-0; 978-3-031-98304-7</t>
  </si>
  <si>
    <t>10.1007/978-3-031-98304-7_67</t>
  </si>
  <si>
    <t>Computer Science, Artificial Intelligence; Computer Science, Interdisciplinary Applications; Mathematics, Applied</t>
  </si>
  <si>
    <t>BZ4SO</t>
  </si>
  <si>
    <t>WOS:001587127900067</t>
  </si>
  <si>
    <t>Marcucci, E; Gatta, V; Le Pira, M; Hansson, L; Bråthen, S</t>
  </si>
  <si>
    <t>Marcucci, Edoardo; Gatta, Valerio; Le Pira, Michela; Hansson, Lisa; Brathen, Svein</t>
  </si>
  <si>
    <t>Digital Twins: A Critical Discussion on Their Potential for Supporting Policy-Making and Planning in Urban Logistics</t>
  </si>
  <si>
    <t>digital twins; urban freight; living lab; behavioural models; policy; planning</t>
  </si>
  <si>
    <t>BIG DATA; LANDSCAPE; VISUALIZATIONS; INTELLIGENCE; CHALLENGES; GUIDANCE</t>
  </si>
  <si>
    <t>Poor logistics efficiency, due to low load factors caused by high demand fragmentation, will have relevant negative consequences for cities in terms of pollution, congestion and overall city liveability. Policy-makers should equip themselves with appropriate tools to perform reliable, comprehensive and timely analyses of urban logistics scenarios, also considering upcoming (i) technological changes, (ii) business model evolutions and (iii) spatial-temporal changes these innovations will produce. This paper discusses the Digital Twin (DT) concept, illustrating the role it might play and clarifying how to properly conceive it with respect to urban freight transport policy-making and planning. The main message is that without a sound theory and knowledge with respect to the relationships linking contextual reality and choice/behaviour, it is not possible to make sense of what happens in the real world. Therefore, the joint use of behavioural and simulation models should characterise a DT within a Living Lab approach so to stimulate effective, well-informed and participated planning processes, but also to forecast both behaviour and reactions to structural changes and policy measures implementations.</t>
  </si>
  <si>
    <t>[Marcucci, Edoardo; Gatta, Valerio; Hansson, Lisa; Brathen, Svein] Molde Univ Coll, Fac Logist, N-6410 Molde, Norway; [Marcucci, Edoardo; Gatta, Valerio] Univ Roma Tre, Dept Polit Sci, I-00145 Rome, Italy; [Le Pira, Michela] Univ Catania, Dept Civil Engn &amp; Architecture, I-95123 Catania, Italy</t>
  </si>
  <si>
    <t>Molde University College; Roma Tre University; University of Catania</t>
  </si>
  <si>
    <t>Marcucci, E (corresponding author), Molde Univ Coll, Fac Logist, N-6410 Molde, Norway.;Marcucci, E (corresponding author), Univ Roma Tre, Dept Polit Sci, I-00145 Rome, Italy.;Le Pira, M (corresponding author), Univ Catania, Dept Civil Engn &amp; Architecture, I-95123 Catania, Italy.</t>
  </si>
  <si>
    <t>Edoardo.Marcucci@himolde.no; valerio.gatta@uniroma3.it; mlepira@dica.unict.it; Lisa.Hansson@himolde.no; Svein.Brathen@himolde.no</t>
  </si>
  <si>
    <t>Le Pira, Michela/M-8220-2015; MArcucci, Edoardo/AAP-5143-2021; marcucci, edoardo/AAJ-6539-2020</t>
  </si>
  <si>
    <t>Le Pira, Michela/0000-0002-5963-0854; Gatta, Valerio/0000-0003-1631-1797; Hansson, Lisa/0000-0001-6480-8752</t>
  </si>
  <si>
    <t>European Union's Horizon 2020 research and innovation program [861598]; SNAPSHOT project from National Research Council Norway [303094]; project AIM Linea di Attivita 3-Mobilita sostenibile: Trasporti under the programme PON Ricerca e Innovazione 2014-2020-Fondo Sociale Europeo, Azione 1.2 Attrazione e mobilita internazionale dei ricercatori [CUP E66C18001380007]</t>
  </si>
  <si>
    <t>European Union's Horizon 2020 research and innovation program(Horizon 2020); SNAPSHOT project from National Research Council Norway; project AIM Linea di Attivita 3-Mobilita sostenibile: Trasporti under the programme PON Ricerca e Innovazione 2014-2020-Fondo Sociale Europeo, Azione 1.2 Attrazione e mobilita internazionale dei ricercatori</t>
  </si>
  <si>
    <t>Edoardo Marcucci, Valerio Gatta, Lisa Hansson, and Svein Brathen would like to acknowledge the funding from the European Union's Horizon 2020 research and innovation program under grant agreement No 861598 for the LEAD project (www.leadproject.eu/).Furthermore, Edoardo Marcucci, Valerio Gatta and Lisa Hansson would like to acknowledge the SNAPSHOT project from National Research Council Norway under grant agreement No 303094. Additionally, Edoardo Marcucci and Valerio Gatta would like to acknowledge the SHARELAB project (Sharing Economy in a Living Lab) from Roma Tre University (Research Development Plan: Action 4). Michela Le Pira would like to acknowledge the project AIM Linea di Attivita 3-Mobilita sostenibile: Trasporti (unique project code CUP E66C18001380007) under the programme PON Ricerca e Innovazione 2014-2020-Fondo Sociale Europeo, Azione 1.2 Attrazione e mobilita internazionale dei ricercatori.</t>
  </si>
  <si>
    <t>10.3390/su122410623</t>
  </si>
  <si>
    <t>PL6AG</t>
  </si>
  <si>
    <t>WOS:000603201700001</t>
  </si>
  <si>
    <t>Ma, JC; Wang, L; Jiang, ZQ; Yan, WF; Zhou, WX</t>
  </si>
  <si>
    <t>Ma, Jun-Chao; Wang, Li; Jiang, Zhi-Qiang; Yan, Wanfeng; Zhou, Wei-Xing</t>
  </si>
  <si>
    <t>City logistics networks based on online freight orders in China</t>
  </si>
  <si>
    <t>PHYSICA A-STATISTICAL MECHANICS AND ITS APPLICATIONS</t>
  </si>
  <si>
    <t>City logistics network; Complex network; Network centrality; Hierarchical structure</t>
  </si>
  <si>
    <t>YANGTZE-RIVER DELTA; SERVICES</t>
  </si>
  <si>
    <t>The development of logistics accelerates the transportation process, which in turn increases the exchanging efficiency between cities. To understand such exchanging interactions among cities, we build a city logistics network based on a unique data set, which contains millions of online freight orders spanning a period of one year. It is found that this network exhibits a disassortative configuration and its link weight (respectively, node strength) follows a Weibull (an exponential) distribution. We also find that the hierarchical structure of the city logistics network is highly consistent with the strategic layout of constructing modern comprehensive transportation system plan in China's Thirteenth Five-Year Plan. Furthermore, it is observed that the cities with high Gross Domestic Product (GDP) have high centrality in the city logistics network and the logistics flows between two cities are proportional to the product of their GDPs. Our results not only uncover the topological and hierarchical structure of the city logistics network in China, but also provide an understanding of the structural shaping force on the growth of city logistics network. (C) 2021 Elsevier B.V. All rights reserved.</t>
  </si>
  <si>
    <t>[Ma, Jun-Chao; Wang, Li; Jiang, Zhi-Qiang; Zhou, Wei-Xing] East China Univ Sci &amp; Technol, Sch Business, Shanghai 200237, Peoples R China; [Ma, Jun-Chao; Wang, Li; Jiang, Zhi-Qiang; Zhou, Wei-Xing] East China Univ Sci &amp; Technol, Res Ctr Econophys, Shanghai 200237, Peoples R China; [Ma, Jun-Chao; Yan, Wanfeng] Zhicang Technol, Beijing 100020, Peoples R China</t>
  </si>
  <si>
    <t>East China University of Science &amp; Technology; East China University of Science &amp; Technology</t>
  </si>
  <si>
    <t>Jiang, ZQ (corresponding author), East China Univ Sci &amp; Technol, Sch Business, Shanghai 200237, Peoples R China.;Jiang, ZQ (corresponding author), East China Univ Sci &amp; Technol, Res Ctr Econophys, Shanghai 200237, Peoples R China.;Yan, WF (corresponding author), Zhicang Technol, Beijing 100020, Peoples R China.</t>
  </si>
  <si>
    <t>zqjiang@ecust.edu.cn; wanfeng.yan@gmail.com; wxzhou@ecust.edu.cn</t>
  </si>
  <si>
    <t>Ma, Jun-Chao/MSW-1335-2025; Zhou, Wei-Xing/B-1250-2008; Jiang, Zhi-Qiang/B-5746-2008</t>
  </si>
  <si>
    <t>Zhou, Wei-Xing/0000-0002-8952-8228; Ma, Jun-Chao/0000-0001-6136-5650</t>
  </si>
  <si>
    <t>National Social Science Fund Youth Project, China [20CJY020]; Fundamental Research Funds for the Central Universities, China</t>
  </si>
  <si>
    <t>National Social Science Fund Youth Project, China; Fundamental Research Funds for the Central Universities, China(Fundamental Research Funds for the Central Universities)</t>
  </si>
  <si>
    <t>This work was partly supported by the National Social Science Fund Youth Project, China No. 20CJY020 and the Fundamental Research Funds for the Central Universities, China.</t>
  </si>
  <si>
    <t>0378-4371</t>
  </si>
  <si>
    <t>1873-2119</t>
  </si>
  <si>
    <t>PHYSICA A</t>
  </si>
  <si>
    <t>Physica A</t>
  </si>
  <si>
    <t>10.1016/j.physa.2021.126333</t>
  </si>
  <si>
    <t>Physics, Multidisciplinary</t>
  </si>
  <si>
    <t>Physics</t>
  </si>
  <si>
    <t>UY1YO</t>
  </si>
  <si>
    <t>WOS:000701326800039</t>
  </si>
  <si>
    <t>Pietrzak, O; Pietrzak, K</t>
  </si>
  <si>
    <t>Pietrzak, Oliwia; Pietrzak, Krystian</t>
  </si>
  <si>
    <t>Cargo tram in freight handling in urban areas in Poland</t>
  </si>
  <si>
    <t>Cargo tram; Passenger tram; Cargo flows; City logistics; Sustainable transport; Sustainable city</t>
  </si>
  <si>
    <t>LOW-EMISSION ZONES; CITY LOGISTICS; AIR-POLLUTION; POTENTIAL IMPLEMENTATION; PEDESTRIAN EXPOSURE; TRAFFIC POLICIES; TRANSPORT; IMPACTS; QUALITY; CONGESTION</t>
  </si>
  <si>
    <t>Trams are usually used to carry passengers, but across Europe there are some examples of using them for carrying freight ('CarGoTram' of Dresden, Germany and the 'Cargo-Tram' of Zurich, Switzerland). There are specific conditions that provide a possibility of using trams for cargo delivery in urban areas. They concern infrastructural, economic, and organisational issues. The main purpose of this article was to identify the conditions and determine the possibilities of implementing a cargo tram in urban areas in Poland. This article has shown that in individual urban transportation systems there are factors that facilitate or inhibit implementation of cargo trams in UFT, and implementation of a concrete solution should be adjusted to the local conditions so that the tram transport system is not disturbed in providing its basic function, i.e. serving the public passenger traffic. To achieve the assumed aim, the following research methods were used: literature review, documentary method, Delphi method, and case study. The area of research was the city of Szczecin, Poland.</t>
  </si>
  <si>
    <t>[Pietrzak, Oliwia; Pietrzak, Krystian] Maritime Univ Szczecin, Waly Chrobrego 1-2 Str, PL-70500 Szczecin, Poland</t>
  </si>
  <si>
    <t>Pietrzak, K (corresponding author), Maritime Univ Szczecin, Waly Chrobrego 1-2 Str, PL-70500 Szczecin, Poland.</t>
  </si>
  <si>
    <t>k.pietrzak@am.szczecin.pl</t>
  </si>
  <si>
    <t>; Pietrzak, Oliwia/ACQ-6243-2022; Pietrzak, Krystian/AAH-8658-2020</t>
  </si>
  <si>
    <t>Pietrzak, Krystian/0000-0002-9145-4790; Pietrzak, Oliwia/0000-0003-4422-421X;</t>
  </si>
  <si>
    <t>10.1016/j.scs.2021.102902</t>
  </si>
  <si>
    <t>SM6AW</t>
  </si>
  <si>
    <t>WOS:000657686800001</t>
  </si>
  <si>
    <t>Marin, MAFV</t>
  </si>
  <si>
    <t>Fernandez-Villacatias Marin, Manuel Antonio</t>
  </si>
  <si>
    <t>Towards a more Hyperconnected, Smart, and Sustainable Urban Logistics: Development and Applications of Urban Logistics Platforms 4.0</t>
  </si>
  <si>
    <t>LOGISTIQUA2020: 2020 IEEE 13TH INTERNATIONAL COLLOQUIUM OF LOGISTICS AND SUPPLY CHAIN MANAGEMENT (LOGISTIQUA 2020)</t>
  </si>
  <si>
    <t>13th IEEE International Colloquium of Logistics and Supply Chain Management (LOGISTIQUA)</t>
  </si>
  <si>
    <t>DEC 02-04, 2020</t>
  </si>
  <si>
    <t>Urban Logistics; New Logistics Platforms; Digital Transformation; Logistics 4.0; Sustainability</t>
  </si>
  <si>
    <t>The main objective that has been proposed for this work has been the analysis of the aspects that can make urban logistics more efficient and sustainable, in terms of the application of logistics 4.0 and new logistics platforms. For its realization, the main restrictions that hinder the development of smarter and more sustainable cities were analysed, as well as the main metropolitan logistics problems. In the application of the new logistics platforms, the main aspects of its omni-modal, synchro-modal, intelligent and hyperconnected transformation were analysed, within the concept of sustainable global logistics. The result of all this will be the development of a new territorial planning and integration of commercial areas, logistics centres, routes, and corridors, in which the metropolitan areas will stand out as catalysts for their economic and logistical development.</t>
  </si>
  <si>
    <t>[Fernandez-Villacatias Marin, Manuel Antonio] M&amp;M Planning &amp; Project Management, Madrid, Spain; [Fernandez-Villacatias Marin, Manuel Antonio] Tech Univ Madrid, Madrid, Spain</t>
  </si>
  <si>
    <t>Universidad Politecnica de Madrid</t>
  </si>
  <si>
    <t>Marin, MAFV (corresponding author), M&amp;M Planning &amp; Project Management, Madrid, Spain.;Marin, MAFV (corresponding author), Tech Univ Madrid, Madrid, Spain.</t>
  </si>
  <si>
    <t>manuel.fernandez@mm-ppm.com</t>
  </si>
  <si>
    <t>Fernández-Villacañas Marín, Manuel Antonio/AFD-0144-2022</t>
  </si>
  <si>
    <t>978-1-7281-9881-1</t>
  </si>
  <si>
    <t>10.1109/LOGISTIQUA49782.2020.9353917</t>
  </si>
  <si>
    <t>BU4IQ</t>
  </si>
  <si>
    <t>WOS:000899774200021</t>
  </si>
  <si>
    <t>Mourad, R</t>
  </si>
  <si>
    <t>Mourad, Rehioui</t>
  </si>
  <si>
    <t>Urban logistics: Quantification of delivery area needs, levers to optimize last mile logistics</t>
  </si>
  <si>
    <t>French</t>
  </si>
  <si>
    <t>Urban logistics; Last-mile logistics; Delivery bays; package delivery cost</t>
  </si>
  <si>
    <t>FREIGHT TRANSPORT</t>
  </si>
  <si>
    <t>Urban logistics is a discipline born in the 1990s, with the aim of solving the problems that exist regarding the nuisance caused by the urban freight transport. The optimisation of urban logistics takes a crucial importance not only for the development of the logistics competitiveness of the country but also for the economic development. The optimisation of logistics also enables a better quality of life and promotes the accessibility and attractiveness of urban communities. Urban freight transport and package delivery have undergone a paradigm shift in recent decades, caused by increasing urbanisation and the development of cities. Highly studied in terms of public policies and decision making methods, this discipline has left the supply chain management dimension and the link with the global supply chain in the background. This dimension is fundamental for the sustainability of urban distribution systems with a high environmental respect. The planning and quantification of urban freight delivery areas is one of the main tools for improving delivery conditions in public spaces. The implementation of these areas addresses a problem of management of the use of urban space by the various users. Indeed, economic activities generate many movements of goods which increase the need for deliveries. The non-inclusion of loading/unloading movements in the planning of urban space can be the source of many dysfunctions (congestion, road insecurity, noise pollution, etc.). The existence of parking areas dedicated to professionals also has a major economic aspect. The time spent by operators in finding a parking location directly impacts their efficiency and economic performance. This research paper aims to analyse the relationship between the neglect of package delivery needs in urban space planning and the performance of last-mile logistics in the city of Meknes. According to the results of the survey, more than 55% of the operators consider that the supply of parking spaces is insufficient and that the time spent by delivery personnel to find a location has a negative impact on the cost of package delivery.</t>
  </si>
  <si>
    <t>[Mourad, Rehioui] Univ Sidi Med Ben Abdellah, Lab Technol &amp; Serv Ind LTSI, Ecole Superieure Technol Fes, Fes, Morocco</t>
  </si>
  <si>
    <t>Mourad, R (corresponding author), Univ Sidi Med Ben Abdellah, Lab Technol &amp; Serv Ind LTSI, Ecole Superieure Technol Fes, Fes, Morocco.</t>
  </si>
  <si>
    <t>10.1109/LOGISTIQUA49782.2020.9353922</t>
  </si>
  <si>
    <t>WOS:000899774200001</t>
  </si>
  <si>
    <t>Parcel delivery in urban areas: Opportunities and threats for the mix of traditional and green business models</t>
  </si>
  <si>
    <t>Green transportation; GUEST; Last mile; Parcel delivery; City logistics</t>
  </si>
  <si>
    <t>TRAVELING SALESMAN PROBLEM; VEHICLE-ROUTING PROBLEM; CITY LOGISTICS; FREIGHT TRANSPORT; COST; OPTIMIZATION</t>
  </si>
  <si>
    <t>In recent years, the role of freight transportation and parcel delivery in urban areas has increased, supporting the economic and social development of cities. At the same time, the industry is affected by various issues, inefficiencies, and externalities, particularly in the last-mile segment. As such, there is an emerging awareness of a need to improve urban mobility and transportation, making them more sustainable and competitive by mixing traditional and emerging technologies, such as cargo bikes, autonomous vehicles, and drones. In contrast, the complexity of the overall system, characterized by multiple actors with conflicting goals, requires a strategy that harmonizes these actors' business and operational models. This study contributes in this direction along three axes. First, it defines the main actors involved in urban parcel delivery, and then analyzes their business models and the interactions between them. Second, it investigates the integration of traditional and green logistics (mainly cycle-logistics), from both business and operational perspectives, in order to identify synergies, conflicts, and the operational and economic consequences of adopting green vehicles. Third, it introduces a simulation-optimization decision support system tool capable of assessing mixed-fleet policies for the management of parcel delivery in urban areas. Finally, the decision support system is tested using real data of the city of Turin.</t>
  </si>
  <si>
    <t>[Perboli, Guido; Rosano, Mariangela] Politecn Torino, ICT City Logist &amp; Enterprises, Turin, Italy; [Perboli, Guido] CIRRELT, Montreal, PQ, Canada</t>
  </si>
  <si>
    <t>Polytechnic University of Turin; Universite de Montreal</t>
  </si>
  <si>
    <t>Perboli, G (corresponding author), Politecn Torino, ICT City Logist &amp; Enterprises, Turin, Italy.;Perboli, G (corresponding author), CIRRELT, Montreal, PQ, Canada.</t>
  </si>
  <si>
    <t>guido.perboli@polito.it</t>
  </si>
  <si>
    <t>Italian University and Research Ministry under the UrbeLOG project-Smart Cities and Communities; SYNCHRO-NET project, H2020-EU.3.4. - Societal Challenges - Smart, green and Integrated Transport [636354]; H2020 Societal Challenges Programme [636354] Funding Source: H2020 Societal Challenges Programme</t>
  </si>
  <si>
    <t>Italian University and Research Ministry under the UrbeLOG project-Smart Cities and Communities; SYNCHRO-NET project, H2020-EU.3.4. - Societal Challenges - Smart, green and Integrated Transport; H2020 Societal Challenges Programme(Horizon 2020European Union (EU)H2020 Societal Challenges Programme)</t>
  </si>
  <si>
    <t>Partial funding for this project was provided by the Italian University and Research Ministry under the UrbeLOG project-Smart Cities and Communities and the SYNCHRO-NET project, H2020-EU.3.4. - Societal Challenges - Smart, green and Integrated Transport, Ref. 636354.</t>
  </si>
  <si>
    <t>10.1016/j.trc.2019.01.006</t>
  </si>
  <si>
    <t>HM3IV</t>
  </si>
  <si>
    <t>WOS:000459367900002</t>
  </si>
  <si>
    <t>Talebkhah, M; Sali, A; Gordan, M; Hashim, SJ; Rokhani, FZ</t>
  </si>
  <si>
    <t>Talebkhah, Marieh; Sali, Aduwati; Gordan, Meisam; Hashim, Shaiful Jahari; Rokhani, Fakhrul Zaman</t>
  </si>
  <si>
    <t>Comprehensive Review on Development of Smart Cities Using Industry 4.0 Technologies</t>
  </si>
  <si>
    <t>Internet of Things; Urban areas; Cloud computing; Big Data; Smart cities; Computer architecture; Transportation; Smart Cities (SCs); Big Data (BD); Internet of Things (IoT); cloud computing (CC); architecture and implementation of Smart Cities; Industry 40</t>
  </si>
  <si>
    <t>BIG DATA ANALYTICS; ARTIFICIAL-INTELLIGENCE; DATA-MANAGEMENT; SUSTAINABLE CITIES; DATA-COLLECTION; HEALTH-CARE; IOT APPLICATIONS; CITY PROJECTS; CHALLENGES; INTERNET</t>
  </si>
  <si>
    <t>Smart Cities (SCs) have recently opened new lifestyles as they introduce effective approaches for improving urban management. These cities integrate Industry 4.0 technologies and new organizations into a social and technical system. A Smart City (SC) finally aims to integrate urban business, transportation, water, energy, and other subsystems by analyzing the data collected from sensors and Information and Communication Technology (ICT). In this regard, the current article proposes a hybrid structure based on Cloud Computing (CC), cloud processing, and internet technology to develop and manage SCs and urban planning. Moreover, the development and analysis of sensors to construct an SC, as well as supporting technologies, are addressed. Therefore, the present research is focused on defining and reviewing large data and objects of the Internet and CC to identify the current challenges and limitations. This research, thus, introduced a novel approach in the context of the Internet of objects, whose data are gathered from different geographic locations through devices and sensors to be used in a new system. CC services in a city can analyze and make smart decisions to optimally manage SCs and improve the welfare of citizens. This study consequently sets the path for further investigation into the problems and difficulties associated with Big Data (BD) applications in SCs.</t>
  </si>
  <si>
    <t>[Talebkhah, Marieh; Sali, Aduwati] Univ Putra Malaysia, Fac Engn, Wireless &amp; Photon Networks Res Ctr Excellence WiPN, Dept Comp &amp; Commun Syst Engn, Seri Kembangan 43400, Selangor, Malaysia; [Gordan, Meisam] Univ Coll Dublin UCD, Sch Civil Engn, Dublin D04 V1W8, Ireland; [Hashim, Shaiful Jahari; Rokhani, Fakhrul Zaman] Univ Putra Malaysia UPM, Fac Engn, Dept Comp &amp; Commun Syst Engn, Seri Kembangan 43400, Selangor, Malaysia</t>
  </si>
  <si>
    <t>Universiti Putra Malaysia; University College Dublin</t>
  </si>
  <si>
    <t>Talebkhah, M; Sali, A (corresponding author), Univ Putra Malaysia, Fac Engn, Wireless &amp; Photon Networks Res Ctr Excellence WiPN, Dept Comp &amp; Commun Syst Engn, Seri Kembangan 43400, Selangor, Malaysia.</t>
  </si>
  <si>
    <t>marieh.t2018@gmail.com; aduwati@upm.edu.my</t>
  </si>
  <si>
    <t>Rokhani, Fakhrul Zaman/L-2896-2016; Gordan, Meisam/AAQ-9103-2021; Sali, Aduwati/A-9666-2010; Hashim, Shaiful/GPF-3805-2022; Talebkhah, Marieh/ADG-5820-2022; Rokhani, Fakhrul/L-2896-2016</t>
  </si>
  <si>
    <t>Rokhani, Fakhrul Zaman/0000-0001-6449-8184; Sali, Aduwati/0000-0002-1692-6516; Talebkhah, Marieh/0000-0003-0224-6824;</t>
  </si>
  <si>
    <t>Projects EMOSEN-Energy Efficient MIMO-Based Wireless Transmission for SWIPT-Enabled Network [UPM/800-3/3/1/GPB/2019/9671600, 9671600]; Geran Putra Berimpak BIDANET: Parametric Big DataAnalytics Over Wireless Networks [UPM.RMC.800-3/3/1/GPB/2021/9696300, 9696300]; IGNITE-Interference Modeling for 5G and FSS Coexistence at mmWave With Climate Change Considerations in the Tropical Region [FRGS/1/2021/TK0/UPM/01/1, 03-01-21-2375FR, 5540509]</t>
  </si>
  <si>
    <t>Projects EMOSEN-Energy Efficient MIMO-Based Wireless Transmission for SWIPT-Enabled Network; Geran Putra Berimpak BIDANET: Parametric Big DataAnalytics Over Wireless Networks; IGNITE-Interference Modeling for 5G and FSS Coexistence at mmWave With Climate Change Considerations in the Tropical Region</t>
  </si>
  <si>
    <t>This work was supported in part by the Projects EMOSEN-Energy Efficient MIMO-Based Wireless Transmission for SWIPT-Enabled Network (UPM/800-3/3/1/GPB/2019/9671600, Vote No: 9671600); in part by the Geran Putra Berimpak BIDANET: Parametric Big DataAnalytics Over Wireless Networks under Grant UPM.RMC.800-3/3/1/GPB/2021/9696300 (Vote No.: 9696300); and in part by IGNITE-Interference Modeling for 5G and FSS Coexistence at mmWave With Climate Change Considerations in the Tropical Region under Grant FRGS/1/2021/TK0/UPM/01/1, Grant 03-01-21-2375FR, and Grant 5540509</t>
  </si>
  <si>
    <t>10.1109/ACCESS.2023.3302262</t>
  </si>
  <si>
    <t>Q8XV6</t>
  </si>
  <si>
    <t>WOS:001060303500001</t>
  </si>
  <si>
    <t>Rubio, S; Jiménez-Parra, B; Chamorro-Mera, A; Miranda, FJ</t>
  </si>
  <si>
    <t>Rubio, Sergio; Jimenez-Parra, Beatriz; Chamorro-Mera, Antonio; Miranda, Francisco J.</t>
  </si>
  <si>
    <t>Reverse Logistics and Urban Logistics: Making a Link</t>
  </si>
  <si>
    <t>reverse logistics; urban logistics; waste management; commercial returns</t>
  </si>
  <si>
    <t>LOOP SUPPLY CHAIN; CITY LOGISTICS; WASTE COLLECTION; FRAMEWORK; SYSTEM; RETURNS; CLASSIFICATION; PERSPECTIVES; CHALLENGES; EVOLUTION</t>
  </si>
  <si>
    <t>This work is aimed at analyzing potential links between reverse logistics and urban logistics and describing opportunities for collaboration between both areas of research. A description of the current state-of-the-art is provided in order to highlight the main challenges faced by both disciplines. For example, regarding reverse logistics, new recovery options, marketing strategies for recovered products, and legislation issues on the return of products in specific contexts; in regards to urban logistics, long-term planning, stakeholders' engagement, information management, efficiency, reliability and safety, and new business models are some of such key challenges. Despite the growing interest shown in both logistics areas and their relevance for companies and consumers, reverse logistics and urban logistics are two concepts that are still somewhat unknown and, above all, treated as being relatively separated. However, there exist some aspects where the two disciplines converge and that may represent opportunities for collaboration, for example, the proper treatment and management of urban waste, and the efficient management of commercial refunds and returns. In addition, other key issues, such as land use, city typology, infrastructures, and stakeholders' engagement should be further analyzed in order to keep advancing in the description of links between both areas.</t>
  </si>
  <si>
    <t>[Rubio, Sergio] Univ Extremadura, Escuela Ingn Ind, Dept Direcc Empresas &amp; Sociol, Avda Elvas S-N, Badajoz 06006, Spain; [Jimenez-Parra, Beatriz] Univ Leon, Fac Ciencias Econ &amp; Empresariales, Dept Direcc &amp; Econ Empresa, Campus Vegazana S-N, E-24071 Leon, Spain; [Chamorro-Mera, Antonio; Miranda, Francisco J.] Univ Extremadura, Fac Ciencias Econ &amp; Empresariales, Dept Direcc Empresas &amp; Sociol, Avda Elvas S-N, Badajoz 06006, Spain</t>
  </si>
  <si>
    <t>Universidad de Extremadura; Universidad de Leon; Universidad de Extremadura</t>
  </si>
  <si>
    <t>Rubio, S (corresponding author), Univ Extremadura, Escuela Ingn Ind, Dept Direcc Empresas &amp; Sociol, Avda Elvas S-N, Badajoz 06006, Spain.</t>
  </si>
  <si>
    <t>srubio@unex.es; beatriz.jimenez@unileon.es; chamorro@unex.es; fmiranda@unex.es</t>
  </si>
  <si>
    <t>Miranda, F./B-3167-2010; Rubio, Sergio/D-5821-2013; Jiménez-Parra, Beatriz/M-1286-2015; Chamorro-Mera, Antonio/M-1602-2014; Miranda, F Javier/B-3167-2010</t>
  </si>
  <si>
    <t>Rubio, Sergio/0000-0002-7787-1387; Jiménez-Parra, Beatriz/0000-0003-0496-6980; Chamorro-Mera, Antonio/0000-0002-6531-919X; Miranda, F Javier/0000-0001-6810-1359; Niemann, Wesley/0000-0003-3304-0159</t>
  </si>
  <si>
    <t>project Promoting Sustainable Freight Transport in Urban Contexts: Policy and Decision-Making Approaches (ProSFeT) - H2020-MSCA-RISE-2016 program [734909]; Ministerio de Economia y Competitividad [DPI2015-67740-P, ECO2015-63880-R]; FEDER [DPI2015-67740-P, ECO2015-63880-R]; Marie Curie Actions (MSCA) [734909] Funding Source: Marie Curie Actions (MSCA)</t>
  </si>
  <si>
    <t>project Promoting Sustainable Freight Transport in Urban Contexts: Policy and Decision-Making Approaches (ProSFeT) - H2020-MSCA-RISE-2016 program; Ministerio de Economia y Competitividad(Spanish Government); FEDER(European Union (EU)Spanish Government); Marie Curie Actions (MSCA)(Marie Curie Actions)</t>
  </si>
  <si>
    <t>This research was partially supported by the project Promoting Sustainable Freight Transport in Urban Contexts: Policy and Decision-Making Approaches (ProSFeT), funded by the H2020-MSCA-RISE-2016 program, grant number 734909, and by the Ministerio de Economia y Competitividad and FEDER, grant numbers DPI2015-67740-P and ECO2015-63880-R.</t>
  </si>
  <si>
    <t>OCT 2</t>
  </si>
  <si>
    <t>10.3390/su11205684</t>
  </si>
  <si>
    <t>JP6US</t>
  </si>
  <si>
    <t>Green Submitted, Green Accepted, gold</t>
  </si>
  <si>
    <t>WOS:000498398900141</t>
  </si>
  <si>
    <t>Werapun, W; Srimala, W; Chaowanawatee, K; Karode, T</t>
  </si>
  <si>
    <t>Montemanni, R</t>
  </si>
  <si>
    <t>Werapun, Warodom; Srimala, Wisit; Chaowanawatee, Kullawat; Karode, Thanakorn</t>
  </si>
  <si>
    <t>Smart Logistics Framework: A Case Study of Phuket RO Water System</t>
  </si>
  <si>
    <t>2018 6TH INTERNATIONAL CONFERENCE ON TRAFFIC AND LOGISTIC ENGINEERING (ICTLE 2018)</t>
  </si>
  <si>
    <t>6th International Conference on Traffic and Logistic Engineering (ICTLE)</t>
  </si>
  <si>
    <t>AUG 03-05, 2018</t>
  </si>
  <si>
    <t>The product transportation is an important procedure in businesses, which consumes costs and times. Effective transportation management can reduce expenses significantly. New technologies such as Global Position System (GPS), maps, notification and network connection can be integrated all together in one small smart phone that provides accessing from anytime and anywhere. In this paper, we propose a smart logistics framework that combines different technologies in order to solve management and tracking issues in a real transportation environment.</t>
  </si>
  <si>
    <t>[Werapun, Warodom; Srimala, Wisit; Chaowanawatee, Kullawat; Karode, Thanakorn] Prince Songkla Univ, Coll Comp, Phuket Campus, Kathu, Thailand</t>
  </si>
  <si>
    <t>Prince of Songkla University</t>
  </si>
  <si>
    <t>Werapun, W (corresponding author), Prince Songkla Univ, Coll Comp, Phuket Campus, Kathu, Thailand.</t>
  </si>
  <si>
    <t>Werapun, Warodom/AAX-2533-2020</t>
  </si>
  <si>
    <t>Chaowanawatee, Kullawat/0000-0002-7333-3573</t>
  </si>
  <si>
    <t>Thailand Research Fund (Industry) research [RDG6050023]</t>
  </si>
  <si>
    <t>Thailand Research Fund (Industry) research</t>
  </si>
  <si>
    <t>This work is a part of Thailand Research Fund (Industry) research (No: RDG6050023). The authors would like to thank for the financial support. In addition, we wish to thank Kittipong Pulsawad for his information and ideas. Thanks to College of Computing, Prince of Songkla University, Phuket Campus.</t>
  </si>
  <si>
    <t>10.1051/matecconf/201925904001</t>
  </si>
  <si>
    <t>BM9RX</t>
  </si>
  <si>
    <t>WOS:000471300400021</t>
  </si>
  <si>
    <t>Oliveira, F; Costa, DG; Duran-Faundez, C; Dias, A</t>
  </si>
  <si>
    <t>Oliveira, Franklin; Costa, Daniel G.; Duran-Faundez, Cristian; Dias, Anfranserai</t>
  </si>
  <si>
    <t>BikeWay: A Multi-Sensory Fuzzy-Based Quality Metric for Bike Paths and Tracks in Urban Areas</t>
  </si>
  <si>
    <t>Measurement; Smart cities; Roads; Pollution; Accidents; Transportation; Sensors; Smart cycling; smart cities; Internet of Things; environmental monitoring; sustainability</t>
  </si>
  <si>
    <t>ROAD TRAFFIC NOISE; AIR-POLLUTION; EXPOSURE; HEALTH; TRANSPORT; STATE; CITY</t>
  </si>
  <si>
    <t>Large cities are increasingly investing in efficient mobility and sustainable transportation as an alternative to expensive and pollutant traditional vehicles. In parallel, people are also seeking cleaner and healthier options for short and last-mile distances. In order to cope with this trend, which has boosted the adoption of bikes in urban areas, a major concern of the governments has been to build bike paths and tracks that allow cyclists to move safely and through shorter distances. However, such initiatives may result in bicycles infrastructure built alongside traditional vehicular roads or on inadequate regions. Therefore, there should be a flexible way to assess the quality of bike paths and tracks, combining variables that indicate adverse conditions for the health and safety of cyclists, such as statistical risk of accidents, air and noise pollution, excessive sunlight exposure, dangerous UV radiation, among others. This article then proposes a new comprehensive quality metric that combines sensed environmental data and historical reported incidents related to bike paths and tracks, which may be employed for traditional physical signaling or to support computer-assisted solutions for cycling monitoring and alerting. Such new metric exploits fuzzy logic to model a group of variables to ultimately provide a unified safety and health quality level, referred as BikeWay. Doing so, we expect to allow dynamic and historical perceptions of how healthy and safe the bike paths and tracks are for cyclists in modern cities.</t>
  </si>
  <si>
    <t>[Oliveira, Franklin] Univ Estadual Feira de Santana, UFFS PGCC, BR-44036900 Feira De Santana, BA, Brazil; [Costa, Daniel G.; Dias, Anfranserai] Univ Estadual Feira de Santana, Dept Technol, UEFS DTEC, BR-44036900 Feira De Santana, BA, Brazil; [Duran-Faundez, Cristian] Univ Bio Bio, Dept Elect &amp; Elect Engn, Concepcion 4051381, Chile</t>
  </si>
  <si>
    <t>Universidade Estadual de Feira de Santana; Universidade Estadual de Feira de Santana; Universidad del Bio-Bio</t>
  </si>
  <si>
    <t>Costa, DG (corresponding author), Univ Estadual Feira de Santana, Dept Technol, UEFS DTEC, BR-44036900 Feira De Santana, BA, Brazil.</t>
  </si>
  <si>
    <t>danielgcosta@uefs.br</t>
  </si>
  <si>
    <t>Duran-Faundez, Cristian/E-4279-2016; Costa, Daniel/I-4928-2013</t>
  </si>
  <si>
    <t>Oliveira, Franklin/0000-0003-4285-0006; Costa, Daniel/0000-0003-3988-8476</t>
  </si>
  <si>
    <t>University of the Bio-Bio [DIUBB 184110 3/R]; CNPq [407903/2018-6]; FAPESB [071.0130.2020.0003927-43]</t>
  </si>
  <si>
    <t>University of the Bio-Bio; CNPq(Conselho Nacional de Desenvolvimento Cientifico e Tecnologico (CNPQ)); FAPESB(Fundacao de Amparo a Pesquisa do Estado da Bahia (FAPESB))</t>
  </si>
  <si>
    <t>This work was supported in part by the University of the Bio-Bio under Grant DIUBB 184110 3/R, in part by the Brazilian Agency CNPq under Grant 407903/2018-6, and in part by the Brazilian Agency FAPESB under Grant 071.0130.2020.0003927-43.</t>
  </si>
  <si>
    <t>10.1109/ACCESS.2020.3046017</t>
  </si>
  <si>
    <t>PN5OV</t>
  </si>
  <si>
    <t>WOS:000604528900001</t>
  </si>
  <si>
    <t>Perboli, G; Rosano, M; Saint-Guillain, M; Rizzo, P</t>
  </si>
  <si>
    <t>Perboli, Guido; Rosano, Mariangela; Saint-Guillain, Michael; Rizzo, Pietro</t>
  </si>
  <si>
    <t>Simulation-optimisation framework for City Logistics: an application on multimodal last-mile delivery</t>
  </si>
  <si>
    <t>IET INTELLIGENT TRANSPORT SYSTEMS</t>
  </si>
  <si>
    <t>Scientific Seminar of the Italian-Association-of-Transport-Academicians (SIDT)</t>
  </si>
  <si>
    <t>SEP, 2017</t>
  </si>
  <si>
    <t>Politecnico Bari, Bari, ITALY</t>
  </si>
  <si>
    <t>Politecnico Bari</t>
  </si>
  <si>
    <t>logistics; optimisation; combinatorial mathematics; transportation; simulation-optimisation framework; city logistics; multimodal last-mile delivery; operations research; logistics communities; combinatorial optimisation; urban freight transportation; technology transfer; classical instance generalisation; artificial data; empirical datasets; data sources; e-commerce</t>
  </si>
  <si>
    <t>VEHICLE-ROUTING PROBLEM; PROGRAMS; PYTHON</t>
  </si>
  <si>
    <t>City Logistics has attracted considerable interest from the operations research and logistics communities during past decades. It resulted in a broad variety of promising approaches from different fields of combinatorial optimisation. However, research on urban freight transportation is currently slowing down due to two different lacks, limiting the exploratory capacity and compromise the technology transfer to the industry. First, the majority of the instances in the literature are based on the generalisation of classical instances, often not created for urban applications, or on artificial data, i.e. data not coming from any historical or empirical datasets. Thus, the validation of models and methods becomes more difficult, being the results not directly compared with real or realistic settings. Second, even when some data sources become available, there is no standard way to mixing data gathered from different sources and, from them, generate new instances for urban applications. This study aims to overcome these issues, proposing a simulation-optimisation framework for building instances and assess operational settings. To illustrate the usefulness of the framework, the authors conduct a case study, in order to evaluate the impact of multimodal delivery options to face the demand from e-commerce, in an urban context as Turin (Italy).</t>
  </si>
  <si>
    <t>[Perboli, Guido; Rosano, Mariangela; Rizzo, Pietro] Politecn Torino, IICT City Logist &amp; Enterprises Ctr, Turin, Italy; [Perboli, Guido] CIRRELT, Montreal, PQ, Canada; [Saint-Guillain, Michael] Catholic Univ Louvain, Inst Informat &amp; Commun Technol, Elect &amp; Appl Math, Louvain La Neuve, Belgium; [Saint-Guillain, Michael] Inst Natl Sci Appl Lyon, Lyon, France</t>
  </si>
  <si>
    <t>Polytechnic University of Turin; Universite de Montreal; Universite Catholique Louvain; Institut National des Sciences Appliquees de Lyon - INSA Lyon</t>
  </si>
  <si>
    <t>Perboli, G (corresponding author), Politecn Torino, IICT City Logist &amp; Enterprises Ctr, Turin, Italy.;Perboli, G (corresponding author), CIRRELT, Montreal, PQ, Canada.</t>
  </si>
  <si>
    <t>; Perboli, Guido/G-1049-2014; ROSANO, MARIANGELA/AAV-7150-2021</t>
  </si>
  <si>
    <t>Saint-Guillain, Michael/0000-0002-8890-5044; Perboli, Guido/0000-0001-6900-9917; ROSANO, MARIANGELA/0000-0002-6879-827X</t>
  </si>
  <si>
    <t>INST ENGINEERING TECHNOLOGY-IET</t>
  </si>
  <si>
    <t>HERTFORD</t>
  </si>
  <si>
    <t>MICHAEL FARADAY HOUSE SIX HILLS WAY STEVENAGE, HERTFORD SG1 2AY, ENGLAND</t>
  </si>
  <si>
    <t>1751-956X</t>
  </si>
  <si>
    <t>1751-9578</t>
  </si>
  <si>
    <t>IET INTELL TRANSP SY</t>
  </si>
  <si>
    <t>IET Intell. Transp. Syst.</t>
  </si>
  <si>
    <t>10.1049/iet-its.2017.0357</t>
  </si>
  <si>
    <t>Science Citation Index Expanded (SCI-EXPANDED); Conference Proceedings Citation Index - Science (CPCI-S)</t>
  </si>
  <si>
    <t>GC9SM</t>
  </si>
  <si>
    <t>WOS:000430139100003</t>
  </si>
  <si>
    <t>Habib, A; Habib, M; Bashir, B; Bachir, H</t>
  </si>
  <si>
    <t>Habib, Ahed; Habib, Maan; Bashir, Bashar; Bachir, Hussein</t>
  </si>
  <si>
    <t>Exploring the Sustainability Benefits of Digital Twin Technology in Achieving Resilient Smart Cities During Strong Earthquake Events</t>
  </si>
  <si>
    <t>ARABIAN JOURNAL FOR SCIENCE AND ENGINEERING</t>
  </si>
  <si>
    <t>Digital twin technology; Urban earthquake resilience; Smart cities; Sustainable development goals; Seismic disaster management</t>
  </si>
  <si>
    <t>BIG DATA; MANAGEMENT; INTERNET; THINGS</t>
  </si>
  <si>
    <t>In recent years, the increasing frequency and intensity of earthquakes have highlighted the need for resilient urban planning, particularly in the context of smart cities. Despite advancements in technology and infrastructure, there remains a significant gap in understanding and effectively adopting digital twin technology for enhancing urban resilience against such seismic events. This study aims to conduct a critical assessment of using digital twin technology for seismic resilience in smart cities and to perform a systematic sustainability analysis to understand how digital twin technology can be utilized to build resilient smart cities that can better withstand and adapt to strong earthquake events. The research is motivated by the critical need to enhance urban earthquake resilience and the potential of digital twin technology as a transformative tool in urban planning and disaster management. By exploring the implementation of a digital twin model and performing a strengths, weaknesses, opportunities, and threats analysis, the study provides comprehensive insights into the dynamics of urban areas under seismic stress. It leverages real-time data and advanced simulation techniques to assess, predict, and strategize responses to earthquake scenarios, enhancing urban resilience and sustainability. In addition, this research demonstrates how digital twin technology can help in achieving several United Nations sustainable development goals, particularly those related to sustainable cities and communities, industry, innovation, and infrastructure, as well as climate action, which are represented in goals 9, 11, and 13. Ultimately, the study findings highlight the importance of integrating advanced technological solutions, such as digital twins, in urban development strategies to build smarter, more resilient cities capable of withstanding future seismic challenges.</t>
  </si>
  <si>
    <t>[Habib, Ahed] Univ Sharjah, Res Inst Sci &amp; Engn, Sharjah, U Arab Emirates; [Habib, Maan] Damascus Univ, Fac Engn, Damascus, Syria; [Bashir, Bashar] King Saud Univ, Coll Engn, Dept Civil Engn, POB 800, Riyadh 11421, Saudi Arabia; [Bachir, Hussein] Tech Univ Munich, Dept Civil &amp; Environm Engn, Arcisstr 21, D-80333 Munich, Germany</t>
  </si>
  <si>
    <t>University of Sharjah; Damascus University; King Saud University; Technical University of Munich</t>
  </si>
  <si>
    <t>Habib, A (corresponding author), Univ Sharjah, Res Inst Sci &amp; Engn, Sharjah, U Arab Emirates.</t>
  </si>
  <si>
    <t>ahabib@sharjah.ac.ae</t>
  </si>
  <si>
    <t>Bachir, Hussein/AEZ-7252-2022; Habib, Ahed/AAK-1987-2020; Bashir, Bashar/AAE-1238-2021</t>
  </si>
  <si>
    <t>Habib, Ahed/0000-0001-5607-9334; Bashir, Bashar/0000-0003-0384-9061</t>
  </si>
  <si>
    <t>King Saud University, Riyadh, Saudi Arabia [RSP2024R296]</t>
  </si>
  <si>
    <t>King Saud University, Riyadh, Saudi Arabia(King Saud University)</t>
  </si>
  <si>
    <t>This research was supported by the Researchers Supporting Project, grant number (RSP2024R296), King Saud University, Riyadh, Saudi Arabia.</t>
  </si>
  <si>
    <t>2193-567X</t>
  </si>
  <si>
    <t>2191-4281</t>
  </si>
  <si>
    <t>ARAB J SCI ENG</t>
  </si>
  <si>
    <t>Arab. J. Sci. Eng.</t>
  </si>
  <si>
    <t>10.1007/s13369-025-10017-z</t>
  </si>
  <si>
    <t>8HS0U</t>
  </si>
  <si>
    <t>WOS:001411649600001</t>
  </si>
  <si>
    <t>Maslowski, D; Kulinska, E; Kulinska, K</t>
  </si>
  <si>
    <t>Maslowski, Dariusz; Kulinska, Ewa; Kulinska, Karolina</t>
  </si>
  <si>
    <t>Application of routing methods in city logistics for sustainable road traffic</t>
  </si>
  <si>
    <t>city logistics; telematics; sustainability; urban mobility; routing</t>
  </si>
  <si>
    <t>This article aims to verify the potential of routing methods in city logistics. In the theoretical part it presents the current state of development of city logistics and its most striking problems related to road traffic optimization. It also analyses basic routing methods along with their characteristics. In the research part, on the basis of the literature review, attention is drawn to existing research on the application of routing methods when planning road traffic in the cities and its advantages are discussed. Finally, based on a preliminary empirical study, the possibility and need to conduct analogous research on the example of public transport in the city of Opole is indicated. In conclusion, it is noted that the research area investigated has a large practical potential for creating sustainable road traffic in cities and is a starting point for further exploration. (C) 2019 The Authors. Published by Elsevier B.V.</t>
  </si>
  <si>
    <t>[Maslowski, Dariusz; Kulinska, Ewa] Opole Univ Technol, Fac Prod Engn &amp; Logist, Opole, Poland; [Kulinska, Karolina] Univ Wroclaw, Fac Law Adm &amp; Exonomiccs, Wroclaw, Poland</t>
  </si>
  <si>
    <t>Opole University of Technology; University of Wroclaw</t>
  </si>
  <si>
    <t>Kulinska, K (corresponding author), Univ Wroclaw, Fac Law Adm &amp; Exonomiccs, Wroclaw, Poland.</t>
  </si>
  <si>
    <t>d.maslowski@po.opole.pl</t>
  </si>
  <si>
    <t>; Masłowski, Dariusz/P-1698-2018; Masłowski, Dariusz/ABE-8381-2020</t>
  </si>
  <si>
    <t>Kulińska, Ewa Maria/0000-0002-3227-057X; Masłowski, Dariusz/0000-0002-3964-540X;</t>
  </si>
  <si>
    <t>10.1016/j.trpro.2019.06.033</t>
  </si>
  <si>
    <t>WOS:000502626100032</t>
  </si>
  <si>
    <t>Kwasiborska, A; Stelmach, A; Jablonska, I</t>
  </si>
  <si>
    <t>Kwasiborska, Anna; Stelmach, Anna; Jablonska, Izabela</t>
  </si>
  <si>
    <t>Quantitative and Comparative Analysis of Energy Consumption in Urban Logistics Using Unmanned Aerial Vehicles and Selected Means of Transport</t>
  </si>
  <si>
    <t>UAVs; electric scooters; smart cities; sustainability analysis in urban context; urban logistics; urban air mobility; energy consumption</t>
  </si>
  <si>
    <t>TRAVELING SALESMAN PROBLEM; DRONE DELIVERY; OPTIMIZATION</t>
  </si>
  <si>
    <t>Cities are moving towards sustainable development, which consists of tasks and challenges to improve the quality of life, and minimize energy consumption. The concept of sustainable mobility includes the choice of means of transport other than the car for all journeys, especially short distances, and for the delivery of goods. Due to the growing populations of cities, lack of free space, and high costs of building infrastructure for traditional means of transport, cities are looking for modern solutions that allow for the cheap, fast, and green transportation of people and goods. Urban air mobility is the answer to these problems, and uses eVTOL (electric vertical take-off and landing) aircraft and unmanned aerial vehicle systems (UAVs). The article's main purpose is to present an energy efficiency analysis using UAVs and electric scooters in the transport of takeaway food, which is a solution that fits into the zero-emission transport policy. The article presents the following research problem: which type of electric transport (scooters/UAVs) shows a lower demand for electric energy when delivering food from restaurants to individual customers? The analysis method was applied using the D'Andrea, Dorling, Figliozzi, Kirchstein, and Tseng energy models. The completed calculations were used to perform a comparative analysis of energy consumption for three adopted scenarios related to energy consumption by drones.</t>
  </si>
  <si>
    <t>[Kwasiborska, Anna; Stelmach, Anna] Warsaw Univ Technol, Fac Transport, Koszykowa St 75, PL-00662 Warsaw, Poland; [Jablonska, Izabela] Lukasiewicz Res Network, Poleczki St 19, PL-00822 Warsaw, Poland</t>
  </si>
  <si>
    <t>Warsaw University of Technology</t>
  </si>
  <si>
    <t>Stelmach, A (corresponding author), Warsaw Univ Technol, Fac Transport, Koszykowa St 75, PL-00662 Warsaw, Poland.</t>
  </si>
  <si>
    <t>anna.kwasiborska@pw.edu.pl; anna.stelmach@pw.edu.pl; izabela.jablonska@ilot.lukasiewicz.gov.pl</t>
  </si>
  <si>
    <t>Kwasiborska, Anna/HMD-7387-2023; Stelmach, Anna/AGZ-6612-2022</t>
  </si>
  <si>
    <t>Kwasiborska, Anna/0000-0002-3285-3337; Stelmach, Anna/0000-0002-2301-6908</t>
  </si>
  <si>
    <t>10.3390/en16186467</t>
  </si>
  <si>
    <t>T6AM7</t>
  </si>
  <si>
    <t>WOS:001078795500001</t>
  </si>
  <si>
    <t>Montecinos, J; Ouhimmou, M; Chauhan, S; Paquet, M; Gharbi, A</t>
  </si>
  <si>
    <t>Montecinos, Julio; Ouhimmou, Mustapha; Chauhan, Satyaveer; Paquet, Marc; Gharbi, Ali</t>
  </si>
  <si>
    <t>Transport carriers' cooperation on the last-mile delivery in urban areas</t>
  </si>
  <si>
    <t>Truck sharing; Collaborative economy; Gas emission savings; Last-mile transportation; City logistics; Stable matching</t>
  </si>
  <si>
    <t>CONSOLIDATION; DEMAND; COLLABORATION; INFORMATION; SERVICES</t>
  </si>
  <si>
    <t>A sharing logistics platform for less-than-truckloads could increase efficiency in city pickup and last-mile deliveries under time window constraints by pairing (matching) truck bidders and last-mile logistics requesters. The platform will propose new tours based on localization data, travel time and time-window constraints; it operates a matching algorithm to search for stable truck-sharing deals aiming to reduce the number of trucks in use as well as their operational costs. These sharing deals also reduce traveling distances and gas emissions. We simulate a model to understand the effects of fixed costs and variable costs in the operations, we account for reductions, and we provide some managerial insights. Additionally, we perform sensitivity analysis to consider the effect of delivery time windows' relaxation and additional travel distance constraints to evaluate the proposed solutions under practical conditions.</t>
  </si>
  <si>
    <t>[Montecinos, Julio; Ouhimmou, Mustapha; Paquet, Marc; Gharbi, Ali] Ecole Technol Super, Dept Syst Engn, 1100 Rue Notre Dame Ouest, Montreal, PQ H3C 1K3, Canada; [Chauhan, Satyaveer] Concordia Univ, John Molson Sch Business, 1450 Guy St, Montreal, PQ H3H 0A1, Canada</t>
  </si>
  <si>
    <t>University of Quebec; Ecole de Technologie Superieure - Canada; Concordia University - Canada</t>
  </si>
  <si>
    <t>Montecinos, J (corresponding author), Ecole Technol Super, Dept Syst Engn, 1100 Rue Notre Dame Ouest, Montreal, PQ H3C 1K3, Canada.</t>
  </si>
  <si>
    <t>julio.montecinos@cirrelt.net; mustapha.ouhimmou@etsmtl.ca; satyaveer.chauhan@concordia.ca; marc.paquet@etsmtl.ca; Ali.Gharbi@etsmtl.ca</t>
  </si>
  <si>
    <t>Montecinos, Julio/U-1633-2018</t>
  </si>
  <si>
    <t>Montecinos, Julio/0000-0002-5878-4296</t>
  </si>
  <si>
    <t>Natural Sciences and Engineering Research Council of Canada (NSERC) [RGPIN-2014-05705]</t>
  </si>
  <si>
    <t>Natural Sciences and Engineering Research Council of Canada (NSERC)(Natural Sciences and Engineering Research Council of Canada (NSERC))</t>
  </si>
  <si>
    <t>The authors would like to thank the Natural Sciences and Engineering Research Council of Canada (NSERC) under Grant RGPIN-2014-05705 for the financial support of this project. We would like to thank the reviewers for their attentive observations and efforts towards improving this paper. We are especially thankful for their comments regarding the managerial insights, the methodology and the analysis of results.</t>
  </si>
  <si>
    <t>10.1007/s11116-020-10134-8</t>
  </si>
  <si>
    <t>SEP 2020</t>
  </si>
  <si>
    <t>UQ2GK</t>
  </si>
  <si>
    <t>WOS:000566037300001</t>
  </si>
  <si>
    <t>Wang, XX; Li, ZQ; Cui, YB</t>
  </si>
  <si>
    <t>Tu, YP</t>
  </si>
  <si>
    <t>Wang, Xiaoxia; Li, Zhanqiang; Cui, Yanbo</t>
  </si>
  <si>
    <t>Urban Logistics under the Internet</t>
  </si>
  <si>
    <t>Fifteenth Wuhan International Conference on E-Business</t>
  </si>
  <si>
    <t>15th Wuhan International Conference on E-Business (WHICEB)</t>
  </si>
  <si>
    <t>MAY 27-29, 2016</t>
  </si>
  <si>
    <t>Wuhan, PEOPLES R CHINA</t>
  </si>
  <si>
    <t>urban logistics; Internet; cloud computing</t>
  </si>
  <si>
    <t>CITY LOGISTICS; TRENDS; CITIES; MODEL</t>
  </si>
  <si>
    <t>With the promotion of Internet + efficient logistics and refer Tomorrow's Elastic Mobility Adaptive(TEAM), this paper extends the framework of urban logistics based on the Internet and cloud computing environment, specifies the challenges and transitions experienced by the commodity market, transport market, infrastructure market, then discusses several key technologies of IT application in urban freight transportation including dynamic regulation of the transport market for administrator, last mile solutions, coding system and green vehicles. Now IT building blocks of digitally free open source software not only provide the IT infrastructure but also facilitate Share more - Develop less for mass innovation convenience of cities. It no doubts that an efficient, environmentally friendly and intelligent urban freight system will come true in the near future.</t>
  </si>
  <si>
    <t>[Wang, Xiaoxia; Li, Zhanqiang; Cui, Yanbo] Beijing Jiaotong Univ, Sch Traff &amp; Transportat, Beijing 100044, Peoples R China; [Wang, Xiaoxia] Beijing Jiaotong Univ, MOE Key Lab Urban Transportat Complex Syst Theory, Beijing 100044, Peoples R China</t>
  </si>
  <si>
    <t>Beijing Jiaotong University; Beijing Jiaotong University</t>
  </si>
  <si>
    <t>Wang, XX (corresponding author), Beijing Jiaotong Univ, Sch Traff &amp; Transportat, Beijing 100044, Peoples R China.;Wang, XX (corresponding author), Beijing Jiaotong Univ, MOE Key Lab Urban Transportat Complex Syst Theory, Beijing 100044, Peoples R China.</t>
  </si>
  <si>
    <t>xxwang@bjtu.edu.cn</t>
  </si>
  <si>
    <t>ALFRED UNIV</t>
  </si>
  <si>
    <t>ALFRED</t>
  </si>
  <si>
    <t>ONE SAXON DR, ALFRED, NY 14802 USA</t>
  </si>
  <si>
    <t>978-0-9800510-9-4</t>
  </si>
  <si>
    <t>Business; Information Science &amp; Library Science</t>
  </si>
  <si>
    <t>BG4TX</t>
  </si>
  <si>
    <t>WOS:000389158800024</t>
  </si>
  <si>
    <t>Guerrazzi, E</t>
  </si>
  <si>
    <t>Lazazzara, A; Ricciardi, F; Za, S</t>
  </si>
  <si>
    <t>Guerrazzi, Emanuele</t>
  </si>
  <si>
    <t>Last Mile Logistics in Smart Cities: An IT Platform for Vehicle Sharing and Routing</t>
  </si>
  <si>
    <t>EXPLORING DIGITAL ECOSYSTEMS: ORGANIZATIONAL AND HUMAN CHALLENGES</t>
  </si>
  <si>
    <t>Lecture Notes in Information Systems and Organization</t>
  </si>
  <si>
    <t>15th Annual Conference of the Italian-Chapter of the AIS ((ItAIS)</t>
  </si>
  <si>
    <t>OCT, 2018</t>
  </si>
  <si>
    <t>Univ Pavia, Pavia, ITALY</t>
  </si>
  <si>
    <t>Univ Pavia</t>
  </si>
  <si>
    <t>Last mile delivery; Logistics; Smart city; Vehicle sharing</t>
  </si>
  <si>
    <t>Due to the current remarkable growth of e-commerce, the last mile logistics has become a relevant problem. In this paper, the main issues of the last mile logistics in a smart city context are introduced. We propose a solution based on a shared Information Technology (IT) platform that needs no material investments. The principle of resource pooling is applied to the sharing of heterogeneous vehicles in the urban network. In particular, an IT platform powered by an optimization algorithm is proposed to allow couriers to make their deliveries more efficiently, that is, to reduce the total distance covered by the vehicles. This was achieved through the development of four software modules: an ETL, an optimizer, a web application and a map displayer. First results are promising, but further investigations should be done in order to evaluate more accurately the expected benefits and the possible positive externalities such as improvement of air quality in the city.</t>
  </si>
  <si>
    <t>[Guerrazzi, Emanuele] Univ Pisa, I-56121 Pisa, PI, Italy</t>
  </si>
  <si>
    <t>University of Pisa</t>
  </si>
  <si>
    <t>Guerrazzi, E (corresponding author), Univ Pisa, I-56121 Pisa, PI, Italy.</t>
  </si>
  <si>
    <t>emanuele.guerrazzi@gmail.com</t>
  </si>
  <si>
    <t>Guerrazzi, Emanuele/HTP-6228-2023</t>
  </si>
  <si>
    <t>Guerrazzi, Emanuele/0000-0002-6545-2089</t>
  </si>
  <si>
    <t>T.I.M.E. S.r.L.; University of Pisa, Department of Computer Science; MIUR</t>
  </si>
  <si>
    <t>T.I.M.E. S.r.L.; University of Pisa, Department of Computer Science; MIUR(Ministry of Education, Universities and Research (MIUR))</t>
  </si>
  <si>
    <t>This work has been supported by a yearly research contract between T.I.M.E. S.r.L. and the University of Pisa, Department of Computer Science. This work is part of the SiiMobility project, which is funded by MIUR.</t>
  </si>
  <si>
    <t>2195-4968</t>
  </si>
  <si>
    <t>2195-4976</t>
  </si>
  <si>
    <t>978-3-030-23665-6; 978-3-030-23664-9</t>
  </si>
  <si>
    <t>L N INF SYST ORGAN</t>
  </si>
  <si>
    <t>10.1007/978-3-030-23665-6_18</t>
  </si>
  <si>
    <t>Computer Science, Artificial Intelligence; Computer Science, Cybernetics; Computer Science, Information Systems</t>
  </si>
  <si>
    <t>BQ6SP</t>
  </si>
  <si>
    <t>WOS:000613128700018</t>
  </si>
  <si>
    <t>El Mrini, A; Amrani, AG</t>
  </si>
  <si>
    <t>ElMohajir, M; AlAchhab, M; ElMohajir, BE; Jellouli, I</t>
  </si>
  <si>
    <t>El Mrini, A.; Ghacham Amrani, A.</t>
  </si>
  <si>
    <t>Wireless Sensors Network for Traffic surveillance and management in Smart Cities</t>
  </si>
  <si>
    <t>2018 IEEE 5TH INTERNATIONAL CONGRESS ON INFORMATION SCIENCE AND TECHNOLOGY (IEEE CIST'18)</t>
  </si>
  <si>
    <t>IEEE 5th International Congress on Information Science and Technology (IEEE CiSt)</t>
  </si>
  <si>
    <t>OCT 21-27, 2018</t>
  </si>
  <si>
    <t>Marrakech, MOROCCO</t>
  </si>
  <si>
    <t>wireless sensor network WSN; sensor nodes; intelligent transportation system ITS; traffic management</t>
  </si>
  <si>
    <t>The efficiency of a city's own transportation system heavily influences its economic growth due to the increasing need to transport labour force, consumers and cargo. The use of the latest technologies to solve traffic problems is the main theme of ITS Intelligent transportation system, several solutions are already in use in many cities around the world and it is an indispensable part of the smart cities project. Our research focuses on developping a solution to manage road traffic in a smart city environment by utilizing wireless sensor network as medium to surveille the traffic. In this paper, we propose a set of countermeasures to avoid congestion and improve the flow of the traffic. The proposed countermeasures were simulated, and the results showed that our plan reduced the traffic congestion, minimized gases emission and increased fuel usage efficiency.</t>
  </si>
  <si>
    <t>[El Mrini, A.; Ghacham Amrani, A.] Multidisciplinary Fac Larache, Lab Sci &amp; Adv Technol, Dept Phys, Larache, Morocco</t>
  </si>
  <si>
    <t>Abdelmalek Essaadi University of Tetouan</t>
  </si>
  <si>
    <t>El Mrini, A (corresponding author), Multidisciplinary Fac Larache, Lab Sci &amp; Adv Technol, Dept Phys, Larache, Morocco.</t>
  </si>
  <si>
    <t>Anass.mrn@gmail.com; ab_amrani@yahoo.fr</t>
  </si>
  <si>
    <t>978-1-5386-4385-3</t>
  </si>
  <si>
    <t>Computer Science, Information Systems; Computer Science, Theory &amp; Methods; Engineering, Electrical &amp; Electronic</t>
  </si>
  <si>
    <t>BM3FU</t>
  </si>
  <si>
    <t>WOS:000462053800100</t>
  </si>
  <si>
    <t>Carteni, A</t>
  </si>
  <si>
    <t>Brebbia, CA; Sendra, JJ</t>
  </si>
  <si>
    <t>Carteni, Armando</t>
  </si>
  <si>
    <t>A NEW LOOK IN DESIGNING SUSTAINABLE CITY LOGISTICS ROAD PRICING SCHEMES</t>
  </si>
  <si>
    <t>SUSTAINABLE CITY XII</t>
  </si>
  <si>
    <t>WIT Transactions on Ecology and the Environment</t>
  </si>
  <si>
    <t>12th International Conference on Urban Regeneration and Sustainability (Sustainable City)</t>
  </si>
  <si>
    <t>freight transport; urban distribution; transportation planning; decision support system; optimization problem; decision-making process; welfare; quality of life</t>
  </si>
  <si>
    <t>TRANSPORT; IMPACT; RATIONALITY; MODEL; COST</t>
  </si>
  <si>
    <t>The congestion caused by freight vehicles within city logistics has become a serious problem for the cities round the world. Furthermore, the pollutant impacts of these vehicles are very high also at urban scale. Many cities are trying to propose planning strategies aimed at reducing these external impact of freight transport through sustainable transport policies. The idea of introducing a toll for rationalize the use of the road infrastructures by freight vehicles in city logistics is one of the most common Transportation Demand Management policies. The development of ITS technologies today allow to design these pricing schemes in several ways connecting the price to individual trips either on the congestion level as well as to the freight vehicle consumption\emission characteristics or the size and the loading factor. The road-pricing is a well-established practice all round the world. One of the main limits of the available case studies is that they don't take into account the impacts on the acceptance and on equity among the freight carriers. The aim of the study is to propose a new look in designing a sustainable city logistics road pricing schemes based on transport-related acceptance and equity measures useful for enlarge both the acceptance of this policy among the carriers and the equity produced in term of transport costs supported by the freight companies competing in the market. The origin-destination net perceived utility s(V) is the variable proposed as an acceptance and equity measure. The idea was to consider the dispersion of s(V) as a measure of equity and the change in s(V) deriving from a road-pricing scheme as an inverse measure of acceptance (the smaller the change the larger is the acceptance of the policy among freight carriers). Furthermore, an application to a toy network was performed to test the benefit and the applicability of the proposed measure at reducing external and internal impacts deriving from a city logistics policy.</t>
  </si>
  <si>
    <t>[Carteni, Armando] Univ Naples Federico II, Dept Civil Construct &amp; Environm Engn, Naples, Italy</t>
  </si>
  <si>
    <t>University of Naples Federico II</t>
  </si>
  <si>
    <t>Carteni, A (corresponding author), Univ Naples Federico II, Dept Civil Construct &amp; Environm Engn, Naples, Italy.</t>
  </si>
  <si>
    <t>Cartenì, Armando/E-9586-2012</t>
  </si>
  <si>
    <t>1743-3541</t>
  </si>
  <si>
    <t>978-1-78466-218-9; 978-1-78466-217-2</t>
  </si>
  <si>
    <t>WIT TRANS ECOL ENVIR</t>
  </si>
  <si>
    <t>WIT Trans. Ecol. Environ.</t>
  </si>
  <si>
    <t>10.2495/SC170151</t>
  </si>
  <si>
    <t>Green &amp; Sustainable Science &amp; Technology; Ecology; Environmental Sciences; Urban Studies</t>
  </si>
  <si>
    <t>BL5HK</t>
  </si>
  <si>
    <t>Bronze</t>
  </si>
  <si>
    <t>WOS:000451538100015</t>
  </si>
  <si>
    <t>Fadda, E; Gobbato, L; Perboli, G; Rosano, M; Tadei, R</t>
  </si>
  <si>
    <t>Fadda, Edoardo; Gobbato, Luca; Perboli, Guido; Rosano, Mariangela; Tadei, Roberto</t>
  </si>
  <si>
    <t>Waste Collection in Urban Areas: A Case Study</t>
  </si>
  <si>
    <t>INTERFACES</t>
  </si>
  <si>
    <t>smart cities; vehicle routing and scheduling waste collection; manpower planning; Internet of Things</t>
  </si>
  <si>
    <t>MANAGEMENT; OPTIMIZATION</t>
  </si>
  <si>
    <t>The Optimization for Networked Data in Environmental Urban Waste Collection (ONDE-UWC) project is, to the best of our knowledge, the first attempt to apply the Internet of Things (IoT) paradigm to the field of waste collection. Sensors installed in dumpsters and garbage trucks share data, such as weight measurements and the number of user accesses. In this study, we schedule the weekly waste-collection activities for multiple types of waste without imposing periodic routes. An important characteristic of this project is that we consider heterogeneous stakeholders with different backgrounds and knowledge. In this context, we apply the GUEST OR methodology, highlighting how it can support the decision-making process to reduce the effects of these differences. As a result, we reduced the time required to implement the solution, increased operational efficiency, and achieved cost savings.</t>
  </si>
  <si>
    <t>[Fadda, Edoardo; Gobbato, Luca; Perboli, Guido; Rosano, Mariangela; Tadei, Roberto] Politecn Torino, I-10129 Turin, Italy</t>
  </si>
  <si>
    <t>Fadda, E (corresponding author), Politecn Torino, I-10129 Turin, Italy.</t>
  </si>
  <si>
    <t>edoardo.fadda@polito.it; luca.gobbato@polito.it; guido.perboli@polito.it; mariangela.rosano@polito.it; roberto.tadei@polito.it</t>
  </si>
  <si>
    <t>; Perboli, Guido/G-1049-2014; ROSANO, MARIANGELA/AAV-7150-2021; Fadda, Edoardo/N-7120-2018</t>
  </si>
  <si>
    <t>ROSANO, MARIANGELA/0000-0002-6879-827X; Perboli, Guido/0000-0001-6900-9917; FADDA, EDOARDO/0000-0002-5599-6349;</t>
  </si>
  <si>
    <t>0092-2102</t>
  </si>
  <si>
    <t>1526-551X</t>
  </si>
  <si>
    <t>Interfaces</t>
  </si>
  <si>
    <t>10.1287/inte.2018.0943</t>
  </si>
  <si>
    <t>GV2HY</t>
  </si>
  <si>
    <t>WOS:000445909900002</t>
  </si>
  <si>
    <t>Lukic, K</t>
  </si>
  <si>
    <t>Vidovic, M; Kilibarda, M; Zecevic, S; Miljus, M; Radivojevic, G</t>
  </si>
  <si>
    <t>Lukic, Kristijan</t>
  </si>
  <si>
    <t>LOGISTICS SPRAWL AND E-COMMERCE: IMPACT ON CITY LOGISTICS</t>
  </si>
  <si>
    <t>PROCEEDINGS OF THE 3RD LOGISTICS INTERNATIONAL CONFERENCE</t>
  </si>
  <si>
    <t>3rd Logistics International Conference (LOGIC)</t>
  </si>
  <si>
    <t>MAY 25-27, 2017</t>
  </si>
  <si>
    <t>Belgrade, SERBIA</t>
  </si>
  <si>
    <t>city logistics; e-commerce; logistics sprawl; urban freight transport</t>
  </si>
  <si>
    <t>TRANSPORT; LOCATION</t>
  </si>
  <si>
    <t>Some of the key fragments in development of modern cities are urbanization, new business models, and expanding the logistics center's network. In doing so there needs to be: growth of road transport and growth of requirements in terms of speed, flexibility, reliability, and diversity of logistics services. With a lack of planning activities and long-term plans for city logistics these trends are threatening sustainable development of urban zones. The space intended for logistics activities is declining in cities. Logistics companies are moving out of expensive urban zones and developing their systems around the perimeter of the city. Their goal is being to centralize supply chains. On the other hand, the upward trend in e-commerce changes the structure of supply chains and significantly increases the locations and amount of deliveries. The final goal of this project is to analyze the trail of logistics and growth of e-commerce. While also finding out what kind of impact they have on city logistics. Without adequate conceptual city logistics solutions, these trends pose a serious threat to the functionality of some cities.</t>
  </si>
  <si>
    <t>[Lukic, Kristijan] Univ East Sarajevo, Fac Transport &amp; Traff Engn, Logist Dept, Lukavica, Bosnia &amp; Herceg</t>
  </si>
  <si>
    <t>University of East Sarajevo</t>
  </si>
  <si>
    <t>Lukic, K (corresponding author), Univ East Sarajevo, Fac Transport &amp; Traff Engn, Logist Dept, Lukavica, Bosnia &amp; Herceg.</t>
  </si>
  <si>
    <t>kristijanlukic1994@gmail.com</t>
  </si>
  <si>
    <t>UNIV BELGRADE, FAC TRANSPORT AND TRAFFIC ENGINEERING</t>
  </si>
  <si>
    <t>Belgrade</t>
  </si>
  <si>
    <t>Vojvode Stepe 305, Belgrade, SERBIA</t>
  </si>
  <si>
    <t>978-86-7395-373-1</t>
  </si>
  <si>
    <t>BO5NA</t>
  </si>
  <si>
    <t>WOS:000518370900045</t>
  </si>
  <si>
    <t>Wu, L; Ma, XM</t>
  </si>
  <si>
    <t>Wu, Lang; Ma, Xuemei</t>
  </si>
  <si>
    <t>Smart Cities, Greener Future: The Role of Industrial Intelligence in Carbon Emission Performance</t>
  </si>
  <si>
    <t>SAGE OPEN</t>
  </si>
  <si>
    <t>industrial intelligence; carbon emission performance; urban carbon emissions; green technology innovation; human capital enhancement</t>
  </si>
  <si>
    <t>EFFICIENCY; IMPACT</t>
  </si>
  <si>
    <t>Grounded in the principles of ecological efficiency, this study prioritizes the minimization of natural resource inputs alongside the maximization of derived value, and constructs a multi-dimensional carbon emission performance index across economic, social, and environmental factors. Utilizing panel data from 300 Chinese cities over the period 2012 to 2022, this research dissects the impact and underlying mechanisms of industrial intelligence on urban carbon emission performance. The findings show: (1) Industrial intelligence substantially enhances urban carbon emission performance, with findings remaining robust across various tests. (2) Moderation analysis indicates that green technological innovations and advancements in human-machine collaboration mechanisms for improving carbon emission performance. (3) Subgroup regressions suggest that the positive impact of industrial intelligence on carbon emission performance is more marked in cities with higher overall emissions and where there is a strategic emphasis on scientific talent by local governments. (4) The beneficial effects of industrial intelligence are more accentuated in non-traditional industrial cities than in established industrial bases, with significantly stronger impacts observed in peripheral cities compared to central urban areas. The study extends the discourse on sustainable development by providing actionable insights into the strategic deployment of industrial intelligence to foster environmental sustainability and improve urban carbon management practices.</t>
  </si>
  <si>
    <t>[Wu, Lang] Guizhou Univ, Guiyang, Peoples R China; [Ma, Xuemei] Zhongnan Univ Econ &amp; Law, Wuhan, Peoples R China</t>
  </si>
  <si>
    <t>Guizhou University; Zhongnan University of Economics &amp; Law</t>
  </si>
  <si>
    <t>Ma, XM (corresponding author), Zhongnan Univ Econ &amp; Law, Sch Econ, Wuhan 430073, Peoples R China.</t>
  </si>
  <si>
    <t>maxuemei@stu.zuel.edu.cn</t>
  </si>
  <si>
    <t>Xinjiang Normal University [ZK202324C]; Government of Xinjiang Uygur Autonomous Region of China [22BJY022]</t>
  </si>
  <si>
    <t>Xinjiang Normal University; Government of Xinjiang Uygur Autonomous Region of China</t>
  </si>
  <si>
    <t>The authors disclosed receipt of the following financial support for the research, authorship, and/or publication of this article: The Social Science Fund Project of Xinjiang Uygur Autonomous Region, China: Research on Labor Employment and the Matching of Labor-Intensive Industries in the Four Prefectures of Southern Xinjiang (Project No. 22BJY022). The Bid Project of the Research Center for High-Quality Industrial Development in the Core Area of the Silk Road Economic Belt at Xinjiang Normal University: Evaluation of the Multi-Party Cooperative Network Structure, Influencing Factors, and Effects of Xinjiang's Cotton and Textile Industry Clusters (Project No. ZK202324C). The Science and Technology Program of Xinjiang Uygur Autonomous Region, China: Research on Cross-Border Integration and Development of Textile and Clothing Industry between Xinjiang, China and Kyrgyzstan (Project No. 2025E01015).</t>
  </si>
  <si>
    <t>2158-2440</t>
  </si>
  <si>
    <t>SAGE Open</t>
  </si>
  <si>
    <t>10.1177/21582440251379091</t>
  </si>
  <si>
    <t>Social Sciences, Interdisciplinary</t>
  </si>
  <si>
    <t>Social Sciences - Other Topics</t>
  </si>
  <si>
    <t>9VG9W</t>
  </si>
  <si>
    <t>WOS:001615862500001</t>
  </si>
  <si>
    <t>Nanaki, EA; Xydis, GA; Koroneos, CJ</t>
  </si>
  <si>
    <t>Nanaki, Evanthia A.; Xydis, G. A.; Koroneos, C. J.</t>
  </si>
  <si>
    <t>Electric vehicle deployment in urban areas</t>
  </si>
  <si>
    <t>INDOOR AND BUILT ENVIRONMENT</t>
  </si>
  <si>
    <t>Electric vehicles; Smart cities; Energy policy; EV deployment; Total cost of ownership; Costs and benefits; Urban transport</t>
  </si>
  <si>
    <t>EMISSIONS</t>
  </si>
  <si>
    <t>The transportation sector accounts for approximately one-fifth of global primary energy use and one quarter of all energy related carbon dioxide emissions, with nearly half of those emissions originating from passenger vehicles. In order to reduce significantly the use of fossil fuels in urban mobility, whilst improving air quality and increasing the accessibility and attractiveness of urban areas, it is necessary to increase the use of non-conventionally fuelled vehicles for passenger and freight transport in urban areas. The introduction of electric vehicles (EVs) is a promising option, so as to achieve decarbonisation objectives, energy security, improved urban air quality and to increase energy efficiency. However, there are a number of challenges for the large-scale deployment of EV both on global and European level. These, in particular, are the high cost of the battery, lack of a standardised recharging infrastructure, relatively low range of battery electric vehicles or lack of interesting value proposition for consumers. A few studies have attempted to calculate the costs and benefits of EVs, but none consider the cost and benefits of EVs at a level of detail comparable to what has been performed for other vehicle technologies. This study constructs the Total Cost of Ownership (TCO) of EVs, based on real data from the auto-industry, in order to assess the costs and benefits as well as the potentiality of electro-mobility deployment in urban areas.</t>
  </si>
  <si>
    <t>[Nanaki, Evanthia A.] Ctr Res &amp; Technol Hellas, Inst Res &amp; Technol Thessaly, Technol Pk Thessaly, Volos, Greece; [Xydis, G. A.] Piraeus Univ Appl Sci, Soft Energy Applicat &amp; Environm Protect Lab, Athens, Greece; [Koroneos, C. J.] Univ Western Macedonia, Kozani, Greece</t>
  </si>
  <si>
    <t>Centre for Research &amp; Technology Hellas; University of West Attica; University of Western Macedonia</t>
  </si>
  <si>
    <t>Nanaki, EA (corresponding author), Ctr Res &amp; Technol Hellas, Technol Pk Thessaly,1st Ind Area, Volos 38500, Greece.</t>
  </si>
  <si>
    <t>evananaki@gmail.com</t>
  </si>
  <si>
    <t>Koroneos, Christopher/F-3178-2015; Xydis, George/AAH-9749-2020</t>
  </si>
  <si>
    <t>Xydis, George/0000-0002-3662-1832; Koroneos, Christopher/0000-0001-5341-976X; Nanaki, Evanthia/0009-0003-8169-6299;</t>
  </si>
  <si>
    <t>1420-326X</t>
  </si>
  <si>
    <t>1423-0070</t>
  </si>
  <si>
    <t>INDOOR BUILT ENVIRON</t>
  </si>
  <si>
    <t>Indoor Built Environ.</t>
  </si>
  <si>
    <t>10.1177/1420326X15623078</t>
  </si>
  <si>
    <t>Construction &amp; Building Technology; Engineering, Environmental; Public, Environmental &amp; Occupational Health</t>
  </si>
  <si>
    <t>Construction &amp; Building Technology; Engineering; Public, Environmental &amp; Occupational Health</t>
  </si>
  <si>
    <t>EB4SP</t>
  </si>
  <si>
    <t>WOS:000387364100006</t>
  </si>
  <si>
    <t>Pennacchia, E; Tiberi, M; Carbonara, E; Garcia, DA; Cumo, F</t>
  </si>
  <si>
    <t>Pennacchia, Elisa; Tiberi, Mariagrazia; Carbonara, Elisa; Garcia, Davide Astiaso; Cumo, Fabrizio</t>
  </si>
  <si>
    <t>Reuse and Upcycling of Municipal Waste for ZEB Envelope Design in European Urban Areas</t>
  </si>
  <si>
    <t>zero energy building; reuse municipal waste; energy efficiency; cost analysis</t>
  </si>
  <si>
    <t>ZERO-ENERGY BUILDINGS; CHP COMBINED HEAT; CARBON AVOIDANCE; SMART CITIES; CLIMATE; PLANT; POWER</t>
  </si>
  <si>
    <t>Building energy efficiency and urban waste management are two focal issues for improving environmental status and reducing greenhouse gas emissions. The main aim of this paper is to compare economic costs of new building envelope structures designed by authors reusing and upcycling municipal waste in order to decrease energy demand from the building sector and, at the same time, improve eco-friendly waste management at the local scale. The reuse of waste for building envelope structures is one of the main principles of the Earthship buildings model, based on the use of passive solar principles in autonomous earth-sheltered homes. This Earthship principle has been analyzed in order to optimize buildings' energy performance and reuse municipal waste for new building envelope structures in urban areas. Indeed, the elaborated structures have been designed for urban contexts, with the aim of reuse waste coming from surrounding landfills. The methods include an analysis of thermal performance of urban waste for designing new building envelope structures realized by assembling waste and isolating materials not foreseen in Earthship buildings. The reused materials are: cardboard tubes, automobile tires, wood pallets, and plastic and glass bottles. Finally, comparing economic costs of these new building envelope structures, the obtained results highlight their economic feasibility compared to a traditional structure with similar thermal transmittance.</t>
  </si>
  <si>
    <t>[Pennacchia, Elisa; Tiberi, Mariagrazia; Carbonara, Elisa; Garcia, Davide Astiaso] Univ Roma La Sapienza, Dept Astronaut Elect &amp; Energy Engn DIAEE, Via Eudossiana 18, I-00184 Rome, Italy; [Cumo, Fabrizio] Univ Roma La Sapienza, Dept Planning Design &amp; Technol Architecture DPDTA, Via Flaminia 72, I-00196 Rome, Italy</t>
  </si>
  <si>
    <t>Sapienza University Rome; Sapienza University Rome</t>
  </si>
  <si>
    <t>Garcia, DA (corresponding author), Univ Roma La Sapienza, Dept Astronaut Elect &amp; Energy Engn DIAEE, Via Eudossiana 18, I-00184 Rome, Italy.</t>
  </si>
  <si>
    <t>elisa.pennacchia@uniroma1.it; mariagrazia.tiberi@uniroma1.it; elisa.carbonara@uniroma1.it; davide.astiasogarcia@uniroma1.it; fabrizio.cumo@uniroma1.it</t>
  </si>
  <si>
    <t>; Garcia, Davide/H-6478-2019</t>
  </si>
  <si>
    <t>Astiaso Garcia, Davide/0000-0003-0752-2146; cumo, fabrizio/0000-0003-4348-2305;</t>
  </si>
  <si>
    <t>10.3390/su8070610</t>
  </si>
  <si>
    <t>DS4OM</t>
  </si>
  <si>
    <t>WOS:000380760400021</t>
  </si>
  <si>
    <t>de Oliveira, LK; de Oliveira, GF; Vieira, RD</t>
  </si>
  <si>
    <t>de Oliveira, Leise Kelli; de Oliveira, Gustavo Fonseca; Vieira, Rodrigo de Abreu</t>
  </si>
  <si>
    <t>Identifying solutions for car vehicle deliveries in urban areas: a case study in Belo Horizonte (Brazil)</t>
  </si>
  <si>
    <t>focus group; stakeholders; city logistics measure</t>
  </si>
  <si>
    <t>RECEIVER-CARRIER POLICIES; OFF-PEAK HOURS; TRANSPORTATION; BEHAVIOR</t>
  </si>
  <si>
    <t>This study presents the results of an exploratory study to identify solutions for unloading car vehicles in retail stores in urban areas. The focus group technique was used to identify the goals and solutions by the government and logistics operators. The revealed preference research was applied to the retailers, presenting hypothetical scenarios based on the solutions indicated by the first group. The off-peak delivery, the internalization of the unloading operation and the implementation of a freight distribution center were evaluated. From the results analysis, off-peak delivery and the use of a distribution center were the most pointed options by retailers. The results indicate that it is possible to identify sustainable solutions, from the city point of view, to urban freight distribution, when all stakeholders are included in the discussion. Furthermore, the off-peak operation is an important alternative for delivery vehicles to retailers, associated with the use of a distribution center for stock maintenance. (C) 2016 The Authors. Published by Elsevier B.V.</t>
  </si>
  <si>
    <t>[de Oliveira, Leise Kelli; de Oliveira, Gustavo Fonseca] Univ Fed Minas Gerais, Belo Horizonte, MG, Brazil</t>
  </si>
  <si>
    <t>Universidade Federal de Minas Gerais</t>
  </si>
  <si>
    <t>de Oliveira, LK (corresponding author), Univ Fed Minas Gerais, Belo Horizonte, MG, Brazil.</t>
  </si>
  <si>
    <t>leise@etg.ufmg.br</t>
  </si>
  <si>
    <t>; Oliveira, Leise Kelli/Y-3946-2018</t>
  </si>
  <si>
    <t>Oliveira, Leise Kelli de/0000-0002-4756-4183;</t>
  </si>
  <si>
    <t>10.1016/j.trpro.2016.11.040</t>
  </si>
  <si>
    <t>WOS:000390612800039</t>
  </si>
  <si>
    <t>Li, Z; Yang, YP</t>
  </si>
  <si>
    <t>Li, Z.; Yang, Y. P.</t>
  </si>
  <si>
    <t>The Spatial Model and Its Optimizing Algorithm for City Logistics Nodes</t>
  </si>
  <si>
    <t>INTERNATIONAL CONFERENCE ON COMPUTER SCIENCE AND ENVIRONMENTAL ENGINEERING (CSEE 2015)</t>
  </si>
  <si>
    <t>International Conference on Computer Science and Environmental Engineering (CSEE)</t>
  </si>
  <si>
    <t>MAY 17-18, 2015</t>
  </si>
  <si>
    <t>Beijing, PEOPLES R CHINA</t>
  </si>
  <si>
    <t>logistics nodes; logistics network; spatial model; optimizing algorithm</t>
  </si>
  <si>
    <t>In the rapid development of the city, negative problems also created in the city. which can't be ignored of the increasingly serious traffic pressure. The urban freight logistics is the only way to solve the pressure. The researches about city logistics nodes are reviewed. For the sales logistics distribution network, this paper proposes a city nodes spatial model. The sales logistics distribution network is divided into two modes, production transform and twice different distribution characteristics. The mode has universal and typical characteristics. Based on the established mode, the optimizing algorithm of the twice different distribution types is put forward and described.</t>
  </si>
  <si>
    <t>[Li, Z.] Inner Mongolia Univ, Traff Inst, Dept Automot Engn, Hohhot, Peoples R China; [Yang, Y. P.] Changan Univ, Sch Automobile, Xian, Peoples R China</t>
  </si>
  <si>
    <t>Inner Mongolia University; Chang'an University</t>
  </si>
  <si>
    <t>Li, Z (corresponding author), Inner Mongolia Univ, Traff Inst, Dept Automot Engn, Hohhot, Peoples R China.</t>
  </si>
  <si>
    <t>978-1-60595-240-6</t>
  </si>
  <si>
    <t>Computer Science, Theory &amp; Methods; Engineering, Environmental</t>
  </si>
  <si>
    <t>BD5UW</t>
  </si>
  <si>
    <t>WOS:000361831900007</t>
  </si>
  <si>
    <t>Taniguchi, E</t>
  </si>
  <si>
    <t>Iwan, S; Thompson, RG</t>
  </si>
  <si>
    <t>Taniguchi, Eiichi</t>
  </si>
  <si>
    <t>Concepts of city logistics for sustainable and liveable cities</t>
  </si>
  <si>
    <t>GREEN CITIES - GREEN LOGISTICS FOR GREENER CITIES</t>
  </si>
  <si>
    <t>1st International Conference on Green Cities - Green Logistics for Greener Cities</t>
  </si>
  <si>
    <t>MAY 19-21, 2014</t>
  </si>
  <si>
    <t>city logistics; urban freight transport; environment; sustainability; liveability</t>
  </si>
  <si>
    <t>This paper presents concepts of city logistics for sustainable and liveable cities. City logistics can contribute to create more efficient and environmentally friendly urban freight transport systems. The application of innovative technologies of ICT (Information and Communication Technology) and ITS (Intelligent Transport Systems), the change in mind-sets of logistics managers, and public-private partnerships can promote city logistics policy measures. The procedure of urban freight transport management is described, which is an adaptive management system that uses the PDCA (Plan, Do, Check, and Act) cycle. Joint delivery systems with urban consolidation centres are also highlighted in particular focusing on the benefits and problems, the success factors, the role of municipalities and the transferability to other areas. (C) 2014 The Authors. Published by Elsevier Ltd.</t>
  </si>
  <si>
    <t>Kyoto Univ, Dept Urban Management, Kyotodaigaku Katsura, Kyoto 6158540, Japan</t>
  </si>
  <si>
    <t>Kyoto University</t>
  </si>
  <si>
    <t>Taniguchi, E (corresponding author), Kyoto Univ, Dept Urban Management, Kyotodaigaku Katsura, Kyoto 6158540, Japan.</t>
  </si>
  <si>
    <t>taniguchi@kiban.kuciv.kyoto-u.ac.jp</t>
  </si>
  <si>
    <t>Taniguchi, Eiichi/NJT-3151-2025</t>
  </si>
  <si>
    <t>10.1016/j.sbspro.2014.10.029</t>
  </si>
  <si>
    <t>Environmental Studies; Social Sciences, Interdisciplinary; Transportation; Urban Studies</t>
  </si>
  <si>
    <t>Environmental Sciences &amp; Ecology; Social Sciences - Other Topics; Transportation; Urban Studies</t>
  </si>
  <si>
    <t>BD2EM</t>
  </si>
  <si>
    <t>WOS:000358695600027</t>
  </si>
  <si>
    <t>Li, JY; Xiao, Q</t>
  </si>
  <si>
    <t>Yarlagadda, P; Kim, YH</t>
  </si>
  <si>
    <t>Li, Jiayang; Xiao, Qian</t>
  </si>
  <si>
    <t>Grey Relational Analysis Method for Urban Logistics</t>
  </si>
  <si>
    <t>MECHATRONICS AND INDUSTRIAL INFORMATICS, PTS 1-4</t>
  </si>
  <si>
    <t>Applied Mechanics and Materials</t>
  </si>
  <si>
    <t>International Conference on Mechatronics and Industrial Informatics (ICMII 2013)</t>
  </si>
  <si>
    <t>MAR 13-14, 2013</t>
  </si>
  <si>
    <t>Guangzhou, PEOPLES R CHINA</t>
  </si>
  <si>
    <t>urban logistics; fuzzy; grey relation; competitiveness study</t>
  </si>
  <si>
    <t>INTUITIONISTIC FUZZY-SETS</t>
  </si>
  <si>
    <t>Urban logistics is an important component of local economy. Vigorous development of urban logistics has profound effect on the economic performance, the urban modernization and the urban integrated competitive power. In order to evaluate the urban logistics performance as a complete system, it must be divided into different gradations firstly, based on which the characteristics and influences of each gradation are analyzed, and appropriate qualitative and quantitative indicators are defined. The grey relational analysis method was proposed to compare the competitiveness of urban logistics. Experiment results prove it has certain practical significance and maneuverability.</t>
  </si>
  <si>
    <t>[Li, Jiayang] Northeastern Univ, Sch Business Adm, Shenyang, Liaoning, Peoples R China; [Li, Jiayang; Xiao, Qian] Shenyang Univ, Coll Informat Engn, Shenyang, Liaoning, Peoples R China</t>
  </si>
  <si>
    <t>Northeastern University - China; Shenyang University</t>
  </si>
  <si>
    <t>Li, JY (corresponding author), Northeastern Univ, Sch Business Adm, Shenyang, Liaoning, Peoples R China.</t>
  </si>
  <si>
    <t>jiayang_neu@163.com; xiaoqian_neu@163.com</t>
  </si>
  <si>
    <t>TRANS TECH PUBLICATIONS LTD</t>
  </si>
  <si>
    <t>DURNTEN-ZURICH</t>
  </si>
  <si>
    <t>KREUZSTRASSE 10, 8635 DURNTEN-ZURICH, SWITZERLAND</t>
  </si>
  <si>
    <t>1660-9336</t>
  </si>
  <si>
    <t>978-3-03785-694-9</t>
  </si>
  <si>
    <t>APPL MECH MATER</t>
  </si>
  <si>
    <t>321-324</t>
  </si>
  <si>
    <t>+</t>
  </si>
  <si>
    <t>10.4028/www.scientific.net/AMM.321-324.3065</t>
  </si>
  <si>
    <t>Engineering, Electrical &amp; Electronic; Engineering, Mechanical; Materials Science, Multidisciplinary</t>
  </si>
  <si>
    <t>Engineering; Materials Science</t>
  </si>
  <si>
    <t>BGW26</t>
  </si>
  <si>
    <t>WOS:000324348201304</t>
  </si>
  <si>
    <t>Li, JY; Che, YQ</t>
  </si>
  <si>
    <t>Hou, H; Tian, L</t>
  </si>
  <si>
    <t>Li, Jiayang; Che, Yanqiu</t>
  </si>
  <si>
    <t>Evaluating Competitiveness of Urban Logistics Using Fuzzy Logic AHP</t>
  </si>
  <si>
    <t>ARCHITECTURE, BUILDING MATERIALS AND ENGINEERING MANAGEMENT, PTS 1-4</t>
  </si>
  <si>
    <t>3rd International Conference on Civil Engineering, Architecture and Building Materials (CEABM 2013)</t>
  </si>
  <si>
    <t>MAY 24-26, 2013</t>
  </si>
  <si>
    <t>Jinan, PEOPLES R CHINA</t>
  </si>
  <si>
    <t>fuzzy logic; triangular fuzzy number; urban logistics; comprehensive evaluation</t>
  </si>
  <si>
    <t>Urban logistics is a kind of regional logistics depending on the cities. Nowadays, there is not the standard of the improvements of urban logistics. This paper aims to apply fuzzy logic and AHP method to evaluate the competitiveness of urban logistics. We present illustrative example which is carried out by using four main cities in China to demonstrate the applicability of the proposed menthod.</t>
  </si>
  <si>
    <t>[Li, Jiayang] Northeastern Univ, Sch Business Adm, Liaoning, Peoples R China; [Li, Jiayang] Shenyang Univ, Coll Informat Engn, Liaoning, Peoples R China; [Che, Yanqiu] Liaoning Univ, Coll Fundamental Sci, Liaoning, Peoples R China</t>
  </si>
  <si>
    <t>Northeastern University - China; Shenyang University; Liaoning University</t>
  </si>
  <si>
    <t>Li, JY (corresponding author), Northeastern Univ, Sch Business Adm, Liaoning, Peoples R China.</t>
  </si>
  <si>
    <t>jiayang_neu@163.com; vivila_lee@163.com</t>
  </si>
  <si>
    <t>978-3-03785-776-2</t>
  </si>
  <si>
    <t>357-360</t>
  </si>
  <si>
    <t>10.4028/www.scientific.net/AMM.357-360.2688</t>
  </si>
  <si>
    <t>BJQ48</t>
  </si>
  <si>
    <t>WOS:000329679801242</t>
  </si>
  <si>
    <t>Kuse, H; Endo, A; Iwao, E</t>
  </si>
  <si>
    <t>Tanguchi, E; Thompson, RG</t>
  </si>
  <si>
    <t>Kuse, Hirohito; Endo, Akira; Iwao, Eiichiro</t>
  </si>
  <si>
    <t>Logistics facility, road network and district planning: Establishing comprehensive planning for city logistics</t>
  </si>
  <si>
    <t>6TH INTERNATIONAL CONFERENCE ON CITY LOGISTICS</t>
  </si>
  <si>
    <t>6th International Conference on City Logistics</t>
  </si>
  <si>
    <t>JUN 30-JUL 02, 2009</t>
  </si>
  <si>
    <t>Puerto Vallarta, MEXICO</t>
  </si>
  <si>
    <t>Logistics facility; road network; districts planning; logistics planning; logistics</t>
  </si>
  <si>
    <t>Logistics, which support sustained and efficient freight transport in cities, is fundamental for economic development. Logistics has also been singled out to help in improving environmental conditions in cities. A city would therefore need comprehensive logistics planning, covering planning for infrastructure and transportation policies to maximise its impacts and benefits to society. The purpose of this paper is to propose a framework for city logistics planning. First, the paper describes the relationship between logistics and city formation through a historical review. Second, the paper discusses logistics concepts and clarifies the role of logistics infrastructure planning. Finally, three stages of logistics planning (i.e. large-scale logistics facility, road network, and district planning) are described considering the balanced role of the public and private sectors. (C) 2010 Elsevier Ltd. All rights reserved</t>
  </si>
  <si>
    <t>[Kuse, Hirohito; Endo, Akira] Tokyo Univ Marine Sci &amp; Technol, Koto Ku, Tokyo 1358533, Japan; [Iwao, Eiichiro] Sensyu Univ, Kawasaki, Kanagawa 218580, Japan</t>
  </si>
  <si>
    <t>Tokyo University of Marine Science &amp; Technology</t>
  </si>
  <si>
    <t>Kuse, H (corresponding author), Tokyo Univ Marine Sci &amp; Technol, Koto Ku, Tokyo 1358533, Japan.</t>
  </si>
  <si>
    <t>10.1016/j.sbspro.2010.04.035</t>
  </si>
  <si>
    <t>BQW56</t>
  </si>
  <si>
    <t>WOS:000282017300031</t>
  </si>
  <si>
    <t>Bittencourt, JCN; Costa, DG; Portugal, P; Vasques, F</t>
  </si>
  <si>
    <t>Bittencourt, Joao Carlos N.; Costa, Daniel G.; Portugal, Paulo; Vasques, Francisco</t>
  </si>
  <si>
    <t>A data-driven clustering approach for assessing spatiotemporal vulnerability to urban emergencies</t>
  </si>
  <si>
    <t>Urban resilience; Sustainability; Data-driven urban planning; OpenStreetMap; K-means</t>
  </si>
  <si>
    <t>SMART CITIES; MANAGEMENT; RISK; CITY; AREAS; SECURITY; SYSTEM; GIS</t>
  </si>
  <si>
    <t>Urban vulnerability to emergencies has become a relevant issue as cities get bigger and the negative impacts of climatic changes become more prominent. In recent years, smart city systems devoted to detecting, alerting, and mitigating emergency situations have gained momentum, with different complexities and expected outcomes. Although such systems have become more common, their proper configuration and adoption should rely on a more comprehensive perception of urban vulnerabilities to critical events. This article defines a data -driven approach to numerically evaluate the vulnerability of each region of a city, taking real -world data from open databases as a reference for a proposed clustering-based assessment algorithm. Additionally, the temporal dynamics within a city are modelled through the definition of time frames, each one comprising an associated risk assessment factor based on the expected flow of inhabitants over time. This clustering analysis categorises urban areas with similar vulnerability profiles by modelling the temporal dynamics of urban infrastructure, capturing their fluctuating nature and impact on vulnerability. By leveraging temporal urban perceptions, this approach may contribute to more effective emergency management in urban areas since regions with higher population density may be assumed as more vulnerable to emergencies, potentially supporting the optimisation of smart cities and general urban planning. Experimental results for the Portuguese cities of Porto and Lisbon demonstrate the practical applicability of the proposed approach by accurately identifying regions with higher temporal vulnerability to urban emergencies.</t>
  </si>
  <si>
    <t>[Bittencourt, Joao Carlos N.] Univ Porto, Fac Engn, PDEEC, Porto, Portugal; [Bittencourt, Joao Carlos N.] Univ Fed Reconcavo Bahia, CETEC, Cruz Das Almas, Brazil; [Costa, Daniel G.; Portugal, Paulo] Univ Porto, Fac Engn, SYSTEC ARISE, Porto, Portugal; [Vasques, Francisco] Univ Porto, Fac Engn, INEGI, Porto, Portugal</t>
  </si>
  <si>
    <t>Universidade do Porto; Universidade Federal do Reconcavo da Bahia; Universidade do Porto; Universidade do Porto</t>
  </si>
  <si>
    <t>Costa, DG (corresponding author), Univ Porto, Fac Engn, SYSTEC ARISE, Porto, Portugal.</t>
  </si>
  <si>
    <t>joaocarlos@ufrb.edu.br; danielgcosta@fe.up.pt; pportugal@fe.up.pt; vasques@fe.up.pt</t>
  </si>
  <si>
    <t>Bittencourt, João Carlos/IZD-8272-2023; Nunes Bittencourt, João Carlos/H-2977-2012; Vasques, Francisco/ABD-7443-2021; Costa, Daniel/I-4928-2013; Vasques, Francisco/B-2494-2013; Portugal, Paulo/H-3286-2013</t>
  </si>
  <si>
    <t>Nunes Bittencourt, João Carlos/0000-0002-4540-512X; Costa, Daniel/0000-0003-3988-8476; Vasques, Francisco/0000-0003-3115-0901;</t>
  </si>
  <si>
    <t>FCT/MCTES (PIDDAC) , Portugal [EXPL/EEI-COM/1089/2021]</t>
  </si>
  <si>
    <t>FCT/MCTES (PIDDAC) , Portugal(Fundacao para a Ciencia e a Tecnologia (FCT))</t>
  </si>
  <si>
    <t>This work is financially supported by national funds through the FCT/MCTES (PIDDAC) , Portugal, under the project EXPL/EEI-COM/1089/2021.</t>
  </si>
  <si>
    <t>AUG 1</t>
  </si>
  <si>
    <t>10.1016/j.scs.2024.105477</t>
  </si>
  <si>
    <t>XM0F2</t>
  </si>
  <si>
    <t>WOS:001261975600001</t>
  </si>
  <si>
    <t>Lv, P; Wang, Y; Xu, FW</t>
  </si>
  <si>
    <t>Zhang, HJ; Zhang, H; Zhao, R</t>
  </si>
  <si>
    <t>Lv Pu; Wang Yang; Xu Fengwei</t>
  </si>
  <si>
    <t>Research on Evaluation System of City Logistics Development Level</t>
  </si>
  <si>
    <t>LOGISTICS AND SUPPLY CHAIN RESEARCH IN CHINA</t>
  </si>
  <si>
    <t>3rd International Conference on Logistics and Supply Chain Management</t>
  </si>
  <si>
    <t>JUL 18-22, 2010</t>
  </si>
  <si>
    <t>Hunan, PEOPLES R CHINA</t>
  </si>
  <si>
    <t>City Logistics; Index System; Logistics Performance Evaluation; Principal Component Analysis</t>
  </si>
  <si>
    <t>As cities become more and more important in the regional economic development, the promotion effect of city logistics to the whole region economy is increasingly obvious. Research on evaluation system of city logistics is an; important part of regional logistics research. It can also provide the basis for further optimizing of regional logistics system. This paper first describes the meaning of city logistics, then analyzes the factors of city logistics development level, proposes that research on city logistics evaluation system must take into account the relationship between city logistics and its service area's economy. On this basis, the paper establishes a scientific evaluation index system, and builds the principal component analysis model for city logistics evaluation, finally taking Dalian, Tianjin and Shanghai for example, makes a demonstration research. This paper attempts to establish a more reasonable evaluation index system base on the deeply study about meaning of city logistics and its effective factors. It builds the evaluation model by principal component analysis, and shows this method is efficient in city logistics evaluation.</t>
  </si>
  <si>
    <t>[Lv Pu; Wang Yang; Xu Fengwei] Dalian Jiaotong Univ, Sch Management, Dalian 116028, Peoples R China</t>
  </si>
  <si>
    <t>kangshun168@yahoo.cn</t>
  </si>
  <si>
    <t>Engineering, Industrial; Management</t>
  </si>
  <si>
    <t>Engineering; Business &amp; Economics</t>
  </si>
  <si>
    <t>BTU42</t>
  </si>
  <si>
    <t>WOS:000288109200046</t>
  </si>
  <si>
    <t>Yin, ZB; Guo, QW; Xiao, Q</t>
  </si>
  <si>
    <t>Mao, B; Jia, S; Peng, H; Yang, L</t>
  </si>
  <si>
    <t>Yin, Zhibin; Guo, Qianwen; Xiao, Qiang</t>
  </si>
  <si>
    <t>City Logistics Transportation Invisible Cost Control Based on ITS</t>
  </si>
  <si>
    <t>ADVANCED FORUM ON TRANSPORTATION OF CHINA: PROCEEDINGS OF THE SIXTH ADVANCED FORUM ON TRANSPORTATION OF CHINA, 2010</t>
  </si>
  <si>
    <t>6th Advanced Forum on Transportation of China (AFTC 2010)</t>
  </si>
  <si>
    <t>OCT 16, 2010</t>
  </si>
  <si>
    <t>Beijing Jiaotong Univ, Beijing, PEOPLES R CHINA</t>
  </si>
  <si>
    <t>Beijing Jiaotong Univ</t>
  </si>
  <si>
    <t>logistics transportation; invisible cost; ITS; optimal path; parking guidance</t>
  </si>
  <si>
    <t>Intelligent transport system is the primary measure to improve efficiency and security of transportation. In modem logistics system, the use of ITS technology will increase the efficiency, benefits and security of logistics system. This article analyses the reasons of transport invisible cost in the city logistics system, and points out emphatically the influence of the city traffic problems for the transportation invisible cost, and proposes reasonable transport policy based on ITS, and builds on intelligent transport systems-transport management system (ITS-TMS). Finally, the control technology of the city logistics transport invisible costs based on ITS is put forward.</t>
  </si>
  <si>
    <t>[Yin, Zhibin; Xiao, Qiang] China Railway Eryuan Engn Grp Co Ltd, Chongqing Design &amp; Res Inst, Chongqing 400015, Peoples R China; [Guo, Qianwen] HUST, Sch Civil Eng &amp; Mech, Wuhan 430074, Peoples R China</t>
  </si>
  <si>
    <t>Huazhong University of Science &amp; Technology</t>
  </si>
  <si>
    <t>yin-zhi-bin@163.com</t>
  </si>
  <si>
    <t>INST ENGINEERING TECH-IET</t>
  </si>
  <si>
    <t>STEVENAGE</t>
  </si>
  <si>
    <t>MICHAEL FARADAY HOUSE, STEVENAGE, HERTS SG1 2AY, ENGLAND</t>
  </si>
  <si>
    <t>978-1-84919-316-0</t>
  </si>
  <si>
    <t>BG8RO</t>
  </si>
  <si>
    <t>WOS:000392683200041</t>
  </si>
  <si>
    <t>A Survey on Adaptive Smart Urban Systems</t>
  </si>
  <si>
    <t>Climate change; Smart cities; Internet of Things; Artificial intelligence; Data science; Urban areas; Public infrastructure; Urban planning; Energy management; artificial intelligence; data science; adaptivity</t>
  </si>
  <si>
    <t>CITY; MANAGEMENT; MODEL; TECHNOLOGIES; STANDARDS; NETWORKS</t>
  </si>
  <si>
    <t>The urbanisation of the last century has created a significant demand for urban areas to deliver public services that are efficient, sustainable, and adaptable. This demand is further amplified by the anticipated impacts of climate change and the complexities introduced by rapidly expanding urban populations. In this scenario, smart city initiatives have emerged as a pivotal strategy to address these challenges, leveraging innovative technologies and paradigms such as Internet of Things, Artificial Intelligence, and Data Science to improve the quality of urban life in a more sustainable way. Recently, research efforts in these domains have focused on creating systems that can adapt and respond to changing conditions, enabling greater adaptivity and responsiveness to the needs of urban landscapes. Therefore, this article provides a comprehensive survey of adaptive urban services within a smart city context. Through analyses of recent literature, we investigate the technological foundations that enable the adaptivity of urban services and explore their applications in various urban scenarios, including energy, mobility, emergency management, public safety, and waste management. This article also highlights the benefits of adopting adaptive urban services, such as improved traffic management, resilient emergency management, and enhanced citizen engagement, bringing an important contribution to this broad research area. Finally, we provide a discussion on current technology enablers and challenges and present an overview for future research directions on adaptive urban systems at the forefront of transforming cities into more intelligent ecosystems.</t>
  </si>
  <si>
    <t>[Bittencourt, Joao Carlos N.] Univ Fed Reconcavo Bahia, CETEC, BR-44380000 Cruz Das Almas, Brazil; [Bittencourt, Joao Carlos N.] Univ Porto, Fac Engn, PDEEC, P-4200465 Porto, Portugal; [Costa, Daniel G.; Portugal, Paulo] Univ Porto, Fac Engn, SYSTEC ARISE, P-4200465 Porto, Portugal; [Vasques, Francisco] Univ Porto, Fac Engn, INEGI, P-4200465 Porto, Portugal</t>
  </si>
  <si>
    <t>Universidade Federal do Reconcavo da Bahia; Universidade do Porto; Universidade do Porto; Universidade do Porto</t>
  </si>
  <si>
    <t>Bittencourt, JCN (corresponding author), Univ Fed Reconcavo Bahia, CETEC, BR-44380000 Cruz Das Almas, Brazil.;Bittencourt, JCN (corresponding author), Univ Porto, Fac Engn, PDEEC, P-4200465 Porto, Portugal.</t>
  </si>
  <si>
    <t>joaocarlos@ufrb.edu.br</t>
  </si>
  <si>
    <t>Portugal, Paulo/H-3286-2013; Bittencourt, João Carlos/IZD-8272-2023; Costa, Daniel/I-4928-2013; Vasques, Francisco/B-2494-2013; Nunes Bittencourt, João Carlos/H-2977-2012</t>
  </si>
  <si>
    <t>Portugal, Paulo/0000-0002-6386-9753; Costa, Daniel/0000-0003-3988-8476; Vasques, Francisco/0000-0003-3115-0901; Nunes Bittencourt, João Carlos/0000-0002-4540-512X</t>
  </si>
  <si>
    <t>Associated Laboratory for Energy, Transports and Aerospace-LAETA of Institute of Science and Innovation in Mechanical and Industrial Engineering-INEGI [UIDB/50022/2020]; NAGASE4 Project [PR502103]; RELIABLE Project [PTDC/EEI-AUT/3522/2020]; Associate Laboratory Advanced Production and Intelligent Systems [ARISE LA/P/0112/2020]; Base Funding and Programmatic Funding of the Research and Development Unit Center for Systems and Technologies-SYSTEC [UIDB/00147/2020, UIDP/00147/2020]</t>
  </si>
  <si>
    <t>Associated Laboratory for Energy, Transports and Aerospace-LAETA of Institute of Science and Innovation in Mechanical and Industrial Engineering-INEGI; NAGASE4 Project; RELIABLE Project; Associate Laboratory Advanced Production and Intelligent Systems; Base Funding and Programmatic Funding of the Research and Development Unit Center for Systems and Technologies-SYSTEC</t>
  </si>
  <si>
    <t>This work was supported by the Associated Laboratory for Energy, Transports and Aerospace-LAETA of Institute of Science and Innovation in Mechanical and Industrial Engineering-INEGI under Project UIDB/50022/2020, in part by NAGASE4 Project under Grant PR502103, in part by the RELIABLE Project under Grant PTDC/EEI-AUT/3522/2020, in part by the Associate Laboratory Advanced Production and Intelligent Systems under Grant ARISE LA/P/0112/2020, and in part by the Base Funding and Programmatic Funding of the Research and Development Unit Center for Systems and Technologies-SYSTEC under Grant UIDB/00147/2020 and Grant UIDP/00147/2020.</t>
  </si>
  <si>
    <t>10.1109/ACCESS.2024.3433381</t>
  </si>
  <si>
    <t>A6R3H</t>
  </si>
  <si>
    <t>WOS:001283783000001</t>
  </si>
  <si>
    <t>Shahmohammad, M; Salamattalab, MM; Sohn, W; Kouhizadeh, M; Aghamohmmadi, N</t>
  </si>
  <si>
    <t>Shahmohammad, Mohsen; Salamattalab, Mohammad Milad; Sohn, Wonmin; Kouhizadeh, Mahtab; Aghamohmmadi, Nasrin</t>
  </si>
  <si>
    <t>Opportunities and obstacles of blockchain use in pursuit of sustainable development goal 11: A systematic scoping review</t>
  </si>
  <si>
    <t>Blockchain technology; Sustainable development goals; Smart cities; Tokenization; Sustainability; Quantum</t>
  </si>
  <si>
    <t>CONSTRUCTION-INDUSTRY; CITIZEN PARTICIPATION; TECHNOLOGY; MANAGEMENT; ARCHITECTURE; CHALLENGES; TRANSPORT; FRAMEWORK; POLLUTION; INTERNET</t>
  </si>
  <si>
    <t>The United Nations Sustainable Development Goal 11 (SDG 11), which focuses on making cities inclusive, safe, resilient, and ecologically viable, is an essential framework for assessing the sustainability of urban areas. Achieving this goal requires complex multi-pronged solutions. Blockchain technology (BCT) is emerging as a potentially powerful tool for addressing the multifaceted challenges of urban sustainability and resilience. In this paper, we provide a critical review and evaluation of BCT as a core contributor to the targets set by SDG 11. Each of the 10 specific targets is critically evaluated herein with regards to how BCT can help achieve or potentially hinder success. BCT can serve to enhance the inclusiveness, safety, and environmental quality of cities. However, its implementation should be approached with caution. BCT could also contribute to a digital divide, raise privacy concerns, be unfairly leveraged by more developed regions, and even exacerbate existing environmental issues. While BCT has shown promise in managing urban crises, it is crucial to exercise restraint to prevent inadvertently aggravating certain challenges. Therefore, informed policymakers must carefully capitalize on the potential of BCT in their efforts to align with SDG 11. Lastly, an overview of the key areas for future research is presented.</t>
  </si>
  <si>
    <t>[Shahmohammad, Mohsen; Sohn, Wonmin] Michigan State Univ, Sch Planning Design &amp; Construct, 552 W Circle Dr, E Lansing, MI 48824 USA; [Salamattalab, Mohammad Milad] Iran Univ Sci &amp; Technol, Sch Civil Engn, Tehran 1684613114, Iran; [Kouhizadeh, Mahtab] Univ Rhode Isl, Coll Business, Kingston, RI 02881 USA; [Aghamohmmadi, Nasrin] Curtin Univ, Sustainabil Policy CUSP Inst, Sch Design &amp; Built Environm, Bentley 6102, Australia</t>
  </si>
  <si>
    <t>Michigan State University; Iran University Science &amp; Technology; University of Rhode Island; Curtin University</t>
  </si>
  <si>
    <t>Shahmohammad, M (corresponding author), Michigan State Univ, 552 W Circle Dr, E Lansing, MI 48824 USA.</t>
  </si>
  <si>
    <t>shahmoh1@msu.edu</t>
  </si>
  <si>
    <t>Kouhizadeh, Mahtab/AAV-6880-2020; Shahmohammad, Mohsen/AEN-8587-2022; Salamattalab, Mohammad Milad/HKP-1259-2023; Aghamohammadi, Nasrin/L-5822-2013</t>
  </si>
  <si>
    <t>Shahmohammad, Mohsen/0000-0002-9382-197X; Salamattalab, Mohammad Milad/0009-0006-5625-0983; Aghamohammadi, Nasrin/0000-0002-7063-1671</t>
  </si>
  <si>
    <t>OCT 1</t>
  </si>
  <si>
    <t>10.1016/j.scs.2024.105620</t>
  </si>
  <si>
    <t>JUL 2024</t>
  </si>
  <si>
    <t>XY7A6</t>
  </si>
  <si>
    <t>WOS:001265294300001</t>
  </si>
  <si>
    <t>Ishak, NM; Ali, A; Musa, NS; Ishak, MK</t>
  </si>
  <si>
    <t>Ishak, Nada M.; Ali, Adnan; Musa, Nura Shifa; Ishak, Mohamad Khairi</t>
  </si>
  <si>
    <t>Enhancing Task Management in Apache Spark Through Energy-Efficient Data Segregation and Time-Based Scheduling</t>
  </si>
  <si>
    <t>Task analysis; Urban areas; Smart cities; Resource management; Big Data; Medical services; Job shop scheduling; Data collection; Energy efficiency; Apache spark; data segregation; energy efficient; smart cities; dynamic scheduler</t>
  </si>
  <si>
    <t>AWARE; MAPREDUCE; CITIES</t>
  </si>
  <si>
    <t>The rise of smart cities as solutions to urban challenges has garnered significant attention in recent years. With technological advancements, particularly in wireless communication and artificial intelligence, smart cities aim to optimize decision-making processes and improve citizen services. This study explores the integration of extensive infrastructure and networked Internet of Things (IoT) devices to collect data and enhance city performance. With urban populations steadily increasing, the need for efficient resource management and sustainability practices becomes paramount. However, challenges such as energy trading, privacy concerns, and security issues persist. To address these challenges, big data analytics (BDA) systems are crucial, necessitating efficient task scheduling strategies. This study proposes a Dynamic Smart Flow Scheduler (DSFS) system for Apache Spark, showcasing significant improvements in resource efficiency and task optimization. By reducing resource consumption and task execution, the proposed approach enhances system performance, scalability, and sustainability.</t>
  </si>
  <si>
    <t>[Ishak, Nada M.] Univ Sains Malaysia USM, Sch Elect &amp; Elect Engn, Nibong Tebal 14300, Pulau Pinang, Malaysia; [Ishak, Nada M.] United Arab Emirates Univ, Coll Engn, Al Ain, U Arab Emirates; [Ali, Adnan] Univ Khorfakkan, Informat Technol Ctr, Khorfakkan, U Arab Emirates; [Musa, Nura Shifa] Al Ain Univ, Coll Engn, Al Ain, U Arab Emirates; [Ishak, Mohamad Khairi] Ajman Univ, Coll Engn &amp; Informat Technol, Dept Elect &amp; Comp Engn, Ajman, U Arab Emirates</t>
  </si>
  <si>
    <t>Universiti Sains Malaysia; United Arab Emirates University; Ajman University</t>
  </si>
  <si>
    <t>Ishak, MK (corresponding author), Ajman Univ, Coll Engn &amp; Informat Technol, Dept Elect &amp; Comp Engn, Ajman, U Arab Emirates.</t>
  </si>
  <si>
    <t>m.ishak@ajman.ac.ae</t>
  </si>
  <si>
    <t>ISHAK, MOHAMAD KHAIRI/F-5295-2019</t>
  </si>
  <si>
    <t>Ajman University, United Arab Emirates</t>
  </si>
  <si>
    <t>This work was supported in part by Ajman University, United Arab Emirates</t>
  </si>
  <si>
    <t>10.1109/ACCESS.2024.3435705</t>
  </si>
  <si>
    <t>C3M4O</t>
  </si>
  <si>
    <t>WOS:001288427400001</t>
  </si>
  <si>
    <t>Peng, DB; Wu, GY; Boriboonsomsin, K</t>
  </si>
  <si>
    <t>Peng, Dongbo; Wu, Guoyuan; Boriboonsomsin, Kanok</t>
  </si>
  <si>
    <t>Bi-Objective Battery Electric Truck Dispatching Problem with Backhauls and Time Windows</t>
  </si>
  <si>
    <t>TRANSPORTATION RESEARCH RECORD</t>
  </si>
  <si>
    <t>freight operations; trucking industry research; city logistics and last mile strategies; sustainability and resilience; transportation and sustainability; electric and hybrid-electric vehicles</t>
  </si>
  <si>
    <t>VEHICLE-ROUTING PROBLEM; FLEET</t>
  </si>
  <si>
    <t>The battery electric truck (BET) has emerged as a promising solution to reduce greenhouse gas emissions in urban logistics, given the current strict environmental regulations. This research explores the formulation and solution of the bi-objective BET dispatching problem with backhauls and time windows, aiming to simultaneously reduce environmental impacts and enhance the efficiency of urban logistics. From the sustainability perspective, one of the objectives is to minimize total energy costs, which include energy consumption and battery replacement expenses. On the other hand, from an economic perspective, the other objective is the minimization of labor costs. To solve this bi-objective BET dispatching problem, we propose an innovative approach, integrating an adaptive large neighborhood search-based metaheuristics algorithm with a multi-objective optimization strategy. This integration enables the exploration of the trade-off between fleet energy expenses and labor costs, optimizing the dispatching decisions for BETs. To validate the proposed dispatching strategy, extensive experiments were conducted using real-world fleet operations data from a logistics fleet in Southern California. The results demonstrated that the proposed approach yields a set of Pareto solutions, showcasing its effectiveness in finding a balance between energy efficiency and labor costs in urban logistics systems. The findings of this research contribute to advancing sustainable urban logistics practices and provide valuable insights for fleet operators in effectively managing BET fleets to reduce environmental impacts while maintaining economic efficiency.</t>
  </si>
  <si>
    <t>[Peng, Dongbo] Univ Calif Riverside, Dept Elect &amp; Comp Engn, Riverside, CA 92521 USA; [Wu, Guoyuan; Boriboonsomsin, Kanok] Univ Calif Riverside, Ctr Environm Res &amp; Technol, Riverside, CA 92507 USA</t>
  </si>
  <si>
    <t>University of California System; University of California Riverside; University of California System; University of California Riverside</t>
  </si>
  <si>
    <t>Peng, DB (corresponding author), Univ Calif Riverside, Dept Elect &amp; Comp Engn, Riverside, CA 92521 USA.</t>
  </si>
  <si>
    <t>dpeng017@ucr.edu</t>
  </si>
  <si>
    <t>Wu, Guoyuan/AAJ-8804-2020; Peng, Dongbo/KZU-5785-2024</t>
  </si>
  <si>
    <t>Boriboonsoin, Kanok/0000-0003-2558-5343; Peng, Dongbo/0000-0002-9857-3303;</t>
  </si>
  <si>
    <t>National Centerfor Sustainable Transportation (NCST) - U.S. Department of Transportation's University Transportation Centers Program</t>
  </si>
  <si>
    <t>The author(s) disclosed receipt of the following financial sup-port for the research, authorship, and/or publication of this arti-cle: This study was funded by a grant from the National Centerfor Sustainable Transportation (NCST), supported by the U.S. Department of Transportation's University Transportation Centers Program</t>
  </si>
  <si>
    <t>0361-1981</t>
  </si>
  <si>
    <t>2169-4052</t>
  </si>
  <si>
    <t>TRANSPORT RES REC</t>
  </si>
  <si>
    <t>Transp. Res. Record</t>
  </si>
  <si>
    <t>10.1177/03611981241246270</t>
  </si>
  <si>
    <t>Q6T2R</t>
  </si>
  <si>
    <t>WOS:001229744300001</t>
  </si>
  <si>
    <t>Muhammad, MHG; Ahmad, R; Fatima, A; Mohammed, AS; Raza, MA; Khan, MA</t>
  </si>
  <si>
    <t>Muhammad, Muhammad Hassan Ghulam; Ahmad, Reyaz; Fatima, Areej; Mohammed, Abdul Salam; Raza, Muhammad Ahsan; Khan, Muhammad Adnan</t>
  </si>
  <si>
    <t>Secure and transparent traffic congestion control system for smart city using a federated learning approach</t>
  </si>
  <si>
    <t>INTERNATIONAL JOURNAL OF ADVANCED AND APPLIED SCIENCES</t>
  </si>
  <si>
    <t>Federated learning; Blockchain technology; Traffic congestion control; Smart cities; Data privacy</t>
  </si>
  <si>
    <t>This study addresses the increasing problems of traffic congestion in smart cities by introducing a Secure and Transparent Traffic Congestion Control System using federated learning. Traffic congestion control systems face key issues such as data privacy, security vulnerabilities, and the necessity for joint decision-making. Federated learning, a type of distributed machine learning, is effective because it allows for training models on decentralized data while maintaining data privacy. Furthermore, incorporating blockchain technology improves the system's security, integrity, and transparency. cy. The proposed system uses federated learning to securely gather and analyze local traffic data from different sources within a smart city without moving sensitive data away from its original location. This method minimizes the risk of data breaches and privacy issues. Blockchain technology creates a permanent, transparent record for monitoring and confirming decisions related to traffic congestion control, thereby promoting trust and accountability. The combination of federated learning's decentralized nature and blockchain's secure, transparent features aids in building a strong traffic management system for smart cities. This research contributes to advancements in smart city technology, potentially improving traffic management and urban living standards. Moreover, tests of the new combined model show a high accuracy rate of 97.78% and a low miss rate of 2.22%, surpassing previous methods. The demonstrated efficiency and adaptability of the model to various smart city environments and its scalability in expanding urban areas are crucial for validating its practical use in real-world settings. (c) 2024 The Authors. Published by IASE. This is an open access article under the CC BY-NC-ND license (http://creativecommons.org/licenses/by-nc-nd/4.0/).</t>
  </si>
  <si>
    <t>[Muhammad, Muhammad Hassan Ghulam] Natl Coll Business Adm &amp; Econ, Dept Comp Sci, Lahore, Pakistan; [Ahmad, Reyaz; Mohammed, Abdul Salam] Skyline Univ Coll, Dept Gen Educ, Univ City Sharjah, Sharjah 1797, U Arab Emirates; [Fatima, Areej] Lahore Garrison Univ, Dept Comp Sci, Lahore, Pakistan; [Raza, Muhammad Ahsan] Univ Educ, Dept Informat Sci, Multan Campus, Lahore 60000, Pakistan; [Khan, Muhammad Adnan] Gachon Univ, Fac Artificial Intelligence &amp; Software, Dept Software, Seongnam 13120, Gyeonggi Do, South Korea</t>
  </si>
  <si>
    <t>Gachon University</t>
  </si>
  <si>
    <t>Khan, MA (corresponding author), Gachon Univ, Fac Artificial Intelligence &amp; Software, Dept Software, Seongnam 13120, Gyeonggi Do, South Korea.</t>
  </si>
  <si>
    <t>adnan@gachon.ac.kr</t>
  </si>
  <si>
    <t>Raza, Muhammad/ABD-5464-2020; Fatima, Areej/JCF-1717-2023; Khan, Muhammad Adnan/ACJ-2841-2022</t>
  </si>
  <si>
    <t>INST ADVANCED SCIENCE EXTENSION</t>
  </si>
  <si>
    <t>TAIPEI</t>
  </si>
  <si>
    <t>PO BOX 23-31,, TAIPEI, 00000, TAIWAN</t>
  </si>
  <si>
    <t>2313-626X</t>
  </si>
  <si>
    <t>2313-3724</t>
  </si>
  <si>
    <t>INT J ADV APPL SCI</t>
  </si>
  <si>
    <t>Int. J. Adv. Appl. Sci.</t>
  </si>
  <si>
    <t>10.21833/ijaas.2024.07.001</t>
  </si>
  <si>
    <t>F3W3N</t>
  </si>
  <si>
    <t>WOS:001309154600001</t>
  </si>
  <si>
    <t>City logistics - a strategic element of sustainable urban development</t>
  </si>
  <si>
    <t>city logistics; urban transport solutions; green cities</t>
  </si>
  <si>
    <t>The main purpose of this article is to present the basic development trends in the logistics area of the city, some concept of sustainable logistics and innovative technologies prerequisites to its implementation. The author shows such intelligent technologies as e.g. intelligent traffic control, modular containers, which help to improve utilization of vehicle capacity, and alternative means of transport. This will help to reduce the load on the road infrastructure, thus improving the quality of the environment and life in the city. The main trend in sustainable city logistics is cooperation between suppliers, customers and the public administration. Implementation of intelligent logistics requires developing of new business models, enabling to generate benefits not only for the city, but also its operating entities. (C) 2016 The Authors. Published by Elsevier B.V.</t>
  </si>
  <si>
    <t>[Kauf, Sabina] Opole Univ, Fac Ecom, Pl Kopernika 11a, PL-45040 Opole, Poland</t>
  </si>
  <si>
    <t>Kauf, S (corresponding author), Opole Univ, Fac Ecom, Pl Kopernika 11a, PL-45040 Opole, Poland.</t>
  </si>
  <si>
    <t>2352-1457</t>
  </si>
  <si>
    <t>10.1016/j.trpro.2016.11.016</t>
  </si>
  <si>
    <t>WOS:000390612800015</t>
  </si>
  <si>
    <t>Said, Y; Alassaf, Y; Saidani, T; Ghodhbani, R; Ben Rhaiem, O; Alalawi, AA</t>
  </si>
  <si>
    <t>Said, Yahia; Alassaf, Yahya; Saidani, Taoufik; Ghodhbani, Refka; Ben Rhaiem, Olfa; Alalawi, Ali Ahmad</t>
  </si>
  <si>
    <t>Context-Aware Feature Extraction Network for High-Precision UAV-Based Vehicle Detection in Urban Environments</t>
  </si>
  <si>
    <t>CMC-COMPUTERS MATERIALS &amp; CONTINUA</t>
  </si>
  <si>
    <t>Smart cities; UAVs; vehicle detection; traffic management; intelligent transportation systems; anchor-free detection; high-resolution network; context-aware feature extraction; multi-head self-attention</t>
  </si>
  <si>
    <t>The integration of Unmanned Aerial Vehicles (UAVs) into Intelligent Transportation Systems (ITS) holds trans- formative potential for real-time traffic monitoring, a critical component of emerging smart city infrastructure. UAVs offer unique advantages over stationary traffic cameras, including greater flexibility in monitoring large and dynamic urban areas. However, detecting small, densely packed vehicles in UAV imagery remains a significant challenge due to occlusion, variations in lighting, and the complexity of urban landscapes. Conventional models often struggle with these issues, leading to inaccurate detections and reduced performance in practical applications. To address these challenges, this paper introduces CFEMNet, an advanced deep learning model specifically designed for high-precision vehicle detection in complex urban environments. CFEMNet is built on the High- Resolution Network (HRNet) architecture and integrates a Context-aware Feature Extraction Module (CFEM), which combines multi-scale feature learning with a novel Self-Attention and Convolution layer setup within a Multi- scale Feature Block (MFB). This combination allows CFEMNet to accurately capture fine-grained details across varying scales, crucial for detecting small or partially occluded vehicles. Furthermore, the model incorporates an Equivalent Feed-Forward Network (EFFN) Block to ensure robust extraction of both spatial and semantic features, enhancing its ability to distinguish vehicles from similar objects. To optimize computational efficiency, CFEMNet employs a local window adaptation of Multi-head Self-Attention (MSA), which reduces memory overhead without sacrificing detection accuracy. Extensive experimental evaluations on the UAVDT and VisDrone-DET2018 datasets confirm CFEMNet's superior performance in vehicle detection compared to existing models. This new architecture establishes CFEMNet as a benchmark for UAV-enabled traffic management, offering enhanced precision, reduced computational demands, and scalability for deployment in smart city applications. The advancements presented in CFEMNet contribute significantly to the evolution of smart city technologies, providing a foundation for intelligent and responsive traffic management systems that can adapt to the dynamic demands of urban environments.</t>
  </si>
  <si>
    <t>[Said, Yahia; Alalawi, Ali Ahmad] Northern Border Univ, Coll Engn, Dept Elect Engn, Ar Ar 91431, Saudi Arabia; [Alassaf, Yahya] Northern Border Univ, Coll Engn, Dept Civil Engn, Ar Ar 91431, Saudi Arabia; [Saidani, Taoufik; Ghodhbani, Refka] Northern Border Univ, Fac Comp &amp; Informat Technol, Rafha 91911, Saudi Arabia; [Ben Rhaiem, Olfa] Northern Border Univ, Coll Sci, Ar Ar 91431, Saudi Arabia</t>
  </si>
  <si>
    <t>Northern Border University; Northern Border University; Northern Border University; Northern Border University</t>
  </si>
  <si>
    <t>Said, Y (corresponding author), Northern Border Univ, Coll Engn, Dept Elect Engn, Ar Ar 91431, Saudi Arabia.</t>
  </si>
  <si>
    <t>yahia.said@nbu.edu.sa</t>
  </si>
  <si>
    <t>Ghodhbani, Refka/KCK-6564-2024; SAIDANI, TAOUFIK/AAG-3656-2019; Ben Rhaiem, olfa/CAH-6683-2022; Said, Yahia/A-7333-2018</t>
  </si>
  <si>
    <t>Said, Yahia/0000-0003-0613-4037</t>
  </si>
  <si>
    <t>Deanship of Scientific Research at Northern Border University, Arar, Saudi Arabia [RG-NBU-2022-1234]</t>
  </si>
  <si>
    <t>Deanship of Scientific Research at Northern Border University, Arar, Saudi Arabia(Northern Border University)</t>
  </si>
  <si>
    <t>Funding Statement: This research was funded by the Deanship of Scientific Research at Northern Border University, Arar, Saudi Arabia through research group No. (RG-NBU-2022-1234) .</t>
  </si>
  <si>
    <t>TECH SCIENCE PRESS</t>
  </si>
  <si>
    <t>HENDERSON</t>
  </si>
  <si>
    <t>871 CORONADO CENTER DR, SUTE 200, HENDERSON, NV 89052 USA</t>
  </si>
  <si>
    <t>1546-2218</t>
  </si>
  <si>
    <t>1546-2226</t>
  </si>
  <si>
    <t>CMC-COMPUT MATER CON</t>
  </si>
  <si>
    <t>CMC-Comput. Mat. Contin.</t>
  </si>
  <si>
    <t>10.32604/cmc.2024.058903</t>
  </si>
  <si>
    <t>Computer Science, Information Systems; Materials Science, Multidisciplinary</t>
  </si>
  <si>
    <t>Computer Science; Materials Science</t>
  </si>
  <si>
    <t>Q5Q9Y</t>
  </si>
  <si>
    <t>WOS:001385235200001</t>
  </si>
  <si>
    <t>Dzhuguryan, T; Kijewska, K; Iwan, S; Dzhuguryan, K</t>
  </si>
  <si>
    <t>Dzhuguryan, Tygran; Kijewska, Kinga; Iwan, Stanislaw; Dzhuguryan, Karina</t>
  </si>
  <si>
    <t>Supply Chain Ecosystem for Smart Sustainable City Multifloor Manufacturing Cluster: Knowledge Management Based on Open Innovation and Energy Conservation Policies</t>
  </si>
  <si>
    <t>smart city; sustainable manufacturing; supply chain ecosystem; knowledge management; open innovation; energy conservation; digital platform</t>
  </si>
  <si>
    <t>SUPPORT</t>
  </si>
  <si>
    <t>City manufacturing (CM) is a key concept in smart sustainable cities. City multifloor manufacturing clusters (CMFMCs) are an integral part of large urban areas. Although smart sustainable CMFMCs attract growing attention, a major research gap remains. It concerns how different actors drive innovation within their supply chain ecosystems (SCEs). To address this gap, this paper examines the SCE of a CMFMC and knowledge management (KM) mechanisms of open innovation (OI), considering energy conservation (EC) policies. This qualitative study expands the understanding of the spatial configuration and key actors of the SCE of a CMFMC. It also analyses the role of the University Centre for Projects and Innovation (UCPI) as a physical orchestrator. The UCPI fosters innovation activity through KM based on OI and EC. Our findings contribute to the SCE literature by emphasizing the potential of its key actors. We show that an integrated approach to KM based on OI and EC enhances innovation in CMFMCs. This supports the sustainable development of smart cities.</t>
  </si>
  <si>
    <t>[Dzhuguryan, Tygran; Kijewska, Kinga; Iwan, Stanislaw] Maritime Univ Szczecin, Fac Econ &amp; Transport Engn, Waly Chrobrego St 1-2, PL-70507 Szczecin, Poland; [Dzhuguryan, Karina] II Gen Secondary Sch, Henryka Poboznego 2, PL-70507 Szczecin, Poland</t>
  </si>
  <si>
    <t>Iwan, S (corresponding author), Maritime Univ Szczecin, Fac Econ &amp; Transport Engn, Waly Chrobrego St 1-2, PL-70507 Szczecin, Poland.</t>
  </si>
  <si>
    <t>t.dzhuguryan@pm.szczecin.pl; k.kijewska@pm.szczecin.pl; s.iwan@pm.szczecin.pl; karyna_dzhuguryan@lo2zdalne.szczecin.pl</t>
  </si>
  <si>
    <t>Iwan, Stanisław/AEO-7695-2022; Kijewska, Kinga/AGE-9889-2022</t>
  </si>
  <si>
    <t>Maritime University of Szczecin Subsidy of the Ministry of Science and Higher Education; [1/S/KZiL/2025]</t>
  </si>
  <si>
    <t>Maritime University of Szczecin Subsidy of the Ministry of Science and Higher Education;</t>
  </si>
  <si>
    <t>This research outcome has been funded by Maritime University of Szczecin Subsidy of the Ministry of Science and Higher Education for statutory research: 1/S/KZiL/2025.</t>
  </si>
  <si>
    <t>OCT 6</t>
  </si>
  <si>
    <t>10.3390/su17198882</t>
  </si>
  <si>
    <t>8PA3Q</t>
  </si>
  <si>
    <t>WOS:001593909100001</t>
  </si>
  <si>
    <t>Wu, BF; Zhang, JL; Yuan, JF; Zeng, Y; Zhan, P; Yin, YY; Wan, J; Gao, HH</t>
  </si>
  <si>
    <t>Wu, Baofu; Zhang, Jilin; Yuan, Junfeng; Zeng, Yan; Zhan, Peng; Yin, Yuyu; Wan, Jian; Gao, Honghao</t>
  </si>
  <si>
    <t>DT-CTFP: 6G-Enabled Digital Twin Collaborative Traffic Flow Prediction</t>
  </si>
  <si>
    <t>6G networks; digital twin; smart city; traffic flow prediction; dynamic graph multi-attention; cross-area knowledge transfer; intelligent transportation systems</t>
  </si>
  <si>
    <t>In the era of big data, intelligent transportation systems are crucial for the development of smart cities, significantly impacting urban economic growth and planning. The integration of 6G networks and digital twin technology presents unprecedented opportunities to enhance urban traffic management through real-time data synchronization and high-fidelity simulations. Accurate traffic flow prediction is vital for congestion control, intelligent route planning, and effective urban traffic management. However, existing deep learning models often struggle to capture the complex spatio-temporal dependencies and dynamic spatial relationships inherent in urban traffic data, particularly in data-scarce environments. Given the spatial heterogeneity of urban data, where dense and sparse regions coexist, improving prediction accuracy in sparse areas is critical to ensuring overall forecasting performance. To address these challenges, we propose a novel framework called 6G-Enabled Digital Twin Collaborative Traffic Flow Prediction (DT-CTFP), which integrates advanced deep learning models within a 6G-supported digital twin environment. The framework leverages real-time data processing capabilities and ultra-low latency of 6G networks to capture complex traffic features and dynamic spatial dependencies. In data-rich regions, the Dynamic Graph Multi-Attention (DGMA) model is used to learn fine-grained spatio-temporal patterns, while for data-scarce regions, the Cross-Area Transfer Prediction (CATP) model utilizes meta-learning techniques to transfer knowledge from data-rich urban areas, improving prediction accuracy in areas with limited data. Experimental results demonstrate the superiority of the DT-CTFP framework, achieving up to 6% reductions in RMSE and 4% reductions in MAE across multiple datasets, highlighting its enhanced prediction accuracy and efficiency. These results emphasize the framework's capacity to improve traffic management and vehicle-road cooperation within a digital twin smart city.</t>
  </si>
  <si>
    <t>[Wu, Baofu; Zhang, Jilin; Yuan, Junfeng; Zeng, Yan; Zhan, Peng; Yin, Yuyu; Wan, Jian] Hangzhou Dianzi Univ, Sch Comp Sci &amp; Technol, Hangzhou 310018, Peoples R China; [Wu, Baofu] Data Secur Governance Zhejiang Engn Res Ctr, Hangzhou 310018, Peoples R China; [Gao, Honghao] Shanghai Univ, Sch Comp Engn &amp; Sci, Shanghai 200444, Peoples R China; [Gao, Honghao] Gachon Univ, Coll Future Ind, Seongnam 13120, South Korea</t>
  </si>
  <si>
    <t>Hangzhou Dianzi University; Shanghai University; Gachon University</t>
  </si>
  <si>
    <t>Yin, YY (corresponding author), Hangzhou Dianzi Univ, Sch Comp Sci &amp; Technol, Hangzhou 310018, Peoples R China.;Gao, HH (corresponding author), Shanghai Univ, Sch Comp Engn &amp; Sci, Shanghai 200444, Peoples R China.;Gao, HH (corresponding author), Gachon Univ, Coll Future Ind, Seongnam 13120, South Korea.</t>
  </si>
  <si>
    <t>baofu.wu@hdu.edu.cn; jilin.zhang@hdu.edu.cn; yuanjunfeng@hdu.edu.cn; yz@hdu.edu.cn; zpeng977@163.com; yinyuyu@hdu.edu.cn; wanjian@hdu.edu.cn; gaohonghao@shu.edu.cn</t>
  </si>
  <si>
    <t>; Zhang, Jilin/AAU-2380-2020; Wu, Baofu/ABC-6623-2021; Gao, Honghao/AAX-4529-2020</t>
  </si>
  <si>
    <t>Zhang, Jilin/0000-0003-0241-0727; Zeng, Yan/0000-0003-2026-417X;</t>
  </si>
  <si>
    <t>Zhejiang Provincial Key Research and Development Plan [2024C01212, 2024C01026]</t>
  </si>
  <si>
    <t>Zhejiang Provincial Key Research and Development Plan</t>
  </si>
  <si>
    <t>This work was supported in part by Zhejiang Provincial Key Research and Development Plan under Grant 2024C01212 and Grant 2024C01026.</t>
  </si>
  <si>
    <t>10.1109/TITS.2025.3582356</t>
  </si>
  <si>
    <t>9DB8P</t>
  </si>
  <si>
    <t>WOS:001522945400001</t>
  </si>
  <si>
    <t>Manola, E; Tokenova, Z; Li, ZH; Shen, YH; Lai, SY; Godagampala, D; Varga, L</t>
  </si>
  <si>
    <t>Manola, Evangelia; Tokenova, Zhuldyz; Li, Zhenghao; Shen, Yuhan; Lai, Shuyi; Godagampala, Dinu; Varga, Liz</t>
  </si>
  <si>
    <t>Underground encased freight delivery system (EFDS) contributing to sustainability</t>
  </si>
  <si>
    <t>INNOVATIVE INFRASTRUCTURE SOLUTIONS</t>
  </si>
  <si>
    <t>Underground logistics; Enclosed; Parcel delivery; Freight logistics; Pavement damage</t>
  </si>
  <si>
    <t>CITY LOGISTICS</t>
  </si>
  <si>
    <t>The growing demand for freight logistics in urban areas has led to traffic congestion, greenhouse gas emissions, and noise pollution, which have negative environmental impacts and contribute to the rising cost of freight delivery transportation. An alternative radical solution is to provide an encased freight delivery system (EFDS), sending freight in wagons on rails, powered by electro-motive green energy. The EFDS design is secure, intelligent and is a low carbon footprint transport system for delivering freight through buried, suspended or overground pipes. Demonstrating the value of an EFDS includes finding optimal routes connecting the highest demand in a region providing highest social value, as well as maximizing the efficiency of the system. At the same time, the system should be commercially viable and have a low environmental impact during the implementation and operation phases. Results of modelling reveal that when EFDS is used, less HGVs are used in the form of traditional logistics to deliver the same number of parcels. On the other hand, when the number of vehicles (wagons) of the EFDS is increased, as well as their capacity, this enables the effective delivery of more parcels while the speed of these vehicles was found to have little impact. A case study in East London indicates 925 number of trucks can be removed from roads, and capacity for growth in freight movement would be provided when the EFDS is at full capacity, noting that new pipes can always be added to different locations if viable routes are found.</t>
  </si>
  <si>
    <t>[Manola, Evangelia; Tokenova, Zhuldyz; Li, Zhenghao; Shen, Yuhan; Lai, Shuyi; Godagampala, Dinu; Varga, Liz] UCL, Dept Civil Environm &amp; Geomatic Engn, London, England; [Manola, Evangelia] Civil Environm &amp; Geomatic Eng, Chadwick Bldg,Gower St, London WC1E 6BT, England</t>
  </si>
  <si>
    <t>University of London; University College London</t>
  </si>
  <si>
    <t>Manola, E (corresponding author), UCL, Dept Civil Environm &amp; Geomatic Engn, London, England.;Manola, E (corresponding author), Civil Environm &amp; Geomatic Eng, Chadwick Bldg,Gower St, London WC1E 6BT, England.</t>
  </si>
  <si>
    <t>e.manola@ucl.ac.uk</t>
  </si>
  <si>
    <t>Shen, Yuhan/JGM-2644-2023</t>
  </si>
  <si>
    <t>Manola, Evangelia/0009-0001-3697-7302</t>
  </si>
  <si>
    <t>2364-4176</t>
  </si>
  <si>
    <t>2364-4184</t>
  </si>
  <si>
    <t>INNOV INFRASTRUCT SO</t>
  </si>
  <si>
    <t>Innov. Infrastruct. Solut.</t>
  </si>
  <si>
    <t>10.1007/s41062-024-01835-5</t>
  </si>
  <si>
    <t>T2U7H</t>
  </si>
  <si>
    <t>WOS:001403627700002</t>
  </si>
  <si>
    <t>Rani, SS; Aburukba, R; El Fakih, K</t>
  </si>
  <si>
    <t>Rani, S. Sheeja; Aburukba, Raafat; El Fakih, Khaled</t>
  </si>
  <si>
    <t>Wireless Sensor Networks for Urban Development: A Study of Applications, Challenges, and Performance Metrics</t>
  </si>
  <si>
    <t>wireless sensor network; gully pot monitoring; transportation; disasters; healthcare; commercial asset tracking</t>
  </si>
  <si>
    <t>TRANSPORT; ARCHITECTURE; MANAGEMENT; SYSTEM</t>
  </si>
  <si>
    <t>Highlights What are the main findings? Tailored WSN architectures designed for specific urban applications enhance system performance regarding data throughput, accuracy, and execution time. This work evaluates the WSN architectures for the following applications: power grid monitoring, traffic management, healthcare services, waste collection, gas leak detection, water supply tracking, and asset monitoring. The overall performance of these systems largely depends on the design of the network and the roles assigned to sensor nodes. Adaptive architectures help reduce energy usage, minimize processing load, and extend the lifespan of the sensor network. What are the implications of the main findings? These findings highlight the need for intelligent, application-specific WSN designs to efficiently support complex urban systems and ensure reliable real-time data handling in smart cities. The proposed metric-based evaluation framework offers a valuable reference for developers and policymakers to design resilient, scalable, and energy-efficient WSN solutions across diverse urban infrastructure domains.Highlights What are the main findings? Tailored WSN architectures designed for specific urban applications enhance system performance regarding data throughput, accuracy, and execution time. This work evaluates the WSN architectures for the following applications: power grid monitoring, traffic management, healthcare services, waste collection, gas leak detection, water supply tracking, and asset monitoring. The overall performance of these systems largely depends on the design of the network and the roles assigned to sensor nodes. Adaptive architectures help reduce energy usage, minimize processing load, and extend the lifespan of the sensor network. What are the implications of the main findings? These findings highlight the need for intelligent, application-specific WSN designs to efficiently support complex urban systems and ensure reliable real-time data handling in smart cities. The proposed metric-based evaluation framework offers a valuable reference for developers and policymakers to design resilient, scalable, and energy-efficient WSN solutions across diverse urban infrastructure domains.Abstract Wireless sensor networks (WSNs) have emerged to address unique challenges in urban environments. This survey dives into the challenges faced in urban areas and explores how WSN applications can help overcome these obstacles. The diverse applications of WSNs in urban settings discussed in this paper include gas monitoring, traffic optimization, healthcare, disaster response, and security surveillance. The innovative research is considered in an urban environment, where WSNs such as energy efficiency, throughput, and scalability are deployed. Every application scenario is distinct and examined in details within this paper. In particular, smart cities represent a major domain where WSNs are increasingly integrated to enhance urban living through intelligent infrastructure. This paper emphasizes how WSNs are pivotal in realizing smart cities by enabling real-time data collection, analysis, and communication among interconnected systems. Applications such as smart transportation systems, automated waste management, smart grids, and environmental monitoring are discussed as key components of smart city ecosystems. The synergy between WSNs and smart city technologies highlights the potential to significantly improve the quality of life, resource management, and operational efficiency in modern cities. This survey specifies existing work objectives with results and limitations. The aim is to develop a methodology for evaluating the quality of performance analysis. Various performance metrics are discussed in existing research to determine the influence of real-time applications on energy consumption, network lifetime, end-to-end delay, efficiency, routing overhead, throughput, computation cost, computational overhead, reliability, loss rate, and execution time. The observed outcomes are that the proposed method achieves a higher 16% accuracy, 36% network lifetime, 20% efficiency, and 42% throughput. Additionally, the proposed method obtains 36%, 30%, 46%, 35%, and 32% reduction in energy consumption, computation cost, execution time, error rate, and computational overhead, respectively, compared to conventional methods.</t>
  </si>
  <si>
    <t>[Rani, S. Sheeja; Aburukba, Raafat; El Fakih, Khaled] Amer Univ Sharjah, Dept Comp Sci &amp; Engn, POB 26666, Sharjah, U Arab Emirates</t>
  </si>
  <si>
    <t>American University of Sharjah</t>
  </si>
  <si>
    <t>Rani, SS (corresponding author), Amer Univ Sharjah, Dept Comp Sci &amp; Engn, POB 26666, Sharjah, U Arab Emirates.</t>
  </si>
  <si>
    <t>sheejaranis@gmail.com; raburukba@aus.edu; kelfakih@aus.edu</t>
  </si>
  <si>
    <t>Aburukba, Raafat/ABD-1139-2020</t>
  </si>
  <si>
    <t>American University of Sharjah; Open Access Program from the American University of Sharjah</t>
  </si>
  <si>
    <t>The work in this paper was supported, in part, by the Open Access Program from the American University of Sharjah. This paper represents the opinions of the author(s) and does not mean to represent the position or opinions of the American University of Sharjah.</t>
  </si>
  <si>
    <t>MAY 28</t>
  </si>
  <si>
    <t>10.3390/smartcities8030089</t>
  </si>
  <si>
    <t>4ES0C</t>
  </si>
  <si>
    <t>WOS:001516243200001</t>
  </si>
  <si>
    <t>Mantecchini, L; Costa, FPN; Rizzello, V</t>
  </si>
  <si>
    <t>Mantecchini, Luca; Costa, Francesco Paolo Nanni; Rizzello, Valentina</t>
  </si>
  <si>
    <t>Last Mile Urban Freight Distribution: A Modelling Framework to Estimate E-Cargo Bike Freight Attraction Demand Share</t>
  </si>
  <si>
    <t>e-cargo-bikes; freight demand model; last-mile urban delivery</t>
  </si>
  <si>
    <t>LOW-EMISSION ZONES; CONSOLIDATION CENTERS; CITY LOGISTICS; TRANSPORT; DELIVERY; GENERATION; CITIES; IMPACTS; EXAMPLE</t>
  </si>
  <si>
    <t>Urban freight transportation is facing significant challenges due to increasing demand, driven by globalization, e-commerce growth, and the adoption of just-in-time logistics. These trends have led to rising vehicle flows in urban areas, negatively impacting sustainability, economic efficiency, and road safety. In response, cities are exploring innovative last-mile delivery strategies that emphasize sustainability, flexibility, and cost efficiency. Among these strategies, cargo bikes-particularly electric cargo bikes (e-cargo bikes)-are emerging as promising low-emission solutions for urban freight distribution. However, despite their potential, a generalized methodology for estimating their demand share in urban contexts remains underdeveloped. This study proposes a comprehensive modelling framework to evaluate the freight demand share that can be addressed by e-cargo bikes, integrating quantity, restocking service, modal, and delivery sub-models, calibrated using data from a case study in Italy. The results demonstrate that e-cargo bikes could fulfil up to 20% of urban freight demand, depending on the category of goods transported, and underscore the feasibility of integrating e-cargo bikes into urban logistics systems. However, critical challenges related to scalability and cost-effectiveness persist, highlighting the need for further research and reliable cost data to support broader implementation.</t>
  </si>
  <si>
    <t>[Mantecchini, Luca; Rizzello, Valentina] Univ Bologna, Dept Civil Chem Environm &amp; Mat Engn DICAM, Viale Risorgimento 2, I-40136 Bologna, Italy; [Costa, Francesco Paolo Nanni] ITL Fdn, Viale Aldo Moro 38, I-40127 Bologna, Italy</t>
  </si>
  <si>
    <t>Mantecchini, L (corresponding author), Univ Bologna, Dept Civil Chem Environm &amp; Mat Engn DICAM, Viale Risorgimento 2, I-40136 Bologna, Italy.</t>
  </si>
  <si>
    <t>luca.mantecchini@unibo.it; francesco.nannicosta@fondazioneitl.org; valentina.rizzello7@unibo.it</t>
  </si>
  <si>
    <t>; Costa, Francesco/KYQ-2483-2024</t>
  </si>
  <si>
    <t>MANTECCHINI, LUCA/0000-0001-9049-6895;</t>
  </si>
  <si>
    <t>MAR 5</t>
  </si>
  <si>
    <t>10.3390/futuretransp5010031</t>
  </si>
  <si>
    <t>2GX7J</t>
  </si>
  <si>
    <t>WOS:001482386400001</t>
  </si>
  <si>
    <t>Savall-Mañó, M; Ribas, I</t>
  </si>
  <si>
    <t>Savall-Mano, Maria; Ribas, Imma</t>
  </si>
  <si>
    <t>Assessing the viability of parking slot utilization as transhipment points for parcel carriers: a case study in Barcelona</t>
  </si>
  <si>
    <t>CENTRAL EUROPEAN JOURNAL OF OPERATIONS RESEARCH</t>
  </si>
  <si>
    <t>Transhipment points; Urban consolidation centres; B2C; Barcelona; City logistics</t>
  </si>
  <si>
    <t>URBAN CONSOLIDATION CENTERS; LOCATION; VEHICLE</t>
  </si>
  <si>
    <t>The measures proposed in the sustainable and smart mobility strategy developed by the European commission are crucial for achieving the environmental objectives for 2030. This strategy includes measures specifically aimed at reducing the impact of e-commerce distribution. One widely adopted strategy for mitigating the impact of e-commerce distribution is the establishment of urban consolidation centres (UCCs). While this infrastructure quickly demonstrates its environmental success in urban areas, achieving long-term economic sustainability proves challenging. In this paper, we introduce a methodology aimed at incentivizing parcel carriers to shift towards an economically feasible and environmentally sustainable distribution mode within urban areas by leveraging their own transhipment space. This methodology includes a mathematical program for determining the quantity and locations of parking slots, taking into account the number of parcels and transportation vehicles used. It also utilizes the Continuous Approximation technique to assess the transportation and environmental costs of the proposed solutions. The proposed methodology is implemented for the city of Barcelona, considering three different sizes of parcel carriers: the carrier handling the largest volume of parcels, the carrier handling the lowest volume of parcels, and an intermediate case. The vehicles considered for delivery from the transhipment points include vans, cargo bikes, and trolleys for distribution on foot. The results indicate that a significant reduction in both transport and environmental costs is achieved when using zero-emissions vehicles for delivery from transhipment points for any of the parcel carriers considered.</t>
  </si>
  <si>
    <t>[Savall-Mano, Maria; Ribas, Imma] Univ Politecn Cataluna, BarcelonaTech, Dept Org Empreses, Avda Diagonal,647,7th Floor, Barcelona 08028, Spain</t>
  </si>
  <si>
    <t>Ribas, I (corresponding author), Univ Politecn Cataluna, BarcelonaTech, Dept Org Empreses, Avda Diagonal,647,7th Floor, Barcelona 08028, Spain.</t>
  </si>
  <si>
    <t>maria.savall@upc.edu; imma.ribas@upc.edu</t>
  </si>
  <si>
    <t>; Ribas, Imma/L-8946-2014</t>
  </si>
  <si>
    <t>Savall Mañó, Maria/0000-0002-3465-6222;</t>
  </si>
  <si>
    <t>Agencia de Gestio d'Ajuts Universitaris i de Recerca (AGAUR) of the Generalitat de Catalunya [2020 DI 053]; Agencia estatal de investigacion [PLEC2021-007609]</t>
  </si>
  <si>
    <t>Agencia de Gestio d'Ajuts Universitaris i de Recerca (AGAUR) of the Generalitat de Catalunya; Agencia estatal de investigacion</t>
  </si>
  <si>
    <t>The research conducted by Maria Savall-Mano has been funded by the Industrial Phd plan grant 2020 DI 053 given by Agencia de Gestio d'Ajuts Universitaris i de Recerca (AGAUR) of the Generalitat de Catalunya. The research conducted by Imma Ribas has been partly funded by Agencia estatal de investigacion under Grant PLEC2021-007609</t>
  </si>
  <si>
    <t>1435-246X</t>
  </si>
  <si>
    <t>1613-9178</t>
  </si>
  <si>
    <t>CENT EUR J OPER RES</t>
  </si>
  <si>
    <t>Cent. Europ. J. Oper. Res.</t>
  </si>
  <si>
    <t>10.1007/s10100-024-00925-0</t>
  </si>
  <si>
    <t>8BX8P</t>
  </si>
  <si>
    <t>Green Accepted, hybrid</t>
  </si>
  <si>
    <t>WOS:001268691200001</t>
  </si>
  <si>
    <t>Jing, TJ; Zhang, LQ; Ma, ZC; Wang, WZ</t>
  </si>
  <si>
    <t>Jing, Tianjun; Zhang, Liqing; Ma, Zhicheng; Wang, Weizhou</t>
  </si>
  <si>
    <t>A cost-benefit secured DAG based analysis of distributed energy generation in urban settings</t>
  </si>
  <si>
    <t>Smart buildings; Energy management; Demand response; Secured architecture; Time-of-use pricing; Optimization algorithms</t>
  </si>
  <si>
    <t>This study presents a groundbreaking approach to energy management in urban areas, focusing on smart building frameworks. The proposed method integrates a Directed Acyclic Graph (DAG) architecture to enhance data security, transparency, and integrity within the smart building ecosystem. To optimize the energy management system, advanced algorithms, namely Harmony Search (HS) and Artificial Bee Colony (ABC), are employed. Notably, the HS and ABC algorithms undergo modifications to improve their efficiency and convergence properties. The innovative use of these algorithms aims to achieve global solutions in the complex optimization landscape of energy management. The study explores the synergistic effects of DAG, HS, and ABC, providing a robust and secure solution for urban energy challenges. The proposed framework is designed to address the dynamic nature of smart buildings, allowing for adaptive and efficient energy consumption. The findings contribute to the advancement of sustainable urban development, emphasizing the importance of secure data transactions and optimized energy utilization in the context of smart cities. The modified HS and ABC algorithms play a key role in fine-tuning the energy management process, offering a novel and effective approach to address the evolving energy needs of urban areas.</t>
  </si>
  <si>
    <t>[Jing, Tianjun; Zhang, Liqing] China Agr Univ, Beijing 100083, Peoples R China; [Ma, Zhicheng] State Grid Gansu Elect Power Res Inst, Lanzhou 730070, Gansu, Peoples R China; [Wang, Weizhou] State Grid Gansu Elect Power Co, Lanzhou 730050, Gansu, Peoples R China</t>
  </si>
  <si>
    <t>China Agricultural University; State Grid Corporation of China; State Grid Corporation of China</t>
  </si>
  <si>
    <t>Jing, TJ (corresponding author), China Agr Univ, Beijing 100083, Peoples R China.</t>
  </si>
  <si>
    <t>drtianjunjing@outlook.com</t>
  </si>
  <si>
    <t>State Grid Science and Technology Project [5400-202133157A-0-0-00]</t>
  </si>
  <si>
    <t>State Grid Science and Technology Project</t>
  </si>
  <si>
    <t>State Grid Science and Technology Project (5400-202133157A-0-0-00) .</t>
  </si>
  <si>
    <t>10.1016/j.scs.2024.105359</t>
  </si>
  <si>
    <t>APR 2024</t>
  </si>
  <si>
    <t>RR9M9</t>
  </si>
  <si>
    <t>WOS:001229507000001</t>
  </si>
  <si>
    <t>Barrera-Jiménez, H; Pineda-Jaramillo, J</t>
  </si>
  <si>
    <t>Barrera-Jimenez, Humberto; Pineda-Jaramillo, Juan</t>
  </si>
  <si>
    <t>A Framework for Integrating Freight Transport, Urban Land Planning, and Infrastructure Management under Economic Geography Principles</t>
  </si>
  <si>
    <t>economic geography; freight transport planning; city logistics; freight traffic zones (FTZs); freight optimisation framework</t>
  </si>
  <si>
    <t>IMPACTS</t>
  </si>
  <si>
    <t>This study presents a conceptual framework proposal for integrating urban freight initiatives (UFIs), or city logistics initiatives, into urban planning and urban management (UPUM) land use and infrastructure systems. As a novel approach, this framework integrates three components: Firstly, a conceptual basis on three economic geography theory principles-location, agglomeration, and urbanisation. Secondly, spatial analysis and subsequent clustering integrate companies' spatial positions, their proximity to other companies, their freight intensity, and the characteristics of the zonal road infrastructure; these clusters are defined as freight traffic zones (FTZs). Thirdly, a functional yet strategic UFI clustering or grouping is proposed to work in an optimised and integrated manner with the FTZs' opportunities for efficiency and reduced externalities. It is expected that the integrated result of these three components can serve to optimise freight initiatives and road infrastructure from a city governance perspective, reduce freight externalities, and function as a stakeholder cooperation tool from government-led, policy-driven perspectives. This research also identifies and characterises various variables influencing the emergence and existence (planned or organic) of FTZs and shows how these could be incorporated into high-level UPUM processes. Although it is deemed that the principles and methodological approach followed here could be common to urban areas, an example for the Metropolitan Area of the Aburra Valley (MAAV), in Colombia, is presented as an initial case study. Conclusively, this paper introduces a pioneering methodology for integrating UFIs into city or metropolitan governance, offering guidance for policymakers to promote sustainable freight systems.</t>
  </si>
  <si>
    <t>[Barrera-Jimenez, Humberto] Univ Melbourne, Fac Engn &amp; IT, Melbourne Sch Design, Transport Hlth &amp; Urban Syst Res Lab, Melbourne 3052, Australia; [Pineda-Jaramillo, Juan] Univ Nacl Colombia, Fac Mines, Medellin Campus, Medellin 050034, Colombia</t>
  </si>
  <si>
    <t>University of Melbourne; Universidad Nacional de Colombia</t>
  </si>
  <si>
    <t>Pineda-Jaramillo, J (corresponding author), Univ Nacl Colombia, Fac Mines, Medellin Campus, Medellin 050034, Colombia.</t>
  </si>
  <si>
    <t>barrerajimenez.h@unimelb.edu.au; jdpineda@unal.edu.co</t>
  </si>
  <si>
    <t>; Pineda-Jaramillo, Juan/AAC-5007-2022</t>
  </si>
  <si>
    <t>Barrera-Jimenez, Humberto/0000-0001-6094-5186; Pineda Jaramillo, Juan Diego/0000-0002-4657-7521</t>
  </si>
  <si>
    <t>10.3390/urbansci8020030</t>
  </si>
  <si>
    <t>WR8D3</t>
  </si>
  <si>
    <t>WOS:001256683100001</t>
  </si>
  <si>
    <t>Muriuki, KP; Okello, JO; Chepkoech, J</t>
  </si>
  <si>
    <t>Muriuki, Kariuki Pius; Okello, Japheth Odiwour; Chepkoech, Joan</t>
  </si>
  <si>
    <t>Advanced Intelligent Traffic Management System(AITMS): A Generative AI-Enhanced Model</t>
  </si>
  <si>
    <t>2024 IEEE PES/IAS POWERAFRICA</t>
  </si>
  <si>
    <t>11th IEEE PES/IAS PowerAfrica Conference</t>
  </si>
  <si>
    <t>OCT 07-11, 2024</t>
  </si>
  <si>
    <t>Johannesburg, SOUTH AFRICA</t>
  </si>
  <si>
    <t>Generative AI; LLM; AITMS; GAN; Scalability; Smart Cities</t>
  </si>
  <si>
    <t>In rapidly urbanizing cities with increasing populations, the challenges of managing traffic are becoming more pressing, highlighting the need for advanced technologies. The Advanced Intelligent Traffic Management System (AITMS) is a comprehensive solution designed to address the persistent challenges of traffic congestion, poor traffic management, and air pollution in densely populated urban areas. Current traffic management systems often rely on static algorithms and predetermined signal timings, which are insufficient to handle dynamic and unpredictable traffic patterns. This results in prolonged travel times, increased fuel consumption, and elevated levels of air pollution, posing serious threats to public health and environmental sustainability. AITMS integrates physical and digital infrastructures, leveraging Generative AI for real-time data collection, analysis, and decision-making. By incorporating sensors, IoT devices, and advanced data analytics, the system can predict traffic flow, optimize signal timings, and recommend alternate routes. It also communicates with connected vehicles to provide real-time updates. The incorporation of Generative AI enables the AITMS to continually adapt and learn from new data inputs and trends, ensuring sustainability and scalability in urban transportation. AITMS is an innovative framework enhanced by Generative AI, aimed at revolutionizing urban traffic management in smart cities. Similar frameworks demonstrate promising outcomes, including improved traffic management, reduced congestion, and enhanced driver safety. AITMS aims to transform urban transportation, elevate residents' quality of life, and foster more sustainable and resilient cities amidst urbanization challenges.</t>
  </si>
  <si>
    <t>[Muriuki, Kariuki Pius] Kenyatta Univ, Nairobi, Kenya; [Okello, Japheth Odiwour; Chepkoech, Joan] Tech Univ Kenya, Nairobi, Kenya</t>
  </si>
  <si>
    <t>Kenyatta University; Technical University of Kenya</t>
  </si>
  <si>
    <t>Muriuki, KP (corresponding author), Kenyatta Univ, Nairobi, Kenya.</t>
  </si>
  <si>
    <t>piuskariuki@ieee.org; jokello@ieee.org; chepkoechjoan@ieee.org</t>
  </si>
  <si>
    <t>979-8-3503-8938-8; 979-8-3503-8939-5</t>
  </si>
  <si>
    <t>10.1109/POWERAFRICA61624.2024.10759478</t>
  </si>
  <si>
    <t>BY5AJ</t>
  </si>
  <si>
    <t>WOS:001454278600049</t>
  </si>
  <si>
    <t>Al-Hakimi, AM; Subbiah, A</t>
  </si>
  <si>
    <t>Al-Hakimi, Asmaa Mahfoud; Subbiah, Ahgalya</t>
  </si>
  <si>
    <t>Genius City Mechanism to Improve Sustainable Ecosystems, Education, Transportation, Governance, and Commerce</t>
  </si>
  <si>
    <t>2024 IEEE 14TH SYMPOSIUM ON COMPUTER APPLICATIONS &amp; INDUSTRIAL ELECTRONICS, ISCAIE 2024</t>
  </si>
  <si>
    <t>International Conference on Computer Applications and Industrial Electronics</t>
  </si>
  <si>
    <t>14th Symposium on Computer Applications &amp; Industrial Electronics (ISCAIE)</t>
  </si>
  <si>
    <t>MAY 24-25, 2024</t>
  </si>
  <si>
    <t>Penang Island, MALAYSIA</t>
  </si>
  <si>
    <t>Sustainable Ecosystems; Living Enhancement; Eco-friendly Design; Smart City; Urban Governance</t>
  </si>
  <si>
    <t>With the expansion of urban cities, there are major issues that prevent improving lives to a better living. The poor and partially systematic government systems, education, transportation, and economic structures present a difficult challenge in urban settings, badly affecting the quality of life and environmental sustainability. Inefficient governance negatively impacts the delivery of public services which has led to illuminate citizen trust. The insufficiencies in education and transportation further worsen socio-economic situations, limiting opportunities and delaying social mobility. The excessive reliance on paperwork in involved processes not only increases inefficiencies but also creates environmental concerns. Urban areas deal with the dual threats of air and sound pollution, from poorly managed transportation systems and industrial practices which leads to health risks for residents. The objectives of this research are to Identify the key components and strategies that contribute to the concept of a Genius City. Evaluate the potential of a Genius City to address the critical challenges faced by urban environments. Finally, analyze the effectiveness of different approaches and methodologies employed by various cities in implementing a Genius City framework. Two methodologies are used, quantitative method using Cost-benefit analysis CBA to evaluate the benefits and costs of phases, to make informed decisions of the expected benefits and costs with the best return on investment. Qualitative method using interview and case studies of current and past Development of smart cities. The output of this Research is a comprehensive framework and planning effort to establish the genius city.</t>
  </si>
  <si>
    <t>[Al-Hakimi, Asmaa Mahfoud; Subbiah, Ahgalya] Management &amp; Sci Univ, Fac Informat Sci &amp; Engn, Shah Alam, Malaysia</t>
  </si>
  <si>
    <t>Management Science University</t>
  </si>
  <si>
    <t>Al-Hakimi, AM (corresponding author), Management &amp; Sci Univ, Fac Informat Sci &amp; Engn, Shah Alam, Malaysia.</t>
  </si>
  <si>
    <t>asmaa@msu.edu.my; ahgalya_subbiah@msu.edu.my</t>
  </si>
  <si>
    <t>Mahfoud Al-Hakimi, Asmaa/0000-0002-4038-5203</t>
  </si>
  <si>
    <t>MSU university; [SG-006-022023-FISE]</t>
  </si>
  <si>
    <t>MSU university;</t>
  </si>
  <si>
    <t>This work has been supported by grant number SG-006-022023-FISE from MSU university. Thank you to the effort and support from MSU university to support this research. the first page.</t>
  </si>
  <si>
    <t>2836-4864</t>
  </si>
  <si>
    <t>979-8-3503-4879-8; 979-8-3503-4880-4</t>
  </si>
  <si>
    <t>Comp App Ind Ele</t>
  </si>
  <si>
    <t>10.1109/ISCAIE61308.2024.10576310</t>
  </si>
  <si>
    <t>Computer Science, Interdisciplinary Applications; Engineering, Industrial; Engineering, Electrical &amp; Electronic</t>
  </si>
  <si>
    <t>BX3QY</t>
  </si>
  <si>
    <t>WOS:001283898700027</t>
  </si>
  <si>
    <t>Xiong, Z; Sheng, H; Rong, WG; Cooper, DE</t>
  </si>
  <si>
    <t>Xiong Zhang; Sheng Hao; Rong WenGe; Cooper, Dave E.</t>
  </si>
  <si>
    <t>Intelligent transportation systems for smart cities: a progress review</t>
  </si>
  <si>
    <t>SCIENCE CHINA-INFORMATION SCIENCES</t>
  </si>
  <si>
    <t>intelligent transportation systems; traffic information; smart city</t>
  </si>
  <si>
    <t>URBAN AREAS; LOCALIZATION</t>
  </si>
  <si>
    <t>To better meet the challenge of providing effective, low-cost, energy efficient transport services, the concept of intelligent transport systems (ITS) has been proposed and lauded as an innovative and promising solution for next generation transport networks. In this paper, the progress of ITS research around the world is briefly reviewed and current challenges are outlined, thereby offering further insight into ITS development for all researchers in this area.</t>
  </si>
  <si>
    <t>[Xiong Zhang; Sheng Hao; Rong WenGe; Cooper, Dave E.] Beihang Univ, Sch Comp Sci &amp; Engn, State Key Lab Software Dev Environm, Beijing 100191, Peoples R China; [Xiong Zhang; Sheng Hao] Beihang Univ, Res Inst Shenzhen, Shenzhen Key Lab Data Vitalizat, Shenzhen 518057, Peoples R China; [Rong WenGe] Beihang Univ, Sch Comp Sci &amp; Engn, Beijing Engneering Lab IOT Content Secur, Beijing 100191, Peoples R China</t>
  </si>
  <si>
    <t>Beihang University; Beihang University; Beihang University</t>
  </si>
  <si>
    <t>Sheng, H (corresponding author), Beihang Univ, Sch Comp Sci &amp; Engn, State Key Lab Software Dev Environm, Beijing 100191, Peoples R China.</t>
  </si>
  <si>
    <t>shenghao@buaa.edu.cn</t>
  </si>
  <si>
    <t>sheng, hao/AAM-9149-2020</t>
  </si>
  <si>
    <t>Natural Science Foundation of China [61272350]; National Science &amp; Technology Pillar Program [2012BAH07B01]; Open Fund of the State Key Laboratory of Software Development Environment [SKLSDE-2012ZX-05]</t>
  </si>
  <si>
    <t>Natural Science Foundation of China(National Natural Science Foundation of China (NSFC)); National Science &amp; Technology Pillar Program; Open Fund of the State Key Laboratory of Software Development Environment</t>
  </si>
  <si>
    <t>This work was partially supported by Natural Science Foundation of China (Grant No. 61272350), National Science &amp; Technology Pillar Program (Grant No. 2012BAH07B01), and Open Fund of the State Key Laboratory of Software Development Environment (Grant No. SKLSDE-2012ZX-05).</t>
  </si>
  <si>
    <t>SCIENCE PRESS</t>
  </si>
  <si>
    <t>16 DONGHUANGCHENGGEN NORTH ST, BEIJING 100717, PEOPLES R CHINA</t>
  </si>
  <si>
    <t>1674-733X</t>
  </si>
  <si>
    <t>1869-1919</t>
  </si>
  <si>
    <t>SCI CHINA INFORM SCI</t>
  </si>
  <si>
    <t>Sci. China-Inf. Sci.</t>
  </si>
  <si>
    <t>10.1007/s11432-012-4725-1</t>
  </si>
  <si>
    <t>Computer Science, Information Systems; Engineering, Electrical &amp; Electronic</t>
  </si>
  <si>
    <t>061XT</t>
  </si>
  <si>
    <t>WOS:000312884300019</t>
  </si>
  <si>
    <t>Poniszewska-Maranda, A; Kubiak, M; Chomatek, L</t>
  </si>
  <si>
    <t>Monti, F; Plebani, P; Moha, N; Paik, HY; Barzen, J; Ramachandran, G; Bianchini, D; Tamburri, DA; Mecella, M</t>
  </si>
  <si>
    <t>Poniszewska-Maranda, Aneta; Kubiak, Mateusz; Chomatek, Lukasz</t>
  </si>
  <si>
    <t>Smart Public Transport with Be-in/Be-out System Supported by iBeacon Devices</t>
  </si>
  <si>
    <t>SERVICE-ORIENTED COMPUTING - ICSOC 2023 WORKSHOPS</t>
  </si>
  <si>
    <t>21st International Conference on Service-Oriented Computing (ICSOC)</t>
  </si>
  <si>
    <t>NOV 28-DEC 01, 2023</t>
  </si>
  <si>
    <t>Rome, ITALY</t>
  </si>
  <si>
    <t>Smart cities; mobile ticketing; Be-in/Be-out system; iBeacon devices</t>
  </si>
  <si>
    <t>The paper likely introduces the concept of Be-in/Be-out system, discussing the need for more efficient and user-friendly transportation systems in urban areas. This system often relies on technology like RFID or Bluetooth to automatically detect when passengers board and exit public transport. This can provide a seamless and convenient experience for travellers. iBeacon technology is commonly used for location-based services and could be applied to enhance the passenger experience or optimize operations. The paper also explains how iBeacon devices are used in the context of smart public transport and discusses the advantages of implementing such systems, including improved passenger convenience and better data collection.</t>
  </si>
  <si>
    <t>[Poniszewska-Maranda, Aneta; Kubiak, Mateusz; Chomatek, Lukasz] Lodz Univ Technol, Inst Informat Technol, Lodz, Poland</t>
  </si>
  <si>
    <t>Lodz University of Technology</t>
  </si>
  <si>
    <t>Poniszewska-Maranda, A (corresponding author), Lodz Univ Technol, Inst Informat Technol, Lodz, Poland.</t>
  </si>
  <si>
    <t>aneta.poniszewska-maranda@p.lodz.pl; mateuszkubiak@protonmail.com; lukasz.chomatek@p.lodz.pl</t>
  </si>
  <si>
    <t>Poniszewska-Maranda, Aneta/H-1667-2017; Chomątek, Łukasz/X-2763-2018; Chomatek, Lukasz/X-2763-2018; Poniszewska-Marańda, Aneta/H-1667-2017</t>
  </si>
  <si>
    <t>Chomątek, Łukasz/0000-0002-7651-6877; Poniszewska-Marańda, Aneta/0000-0001-7596-0813</t>
  </si>
  <si>
    <t>152 BEACH ROAD, #21-01/04 GATEWAY EAST, SINGAPORE, 189721, SINGAPORE</t>
  </si>
  <si>
    <t>978-981-97-0988-5; 978-981-97-0989-2</t>
  </si>
  <si>
    <t>10.1007/978-981-97-0989-2_18</t>
  </si>
  <si>
    <t>Computer Science, Software Engineering; Computer Science, Theory &amp; Methods</t>
  </si>
  <si>
    <t>BW9GR</t>
  </si>
  <si>
    <t>WOS:001213987000018</t>
  </si>
  <si>
    <t>Banach, M; Dlugosz, R</t>
  </si>
  <si>
    <t>Banach, Marzena; Dlugosz, Rafal</t>
  </si>
  <si>
    <t>Solutions for planning smart hybrid public transportation system based on Google Maps and Voronoi diagrams</t>
  </si>
  <si>
    <t>JOURNAL OF COMPUTATIONAL AND APPLIED MATHEMATICS</t>
  </si>
  <si>
    <t>Intelligent hybrid transportation system; Autonomous vehicles; Vehicle-to-infrastructure communication; Voronoi diagrams; Smart city; Sustainable urban planning</t>
  </si>
  <si>
    <t>One of the most important aspects related to the subject of smart cities is the so-called intelligent transportation system (ITS). The word intelligent should primarily mean adapting this system to the needs of the largest possible number of residents of a given agglomeration. Hybrid transport with an element of autonomous transport may be its more interesting option. This applies in particular to such vehicles, whose routes can be controlled by the local vehicle-to-infrastructure (V2I) communication system. In this paper, we present the results of a work constituting a kind of theoretical foundation for such a system. In this case, we based our solutions on Google maps, but also on a detailed analysis of local conditions for a given agglomeration. In the analysis, we took into account the distances from suburban towns to railway stations, but also the availability of parking lots. In the presented concept, autonomous transport could be used in a much less complex suburban environment than within the cities. The aforementioned mathematical analysis is based on a concept of Voronoi diagrams, in which particular suburban railway stations are treated as local attractors. In this approach we used the Google Maps engine in one of its stages, which allows determining road distances and travel times between particular towns and nearby railway stations. Each agglomeration is different, so it is worth presenting the concept on selected examples. In this work, we based it on the example of the city of Pozna &amp; nacute; and its agglomeration in Poland.</t>
  </si>
  <si>
    <t>[Banach, Marzena] Poznan Univ Tech, Inst Architecture &amp; Phys Planning, Poznan, Poland; [Dlugosz, Rafal] Bydgoszcz Univ Sci &amp; Technol, Fac Telecommun Comp Sci &amp; Elect Engn, Ul Al Prof S Kaliskiego 7, PL-85796 Bydgoszcz, Poland; [Dlugosz, Rafal] Aptiv Serv Poland, Tech Ctr Krakow, Krakow, Poland</t>
  </si>
  <si>
    <t>Poznan University of Technology; Bydgoszcz University of Science &amp; Technology</t>
  </si>
  <si>
    <t>Banach, M (corresponding author), Poznan Univ Tech, Inst Architecture &amp; Phys Planning, Poznan, Poland.</t>
  </si>
  <si>
    <t>marzena.banch@put.poznan.pl; rafal.dlugosz@pbs.edu.pl</t>
  </si>
  <si>
    <t>Banach, Marzena/N-1560-2014</t>
  </si>
  <si>
    <t>0377-0427</t>
  </si>
  <si>
    <t>1879-1778</t>
  </si>
  <si>
    <t>J COMPUT APPL MATH</t>
  </si>
  <si>
    <t>J. Comput. Appl. Math.</t>
  </si>
  <si>
    <t>JAN 15</t>
  </si>
  <si>
    <t>10.1016/j.cam.2025.116775</t>
  </si>
  <si>
    <t>Mathematics, Applied</t>
  </si>
  <si>
    <t>Mathematics</t>
  </si>
  <si>
    <t>3UD5H</t>
  </si>
  <si>
    <t>WOS:001509073400006</t>
  </si>
  <si>
    <t>Alam, T</t>
  </si>
  <si>
    <t>Alam, Tanweer</t>
  </si>
  <si>
    <t>Breaking the Traffic Code: How MaaS Is Shaping Sustainable Mobility Ecosystems</t>
  </si>
  <si>
    <t>mobility-as-a-service; transportation; smart mobility; traffic management; smart cities</t>
  </si>
  <si>
    <t>AS-A-SERVICE</t>
  </si>
  <si>
    <t>Urban areas are facing increasing traffic congestion, pollution, and infrastructure strain. Traditional urban transportation systems are often fragmented. They require users to plan, pay, and travel across multiple disconnected services. Mobility-as-a-Service (MaaS) integrates these services into a single digital platform, simplifying access and improving the user experience. This review critically examines the role of MaaS in fostering sustainable mobility ecosystems. MaaS aims to enhance user-friendliness, service variety, and sustainability by adopting a customer-centric approach to transportation. The findings reveal that successful MaaS systems consistently align with multimodal transport infrastructure, equitable access policies, and strong public-private partnerships. MaaS enhances the management of routes and traffic, effectively mitigating delays and congestion while concurrently reducing energy consumption and fuel usage. In this study, the authors examine MaaS as a new mobility paradigm for a sustainable transportation system in smart cities, observing the challenges and opportunities associated with its implementation. To assess the environmental impact, a sustainability index is calculated based on the use of different modes of transportation. Significant findings indicate that MaaS systems are proliferating in both quantity and complexity, increasingly integrating capabilities such as real-time multimodal planning, dynamic pricing, and personalized user profiles.</t>
  </si>
  <si>
    <t>[Alam, Tanweer] Islamic Univ Madinah, Fac Comp &amp; Informat Syst, Dept Comp Sci, POB 170, Madinah 42351, Saudi Arabia</t>
  </si>
  <si>
    <t>Islamic University of Al Madinah</t>
  </si>
  <si>
    <t>Alam, T (corresponding author), Islamic Univ Madinah, Fac Comp &amp; Informat Syst, Dept Comp Sci, POB 170, Madinah 42351, Saudi Arabia.</t>
  </si>
  <si>
    <t>tanweer03@iu.edu.sa</t>
  </si>
  <si>
    <t>Alam, Tanweer/M-7780-2017</t>
  </si>
  <si>
    <t>10.3390/futuretransp5030094</t>
  </si>
  <si>
    <t>7VZ4J</t>
  </si>
  <si>
    <t>WOS:001580973100001</t>
  </si>
  <si>
    <t>Saha, A; Kumar, VP; Chatterjee, P; Zakeri, S; Vinogradova-Zinkevic, I</t>
  </si>
  <si>
    <t>Saha, Abhijit; Kumar, V. Pavan; Chatterjee, Prasenjit; Zakeri, Shervin; Vinogradova-Zinkevic, Irina</t>
  </si>
  <si>
    <t>Evaluating autonomous urban freight solutions for smart and sustainable cities: A single valued neutrosophic multiple triangles scenarios model</t>
  </si>
  <si>
    <t>ENGINEERING APPLICATIONS OF ARTIFICIAL INTELLIGENCE</t>
  </si>
  <si>
    <t>Autonomous vehicles; Urban freight logistics; Artificial intelligence-driven group decision; making; Single valued neutrosophic sets; Copula-dombi operators; Multiple triangles scenarios</t>
  </si>
  <si>
    <t>DECISION-MAKING; TRANSPORTATION; CRITERIA; ACCEPTANCE; LOGISTICS; VEHICLES; DESIGN</t>
  </si>
  <si>
    <t>The evaluation of autonomous urban freight logistics (UFL) solutions is crucial due to the increasing need for efficient and sustainable transportation systems in urban areas. Optimizing UFL possibilities becomes essential for developing smart city projects as cities expand and the need for reliable logistical services increases. This study introduces an artificial intelligence (AI)-driven framework for group decision-making in UFL evaluation. It develops single-valued neutrosophic (SVN) Copula-Dombi averaging and geometric operators that act as AI reasoning tools, capable of handling uncertainty, contradiction, and indeterminacy beyond classical models. To improve reliability and agreement among decision-makers, the study also presents a consensus-based SVN Copula-Dombi multiple triangles scenarios (MUTRISS) decision support model. The model is tested on a real case in India. It evaluates drones, electric light commercial vehicles (e-LCVs), autonomous e-LCVs, and droids as UFL solutions. Twelve criteria are used, and their weights are set with an optimization model. Results show drones rank first with a score of 0.6055, followed by droids at 0.6033. The study also checks robustness through comparison and sensitivity tests. The study supports smart city logistics and sustainable urban development by assisting logistics managers and city authorities in selecting appropriate autonomous UFL systems.</t>
  </si>
  <si>
    <t>[Saha, Abhijit] SRM Inst Sci &amp; Technol SRMIST, Dept Comp Technol, Kattankulathur 603203, Tamil Nadu, India; [Saha, Abhijit] Vilnius Gediminas Tech Univ, Fac Fundamental Sci, Dept Informat Technol, Vilnius, Lithuania; [Kumar, V. Pavan] B V Raju Inst Technol, Dept Comp Sci &amp; Engn, Narsapur 502313, Telangana, India; [Chatterjee, Prasenjit] Vilnius Gediminas Tech Univ, Inst Sustainable Construct, Fac Civil Engn, Lab Smart Bldg Syst, Vilnius, Lithuania; [Chatterjee, Prasenjit] Yuan Ze Univ, Coll Engn, Taoyuan City, Taiwan; [Chatterjee, Prasenjit] Szecheny Istvan Univ, Sustainabil Competence Ctr, Egyet ter 1, H-9026 Gyor, Hungary; [Zakeri, Shervin] Univ Geneva, Geneva Sch Econ &amp; Management, CH-1211 Geneva, Switzerland</t>
  </si>
  <si>
    <t>SRM Institute of Science &amp; Technology Chennai; Vilnius Gediminas Technical University; Vilnius Gediminas Technical University; Yuan Ze University; University of Istvan Szechenyi; University of Geneva</t>
  </si>
  <si>
    <t>Chatterjee, P (corresponding author), Vilnius Gediminas Tech Univ, Inst Sustainable Construct, Fac Civil Engn, Lab Smart Bldg Syst, Vilnius, Lithuania.</t>
  </si>
  <si>
    <t>abhijit.saha@vilniustech.lt; drpavankumarv@gmail.com; prasenjit.chatterjee@vilniustech.lt; Shervin.Zakeri@unige.ch; irina.vinogradova-zinkevic@vilniustech.lt</t>
  </si>
  <si>
    <t>Zinkevič, Irina/AAQ-6630-2021</t>
  </si>
  <si>
    <t>0952-1976</t>
  </si>
  <si>
    <t>1873-6769</t>
  </si>
  <si>
    <t>ENG APPL ARTIF INTEL</t>
  </si>
  <si>
    <t>Eng. Appl. Artif. Intell.</t>
  </si>
  <si>
    <t>DEC 24</t>
  </si>
  <si>
    <t>D</t>
  </si>
  <si>
    <t>10.1016/j.engappai.2025.112700</t>
  </si>
  <si>
    <t>OCT 2025</t>
  </si>
  <si>
    <t>Automation &amp; Control Systems; Computer Science, Artificial Intelligence; Engineering, Multidisciplinary; Engineering, Electrical &amp; Electronic</t>
  </si>
  <si>
    <t>Automation &amp; Control Systems; Computer Science; Engineering</t>
  </si>
  <si>
    <t>8UG7I</t>
  </si>
  <si>
    <t>WOS:001597487800001</t>
  </si>
  <si>
    <t>Krishnaraj, N; Alsolai, H; Al-Wesabi, FN; Said, Y; Alqazzaz, A; Priya, SG; Shanmathi, S; Narmada, B</t>
  </si>
  <si>
    <t>Krishnaraj, N.; Alsolai, Hadeel; Al-Wesabi, Fahd N.; Said, Yahia; Alqazzaz, Ali; Priya, S. Gayathri; Shanmathi, S.; Narmada, B.</t>
  </si>
  <si>
    <t>Energy-efficient blockchain-integrated IoT and AI framework for sustainable urban microclimate management</t>
  </si>
  <si>
    <t>SUSTAINABLE COMPUTING-INFORMATICS &amp; SYSTEMS</t>
  </si>
  <si>
    <t>Microclimate control; IoT; Blockchain; AI; Sponge City; Biophilic Design; Fog computing; Smart city management; Urban sustainability</t>
  </si>
  <si>
    <t>SMART CITIES; TECHNOLOGIES; SECURITY</t>
  </si>
  <si>
    <t>The increase of urban areas has difficulties in managing microclimate conditions in green city to improve data security, resource efficiency, and predictive accuracy. This research integrates IoT, blockchain, and AI technologies with nature-inspired solutions like Sponge City and Biophilic Design precept to tackle these challenges. The proposed model utilizes blockchain meshwork to vouch unattackable and tamper-proof data direction. The fog calculation facilitates localized data pre- processing, reduced response time and reduction in bandwidth usage. The module for predictive analytics, AI and LSTM network enhances the preciseness of mastery actions in superintend microclimates, providing significant improvements in environmental control systems. This study ensures urban sustainability and management in real-time and adaptive environmental control.</t>
  </si>
  <si>
    <t>[Krishnaraj, N.] SRM Inst Sci &amp; Technol, Sch Comp Coll Engn &amp; Technol, Dept Networking &amp; Commun, Kattankulathur 603203, Tamil Nadu, India; [Alsolai, Hadeel] Princess Nourah Bint Abdulrahman Univ, Coll Comp &amp; Informat Sci, Dept Informat Syst, POB 84428, Riyadh 11671, Saudi Arabia; [Al-Wesabi, Fahd N.] King Khalid Univ, Appl Coll Mahayil, Dept Comp Sci, Abha, Saudi Arabia; [Said, Yahia] Northern Border Univ, Ctr Sci Res &amp; Entrepreneurship, Ar Ar 73213, Saudi Arabia; [Alqazzaz, Ali] Univ Bisha, Coll Comp &amp; Informat Technol, Dept Comp Sci &amp; Artificial Intelligence, Bisha 67714, Saudi Arabia; [Priya, S. Gayathri] RMD Engn Coll, Dept ECE, Chennai, India; [Shanmathi, S.] GMR Inst Technol, Dept Elect &amp; Commun Engn, Rajam 532127, Andhra Pradesh, India; [Narmada, B.] Dhirajlal Gandhi Coll Technol, Dept Informat Technol, Salem 636309, Tamil Nadu, India</t>
  </si>
  <si>
    <t>SRM Institute of Science &amp; Technology Chennai; Princess Nourah bint Abdulrahman University; King Khalid University; Northern Border University; University of Bisha; GMR Institute of Technology</t>
  </si>
  <si>
    <t>Krishnaraj, N (corresponding author), SRM Inst Sci &amp; Technol, Sch Comp Coll Engn &amp; Technol, Dept Networking &amp; Commun, Kattankulathur 603203, Tamil Nadu, India.</t>
  </si>
  <si>
    <t>nkrishnaraj531@gmail.com; hadeelalsolai@gmail.com; fahdnalwesabi@gmail.com; yahiasaid@gmail.com; alialqazzaz@gmial.com; gayathripriya@gmail.com; shanmathi@gmail.com; narmada@gmial.com</t>
  </si>
  <si>
    <t>Al-Wesabi, Fahd/AAV-6279-2020; Priya, Gayathri/GLR-0107-2022; Said, Yahia/A-7333-2018; Alqazzaz, Ali/JZC-9320-2024; Alsolai, Hadeel/HSG-1200-2023</t>
  </si>
  <si>
    <t>B, NARMADA/0009-0008-5142-9057;</t>
  </si>
  <si>
    <t>Deanship of Research and Graduate Studies at King Khalid University [RGP2/199/46]; Princess Nourah bint Abdulrah-man University, Riyadh, Saudi Arabia [PNURSP2025R303]; Deanship of Scientific Research at Northern Border University, Arar, KSA [NBU-FFR-2025-3030-06]; Deanship of Graduate Studies and Scientific Research at University of Bisha</t>
  </si>
  <si>
    <t>Deanship of Research and Graduate Studies at King Khalid University; Princess Nourah bint Abdulrah-man University, Riyadh, Saudi Arabia(Princess Nourah bint Abdulrahman University); Deanship of Scientific Research at Northern Border University, Arar, KSA(Northern Border University); Deanship of Graduate Studies and Scientific Research at University of Bisha</t>
  </si>
  <si>
    <t>The authors extend their appreciation to the Deanship of Research and Graduate Studies at King Khalid University for funding this work through Large Research Project under grant number RGP2/199/46. Princess Nourah bint Abdulrahman University Researchers Supporting Project number (PNURSP2025R303), Princess Nourah bint Abdulrah-man University, Riyadh, Saudi Arabia. The authors extend their appreciation to the Deanship of Scientific Research at Northern Border University, Arar, KSA for funding this research work through the project number NBU-FFR-2025-3030-06. The authors are thankful to the Deanship of Graduate Studies and Scientific Research at University of Bisha for supporting this work through the Fast-Track Research Support Program.</t>
  </si>
  <si>
    <t>2210-5379</t>
  </si>
  <si>
    <t>2210-5387</t>
  </si>
  <si>
    <t>SUSTAIN COMPUT-INFOR</t>
  </si>
  <si>
    <t>Sust. Comput.</t>
  </si>
  <si>
    <t>10.1016/j.suscom.2025.101137</t>
  </si>
  <si>
    <t>Computer Science, Hardware &amp; Architecture; Computer Science, Information Systems</t>
  </si>
  <si>
    <t>4GE9M</t>
  </si>
  <si>
    <t>WOS:001517260600001</t>
  </si>
  <si>
    <t>Kasmeridis, IK; Skandalos, N; Dimitriou, T; Dimakopoulos, VV; Karamanis, D</t>
  </si>
  <si>
    <t>Kasmeridis, Ilias K.; Skandalos, Nikolaos; Dimitriou, Tsampika; Dimakopoulos, Vassilios V.; Karamanis, Dimitrios</t>
  </si>
  <si>
    <t>Digitized Energy Systems and Open-Access Platforms: Accelerating Cities' Transition to Carbon Neutrality</t>
  </si>
  <si>
    <t>smart cities; BIPV; digital twin; RC model; PV simulation; solar radiation; climate design; energy visualization</t>
  </si>
  <si>
    <t>Urban environments encounter urgent challenges in transitioning to net-zero emissions, particularly with respect to the adoption and large-scale incorporation of renewable energy solutions such as photovoltaic (PV) technologies. This study explores the interrelation of digitized energy systems, digital twins, and open-access platforms in accelerating effective PV deployment in cities moving toward carbon neutrality. We examine how digital tools can enhance PV performance, demand-side management, and grid integration, while open-access platforms contribute to data sharing, raising awareness, public engagement, and stakeholder collaboration. We also present BIPV-city-a novel, open-access, digital, and climate-aware platform developed to support and optimize PV integration in building and urban areas. Validations of the solar irradiance calculations against PVGIS for several European cities exhibit a strong agreement, with a root mean square error (RMSE) extending from 3.3 to 7.6. The validation of the standardized BESTEST Case 600 against TRNSYS simulations for three representative climates-Athens, Prague, and Dubai-with tilt variations confirmed substantial alignment for plane-of-array (POA) radiation (within +/- 2% and +/- 6% for the global and direct/diffuse components, respectively) and annual PV yield estimations (within +/- 10%). The findings highlight that the BIPV-city platform is a reliable, user-friendly tool that can harness climate-responsible and scalable BIPV deployment in the built environment through digital innovation.</t>
  </si>
  <si>
    <t>[Kasmeridis, Ilias K.; Dimakopoulos, Vassilios V.] Univ Ioannina, Dept Comp Sci &amp; Engn, Ioannina 45110, Greece; [Skandalos, Nikolaos; Dimitriou, Tsampika; Karamanis, Dimitrios] Univ Patras, Renewable Energy Sources &amp; Cool Urban Environm Grp, Agrinion 30100, Greece</t>
  </si>
  <si>
    <t>University of Ioannina; University of Patras</t>
  </si>
  <si>
    <t>Kasmeridis, IK (corresponding author), Univ Ioannina, Dept Comp Sci &amp; Engn, Ioannina 45110, Greece.;Karamanis, D (corresponding author), Univ Patras, Renewable Energy Sources &amp; Cool Urban Environm Grp, Agrinion 30100, Greece.</t>
  </si>
  <si>
    <t>i.kasmeridis@uoi.gr; nskandalos@upatras.gr; tsambikadim@gmail.com; dimako@uoi.gr; dkaraman@upatras.gr</t>
  </si>
  <si>
    <t>Skandalos, Nikolaos/G-6449-2019; Karamanis, Dimitrios/AAE-1453-2022; Dimakopoulos, Vassilios/AAN-6074-2021</t>
  </si>
  <si>
    <t>European Union-NextGenerationEU [14812]; National Recovery and Resilience Plan Greece 2.0 - European Union</t>
  </si>
  <si>
    <t>European Union-NextGenerationEU; National Recovery and Resilience Plan Greece 2.0 - European Union</t>
  </si>
  <si>
    <t>The research work is implemented in the framework of H.F.R.I. call Basic research Financing (Horizontal support of all Sciences) under the National Recovery and Resilience Plan Greece 2.0 funded by the European Union-NextGenerationEU (H.F.R.I. Project Number: 14812).</t>
  </si>
  <si>
    <t>SEP 10</t>
  </si>
  <si>
    <t>10.3390/urbansci9090364</t>
  </si>
  <si>
    <t>7WS3R</t>
  </si>
  <si>
    <t>WOS:001581465300001</t>
  </si>
  <si>
    <t>Aderibigbe, OOB; Gumbo, T</t>
  </si>
  <si>
    <t>Aderibigbe, Oluwayemi-Oniya Bosede; Gumbo, Trynos</t>
  </si>
  <si>
    <t>The impact of smart mobility on household's travel behavior and residential self selection in a medium sized city in Nigeria</t>
  </si>
  <si>
    <t>mobility; residential self selection; travel behavior; transportation planning; smart cities</t>
  </si>
  <si>
    <t>TRANSPORT; ACCESSIBILITY</t>
  </si>
  <si>
    <t>Introduction: Urban areas are widely recognized as key hubs of economic activity and cultural diversity, playing a vital role in both national and local economies. Improved mobility within cities has the potential to foster greater efficiency, environmental sustainability, and resource optimization, thereby promoting a more inclusive society. As a result, efforts to ensure fair access to transportation, housing, among others often necessitate policy reforms aimed at improving the mobility patterns of urban residents. Smart mobility involves transitioning from the conventional transportation systems and evolving toward mobility as a service, where intelligent infrastructure though the adoption of technology links multiple stakeholders and entities to provide an efficient, smart, and sustainable solution. This has found a niche in transportation policy, thus, impacting residential self-selection of households to live farther or closer to work and other non-work destinations such as parks, enclaves, shopping centers among others. Hence, this study examined the impact of smart mobility technologies on trip making behavior and housing choice of respondents. Methods: This study adopted a rigorous research design, gathering primary data through the use of structured questionnaires. In total, 408 questionnaires was administered using a systematic sampling method, with the survey being conducted by research assistants. The Likert scale method for response ranking was utilized for ranking of factors influencing trip making behavior and housing choice of respondents, while the multiple regression analysis was used to validate the Likert scale results. Discussion: Findings indicated that the most significant factors (P &lt; 0.05) influencing choice of residential location include proximity to work, transport cost, availability of public transport, good neighborhood and land/housing rent and telecommuting. Based on the above, it was discovered that the role of transportation in residential location choice plays a vital role in household's decision making, hence, improved mobility can lead to participative, and cohesive society.</t>
  </si>
  <si>
    <t>[Aderibigbe, Oluwayemi-Oniya Bosede; Gumbo, Trynos] Univ Johannesburg, Fac Engn &amp; Built Environm, Dept Urban &amp; Reg Planning, Sustainable &amp; Smart Cities &amp; Reg Res Grp, Johannesburg, South Africa</t>
  </si>
  <si>
    <t>University of Johannesburg</t>
  </si>
  <si>
    <t>Aderibigbe, OOB (corresponding author), Univ Johannesburg, Fac Engn &amp; Built Environm, Dept Urban &amp; Reg Planning, Sustainable &amp; Smart Cities &amp; Reg Res Grp, Johannesburg, South Africa.</t>
  </si>
  <si>
    <t>oboniya@uj.ac.za</t>
  </si>
  <si>
    <t>OCT 28</t>
  </si>
  <si>
    <t>10.3389/frsc.2025.1687580</t>
  </si>
  <si>
    <t>9SM6F</t>
  </si>
  <si>
    <t>WOS:001613971100001</t>
  </si>
  <si>
    <t>Olfato-Parojinog, A; Dagamac, NHA; Limbo-Dizon, JE</t>
  </si>
  <si>
    <t>Olfato-Parojinog, Anne; Dagamac, Nikki Heherson A.; Limbo-Dizon, James Eduard</t>
  </si>
  <si>
    <t>Assessment of urban green spaces per capita in a megacity of the Philippines: implications for sustainable cities and urban health management</t>
  </si>
  <si>
    <t>Megacities; SDG 11; Spatiotemporal analysis; Sustainable development; Urban sprawl</t>
  </si>
  <si>
    <t>ECOSYSTEM SERVICES; SMART CITIES; COGNITIVE-DEVELOPMENT; FOOD SECURITY; KUALA-LUMPUR; HEAT-ISLAND; IMPACT; ENVIRONMENT; FRAMEWORK; STRESS</t>
  </si>
  <si>
    <t>Megacities house the highest human population due to centralizing economic activities, causing congestion and increased settlements in urban areas. As a result of continuous urbanization in developing countries, access to urban green spaces (UGS) is continuously decreasing, affecting urban settlers' quality of life as UGS provides a wide variety of ecosystem services such as mitigation of climate change effects and as recreational sites for human wellbeing. An example of megacities undergoing the impact of urbanization is Metropolitan Manila, the National Capital Region of the Philippines. To determine the spatiotemporal changes in a megacity, satellite images from USGS Landsat 5 and 8 ranging from 2005, 2010, 2015, 2020, to 2023 were analyzed using ArcMap 10.8. The remotely sensed images were preprocessed using atmospheric corrections, ensuring the quality of the images. Enhanced Vegetation Index (EVI) maps of the cities were used to quantify the vegetation in the urban areas. They were calculated using landscape metrics, which were assessed for accuracy using the Kappa Coefficient. A drastic decrease in UGS was detected in almost two decades (2005-2023) as urban expansion occurred in the area. In addition, the UGS area was used to calculate the UGS per Capita, using the total population census per city. Concerning the recommended UGS per Capita from the World Health Organization in urban areas, all the cities were below the recommended index value, thus having unequal access to UGS quantitatively and qualitatively. As the population increases throughout the years, UGS per capita decreases in all 17 cities. This phenomenon in megacities emphasizes the need for prioritizing further establishment, management, and protection of the remaining UGS in the megacity, giving importance to future urban planning and policy-making for a more sustainable future of urban areas, most especially for the welfare and betterment of the state in developing countries.</t>
  </si>
  <si>
    <t>[Olfato-Parojinog, Anne; Dagamac, Nikki Heherson A.] Univ Santo Tomas, Grad Sch, Manila 1008, Philippines; [Dagamac, Nikki Heherson A.; Limbo-Dizon, James Eduard] Univ Santo Tomas, Res Ctr Nat Sci &amp; Appl Sci RCNAS, Manila 1008, Philippines; [Dagamac, Nikki Heherson A.] Univ Santo Tomas, Coll Sci, Dept Biol Sci, Manila 1008, Philippines</t>
  </si>
  <si>
    <t>University of Santo Tomas; University of Santo Tomas; University of Santo Tomas</t>
  </si>
  <si>
    <t>Olfato-Parojinog, A (corresponding author), Univ Santo Tomas, Grad Sch, Manila 1008, Philippines.</t>
  </si>
  <si>
    <t>anne.olfpar@gmail.com</t>
  </si>
  <si>
    <t>Dagamac, Nikki/AAM-6715-2020</t>
  </si>
  <si>
    <t>Parojinog, Anne/0000-0002-8176-8032; Dizon, James Eduard/0000-0002-7613-9709; Dagamac, Nikki Heherson/0000-0002-5155-5415</t>
  </si>
  <si>
    <t>Department of Science and Technology (DOST)- Accelerated Science and Technology Human Resource Development Program (ASTHRDP); DOST- Philippine Council for Agriculture, Aquatic and Natural Resources Research and Development (PCAARRD) for the Balik Scientist Engagement</t>
  </si>
  <si>
    <t>Department of Science and Technology (DOST)- Accelerated Science and Technology Human Resource Development Program (ASTHRDP)(Department of Science &amp; Technology (DOST), PhilippinesDepartment of Science &amp; Technology (India)); DOST- Philippine Council for Agriculture, Aquatic and Natural Resources Research and Development (PCAARRD) for the Balik Scientist Engagement</t>
  </si>
  <si>
    <t>AOP would like to extend her gratitude to the Department of Science and Technology (DOST)- Accelerated Science and Technology Human Resource Development Program (ASTHRDP) for her scholarship grant. NHAD acknowledges the DOST- Philippine Council for Agriculture, Aquatic and Natural Resources Research and Development (PCAARRD) for the Balik Scientist Engagement.</t>
  </si>
  <si>
    <t>APR 26</t>
  </si>
  <si>
    <t>10.1007/s10708-024-11084-9</t>
  </si>
  <si>
    <t>OU3L9</t>
  </si>
  <si>
    <t>WOS:001209755100001</t>
  </si>
  <si>
    <t>Levrey, M; Ntemou, A; Kiousi, A; Fergadiotou, I; Kampa, M; Rizopoulos, D; Magoutas, B; Tsirimpa, A; Georgakis, P</t>
  </si>
  <si>
    <t>McNally, C; Carroll, P; Martinez-Pastor, B; Ghosh, B; Efthymiou, M; Valantasis-Kanellos, N</t>
  </si>
  <si>
    <t>Levrey, Manon; Ntemou, Amalia; Kiousi, Akrivi; Fergadiotou, Ioanna; Kampa, Maria; Rizopoulos, Dimitrios; Magoutas, Babis; Tsirimpa, Athena; Georgakis, Panos</t>
  </si>
  <si>
    <t>Decarbonising Last Mile Logistics</t>
  </si>
  <si>
    <t>TRANSPORT TRANSITIONS: ADVANCING SUSTAINABLE AND INCLUSIVE MOBILITY, TRA CONFERENCE, 2024, VOL 4</t>
  </si>
  <si>
    <t>Lecture Notes in Mobility</t>
  </si>
  <si>
    <t>10th Transport Research Arena Conference-TRA</t>
  </si>
  <si>
    <t>APR 15-18, 2024</t>
  </si>
  <si>
    <t>Dublin, IRELAND</t>
  </si>
  <si>
    <t>Last-mile logistics; decarbonisation; collaboration; digitalisation; intelligent transport systems; Physical Internet; Logistics-as-a-Service; Digital Twins; Blockchain; Micro-consolidation</t>
  </si>
  <si>
    <t>Logistics is at the core of modern society and essential to transport food and goods in the heart of cities, where most Europeans live. However, recent statistics show that only half of truckloads moved at maximised capacity in 2021 [1], and the rapid increase in the last mile deliveries - 78% by 2030 [2] - affects the economics of logistics and its externalities on the urban tissue, including high traffic, noise and air pollution. It is worth noting that last mile logistics represent 30% of the total CO2 emissions of logistics transportation. Amongst the EU Green Deal objectives, several aim to tackle this: 55% reduction of emissions from cars and 50% from vans by 2030 [3]. On a local level, there is also an increasing push for zero-emission zones in inner cities, as 26 of the world's largest cities signed up to the Green and Healthy streets pledge [4]. To foster and accelerate this transition towards economically, environmentally, and socially sustainable city logistics, systemic changes in last mile delivery ecosystems are needed. The analysis of previous collaborative urban logistics experiences shows that future urban logistics consolidation frameworks must be built on six fundamental pillars to guarantee the success and sustainability of their generalisation: collaboration, sustainable business models and added-value services, urban integration and space management optimisation, regulation, digital infrastructure, and innovation transferability enablers.</t>
  </si>
  <si>
    <t>[Levrey, Manon] Interface Transport, 48 Rue Madelaine, F-69007 Lyon, France; [Ntemou, Amalia; Kiousi, Akrivi] Netco Intrasoft SA, 2b Rue Nicolas Bove, L-1253 Luxembourg, Luxembourg; [Fergadiotou, Ioanna; Kampa, Maria; Rizopoulos, Dimitrios] INLECOM INNOVATION, 11 Tatoiou, Athens 14561, Greece; [Magoutas, Babis] Frontier Innovat, 5 Laskaratou Str, Athens 11141, Greece; [Tsirimpa, Athena] MOBYX Software Ltd, Anexartisias &amp; Athinon Str, CY-3040 Limassol, Cyprus; [Georgakis, Panos] Univ Wolverhampton, Grimstone St, Wolverhampton WV10 0JP, England</t>
  </si>
  <si>
    <t>University of Wolverhampton</t>
  </si>
  <si>
    <t>Levrey, M (corresponding author), Interface Transport, 48 Rue Madelaine, F-69007 Lyon, France.</t>
  </si>
  <si>
    <t>mlevrey@interface-transport.com; amalia.ntemou@netcompany.com; akrivi.kiousi@netcompany.com; ioanna.fergadiotou@inlecomsystems.com; maria.kampa@inlecomsystems.com; dimitris.izopoulos@inlecomsystems.com; b.magoutas@frontier-innovations.com; a.tsirimpa@mobyx.co; p.georgakis@wlv.ac.uk</t>
  </si>
  <si>
    <t>European Union's Horizon Europe research and innovation programme [101069806, 101069892, 101069782]; United Kingdom Research and Innovation (UKRI) agency</t>
  </si>
  <si>
    <t>European Union's Horizon Europe research and innovation programme; United Kingdom Research and Innovation (UKRI) agency</t>
  </si>
  <si>
    <t>This work has been supported by the DECARBOMILE (No: 101069806), GREEN-LOG (No: 101069892) and URBANE (No: 101069782) projects that have received funding from the European Union's Horizon Europe research and innovation programme and from the United Kingdom Research and Innovation (UKRI) agency. Views and opinions expressed are however those of the author(s) only and do not necessarily reflect those of the European Union, the European Climate, Infrastructure and Environment Executive Agency (CINEA) or the UKRI. Neither the European Union nor the granting authorities can be held responsible for them.</t>
  </si>
  <si>
    <t>2196-5544</t>
  </si>
  <si>
    <t>2196-5552</t>
  </si>
  <si>
    <t>978-3-031-95286-9; 978-3-031-95284-5; 978-3-031-95283-8</t>
  </si>
  <si>
    <t>LECT N MOBIL</t>
  </si>
  <si>
    <t>10.1007/978-3-031-95284-5_76</t>
  </si>
  <si>
    <t>BZ4CI</t>
  </si>
  <si>
    <t>WOS:001576316800076</t>
  </si>
  <si>
    <t>Munshi, AK; Patnaik, AK</t>
  </si>
  <si>
    <t>Munshi, Aarohi Kumar; Patnaik, Ashish Kumar</t>
  </si>
  <si>
    <t>Numerical optimization of critical gap at urban unsignalized intersections</t>
  </si>
  <si>
    <t>PROCEEDINGS OF THE INSTITUTION OF CIVIL ENGINEERS-TRANSPORT</t>
  </si>
  <si>
    <t>critical gap; heterogeneous traffic; influence area; numerical optimization technique; traffic engineering; transport management; UN SDG 11: Sustainable cities and communities; unsignalized intersections</t>
  </si>
  <si>
    <t>The critical gap is an indispensable measure in assessing the capacity of unsignalized intersections in urban areas. The swift growth of cities exacerbates vehicular congestion at intersections. This study focuses on selecting an influential area to determine the critical gap at unsignalized intersections. The method of influence area is applied to determine the minimum accepted gap at intersections. The execution of artificial neural network and Gaussian process regression prediction models is employed to perform a comparison of the minimum acceptable gap for various categories of vehicles. Further, the critical gap values of several vehicle classes at major unsignalized intersections in two cities in the Indian state of Jharkhand are determined using the numerical optimization technique in response surface methodology. Heterogeneous traffic includes slow-moving three-wheelers, which take 8.17 s to manoeuvre through the conflict zone. The evaluation of heavy vehicles is limited due to their relatively low presence within city traffic during daytime hours. Transport planners and engineers could use the acquired critical gap values to design tier II and emerging smart cities.</t>
  </si>
  <si>
    <t>[Munshi, Aarohi Kumar; Patnaik, Ashish Kumar] Birla Inst Technol Mesra, Dept Civil &amp; Environm Engn, Ranchi, India</t>
  </si>
  <si>
    <t>Birla Institute of Technology Mesra</t>
  </si>
  <si>
    <t>Patnaik, AK (corresponding author), Birla Inst Technol Mesra, Dept Civil &amp; Environm Engn, Ranchi, India.</t>
  </si>
  <si>
    <t>ashishpatnaik@bitmesra.ac.in</t>
  </si>
  <si>
    <t>patnaik, ashishkumar/O-5407-2017</t>
  </si>
  <si>
    <t>Leeds</t>
  </si>
  <si>
    <t>Floor 5, Northspring 21-23 Wellington Street, Leeds, W YORKSHIRE, ENGLAND</t>
  </si>
  <si>
    <t>0965-092X</t>
  </si>
  <si>
    <t>1751-7710</t>
  </si>
  <si>
    <t>P I CIVIL ENG-TRANSP</t>
  </si>
  <si>
    <t>Proc. Inst. Civil Eng.-Transp.</t>
  </si>
  <si>
    <t>2025 JUL 1</t>
  </si>
  <si>
    <t>10.1680/jtran.23.00104</t>
  </si>
  <si>
    <t>4IO0W</t>
  </si>
  <si>
    <t>WOS:001518855700001</t>
  </si>
  <si>
    <t>Mukundan, A; Karmakar, R; Jouhar, J; Valappil, MAE; Wang, HC</t>
  </si>
  <si>
    <t>Mukundan, Arvind; Karmakar, Riya; Jouhar, Jumana; Valappil, Muhamed Adil Edavana; Wang, Hsiang-Chen</t>
  </si>
  <si>
    <t>Advancing Urban Development: Applications of Hyperspectral Imaging in Smart City Innovations and Sustainable Solutions</t>
  </si>
  <si>
    <t>artificial intelligence; environmental monitoring; hyperspectral imaging; internet of things; machine learning; smart city; sustainable development; urban planning</t>
  </si>
  <si>
    <t>BIG DATA; AGRICULTURE; INFORMATION; TRENDS; NIR</t>
  </si>
  <si>
    <t>Highlights What are the major findings? Hyperspectral imaging (HSI) enhances smart city applications by enabling detailed spectral data collection for accurate real-time monitoring of air and water quality, waste management, and energy systems. The integration of HSI with Internet of things, artificial intelligence, and machine learning significantly improves data analysis and decision-making capabilities for sustainable urban development. What are the implications of the major findings? HSI-driven technologies can revolutionize urban infrastructure by providing data-driven insights that enhance public health, resource efficiency, and environmental sustainability. Despite its complexity and cost, HSI offers a transformative potential to create smarter and more resilient cities through advanced monitoring and analysis techniques.Highlights What are the major findings? Hyperspectral imaging (HSI) enhances smart city applications by enabling detailed spectral data collection for accurate real-time monitoring of air and water quality, waste management, and energy systems. The integration of HSI with Internet of things, artificial intelligence, and machine learning significantly improves data analysis and decision-making capabilities for sustainable urban development. What are the implications of the major findings? HSI-driven technologies can revolutionize urban infrastructure by providing data-driven insights that enhance public health, resource efficiency, and environmental sustainability. Despite its complexity and cost, HSI offers a transformative potential to create smarter and more resilient cities through advanced monitoring and analysis techniques.Highlights What are the major findings? Hyperspectral imaging (HSI) enhances smart city applications by enabling detailed spectral data collection for accurate real-time monitoring of air and water quality, waste management, and energy systems. The integration of HSI with Internet of things, artificial intelligence, and machine learning significantly improves data analysis and decision-making capabilities for sustainable urban development. What are the implications of the major findings? HSI-driven technologies can revolutionize urban infrastructure by providing data-driven insights that enhance public health, resource efficiency, and environmental sustainability. Despite its complexity and cost, HSI offers a transformative potential to create smarter and more resilient cities through advanced monitoring and analysis techniques.Highlights What are the major findings? Hyperspectral imaging (HSI) enhances smart city applications by enabling detailed spectral data collection for accurate real-time monitoring of air and water quality, waste management, and energy systems. The integration of HSI with Internet of things, artificial intelligence, and machine learning significantly improves data analysis and decision-making capabilities for sustainable urban development. What are the implications of the major findings? HSI-driven technologies can revolutionize urban infrastructure by providing data-driven insights that enhance public health, resource efficiency, and environmental sustainability. Despite its complexity and cost, HSI offers a transformative potential to create smarter and more resilient cities through advanced monitoring and analysis techniques.Abstract Smart cities are urban areas that use advanced technologies to make urban living better through efficient resource management, sustainable development, and improved quality of life. Hyperspectral imaging (HSI) is a noninvasive and nondestructive imaging technique that is revolutionizing smart cities by offering improved real-time monitoring and analysis capabilities across multiple urban sectors. In contrast with conventional imaging technologies, HSI is capable of capturing data across a wider range of wavelengths, obtaining more detailed spectral information, and in turn, higher detection and classification accuracies. This review explores the diverse applications of HSI in smart cities, including air and water quality monitoring, effective waste management, urban planning, transportation, and energy management. This study also examines advancements in HSI sensor technologies, data-processing techniques, integration with Internet of things, and emerging trends, such as combining artificial intelligence and machine learning with HSI for various smart city applications, providing smart cities with real-time, data-driven insights that enhance public health and infrastructure. Although HSI may generate complex data and tends to cost much, its potential to transform cities into smarter and more sustainable environments is vast, as discussed in this review.</t>
  </si>
  <si>
    <t>[Mukundan, Arvind; Karmakar, Riya; Wang, Hsiang-Chen] Natl Chung Cheng Univ, Dept Mech Engn, 168 Univ Rd, Chiayi 62102, Taiwan; [Jouhar, Jumana; Valappil, Muhamed Adil Edavana] Saintgits Coll Engn Autonomous, Dept Comp Sci &amp; Engn, Kottukulam Hills Pathamuttam, Kottayam 686532, India</t>
  </si>
  <si>
    <t>National Chung Cheng University; Saintgits College of Engineering</t>
  </si>
  <si>
    <t>Wang, HC (corresponding author), Natl Chung Cheng Univ, Dept Mech Engn, 168 Univ Rd, Chiayi 62102, Taiwan.</t>
  </si>
  <si>
    <t>d09420003@ccu.edu.tw; karmakarriya345@gmail.com; jumana.csb2125@saintgits.org; maev.csb2125@saintgits.org; hcwang@ccu.edu.tw</t>
  </si>
  <si>
    <t>; Mukundan, Arvind/JXY-1561-2024; Wang, Hsiang-Chen/F-8674-2018</t>
  </si>
  <si>
    <t>, Jumana Jouhar/0009-0000-7858-7583; Mukundan, Arvind/0000-0002-7741-3722; Wang, Hsiang-Chen/0000-0003-4107-2062</t>
  </si>
  <si>
    <t>National Science and Technology Council; Republic of China, under the grant NSTC [113-2221-E-194-011-MY3, 113-2634-F-194-001]; Emerging Technology Application Project of Southern Taiwan Science Park [113CM-1-02]</t>
  </si>
  <si>
    <t>National Science and Technology Council; Republic of China, under the grant NSTC; Emerging Technology Application Project of Southern Taiwan Science Park</t>
  </si>
  <si>
    <t>This research was supported by the National Science and Technology Council, the Republic of China, under the grant NSTC 113-2221-E-194-011-MY3, 113-2634-F-194-001, and the Emerging Technology Application Project of Southern Taiwan Science Park under the grant 113CM-1-02.</t>
  </si>
  <si>
    <t>MAR 14</t>
  </si>
  <si>
    <t>10.3390/smartcities8020051</t>
  </si>
  <si>
    <t>1XF5Y</t>
  </si>
  <si>
    <t>WOS:001475804800001</t>
  </si>
  <si>
    <t>Alharbi, T; Abdalrahman, A; Mostafa, MH; Alkhalifa, L</t>
  </si>
  <si>
    <t>Alharbi, Talal; Abdalrahman, Ahmed; Mostafa, Mostafa H.; Alkhalifa, Loay</t>
  </si>
  <si>
    <t>Joint Optimization of EV Charging and Renewable Distributed Energy With Storage Systems Under Uncertainty</t>
  </si>
  <si>
    <t>Electric vehicle charging; Voltage; Optimization; Resource management; Costs; Electric vehicles; Distribution networks; Renewable energy sources; Energy storage; Energy loss; Charging infrastructure; charging station; clean energy; electric vehicle; mathematical modeling; optimal allocation; SDG; uncertainty; smart cities</t>
  </si>
  <si>
    <t>COUPLED TRANSPORTATION; PLACEMENT; MODELS; MARKET</t>
  </si>
  <si>
    <t>Electric Vehicles (EVs) are essential to achieving the 2030 United Nations Sustainable Development Goals by reducing emissions and improving air quality. The strategic placement of Electric Vehicle Charging Stations (EVCSs) in urban areas is critical to supporting the transition to clean transportation. However, as EV adoption increases, challenges such as rising power losses, voltage profile degradation, and voltage instability emerge within microgrids. These issues can be mitigated by integrating Energy Storage Systems (ESSs) to enhance efficiency. This study presents an integrated planning approach to optimize the allocation of EVCSs based on the spatial-temporal distribution of traffic flows. A stochastic model is also introduced to determine the optimal placement of the energy storage system, accounting for uncertainty factors such as fluctuating electrical loads and the intermittency of renewable energy sources. The energy storage system allocation model is formulated as a multi-objective optimization problem aimed at improving voltage profiles, minimizing power losses, and maximizing voltage stability. The mathematical models of EVCSs and ESSs, and an economic analysis of the microgrid is included, considering the costs associated with energy storage system integration. The proposed model's effectiveness is validated through a case study on a benchmark transportation network, with results indicating its ability to mitigate the negative effects of EV integration on microgrids. Additionally, the study introduces a stochastic framework to simulate the inherent uncertainties in electrical loads and renewable energy sources.</t>
  </si>
  <si>
    <t>[Alharbi, Talal] Qassim Univ, Coll Engn, Dept Elect Engn, Buraydah 52571, Saudi Arabia; [Abdalrahman, Ahmed] Independent Elect Syst Operator, Toronto, ON M5H 1T1, Canada; [Mostafa, Mostafa H.] Al Ryada Univ Sci &amp; Technol, Elect Engn Dept, El Sadat City 32897, Egypt; [Alkhalifa, Loay] Qassim Univ, Coll Sci, Dept Math, Buraydah 52571, Saudi Arabia</t>
  </si>
  <si>
    <t>Qassim University; Qassim University</t>
  </si>
  <si>
    <t>Alharbi, T (corresponding author), Qassim Univ, Coll Engn, Dept Elect Engn, Buraydah 52571, Saudi Arabia.;Alkhalifa, L (corresponding author), Qassim Univ, Coll Sci, Dept Math, Buraydah 52571, Saudi Arabia.</t>
  </si>
  <si>
    <t>atalal@qu.edu.sa; loay.alkhalifa@qu.edu.sa</t>
  </si>
  <si>
    <t>; Alharbi, Talal/X-6740-2019</t>
  </si>
  <si>
    <t>Abdalrahman, Ahmed/0000-0002-9142-7880; Alharbi, Talal/0000-0001-7888-7105;</t>
  </si>
  <si>
    <t>Qassim University [2023-SDG-1-BSRC35732]</t>
  </si>
  <si>
    <t>Qassim University(Qassim University)</t>
  </si>
  <si>
    <t>The authors gratefully acknowledge Qassim University, represented by the Deanship of Scientific Research, on the financial support for this research under the number (2023-SDG-1-BSRC35732) during the academic year 1445 AH/2023 AD.</t>
  </si>
  <si>
    <t>10.1109/ACCESS.2025.3562531</t>
  </si>
  <si>
    <t>2JC9H</t>
  </si>
  <si>
    <t>WOS:001483881100029</t>
  </si>
  <si>
    <t>Schachenhofer, L; Kummer, Y; Hirsch, P</t>
  </si>
  <si>
    <t>Schachenhofer, Larissa; Kummer, Yvonne; Hirsch, Patrick</t>
  </si>
  <si>
    <t>An Analysis of Underused Urban Infrastructures: Usage Opportunities and Implementation Barriers for Sustainable Logistics</t>
  </si>
  <si>
    <t>sustainable urban logistics plan; freight transport; innovative city logistics; underused urban infrastructure; logistics barriers</t>
  </si>
  <si>
    <t>FREIGHT TRANSPORT; ENVIRONMENT; INTEGRATION; ACCEPTANCE; MANAGEMENT; PERCEPTION; PASSENGERS</t>
  </si>
  <si>
    <t>Motivated by the urgent need to discover innovative and sustainable approaches to address the strain on urban resources, this paper introduces a novel concept proposing the utilization of sleeping assets. These sleeping assets encompass three distinct categories of urban infrastructures: neglected routes, idle real estate, and underused resources. By harnessing these assets, cities can alleviate the intense competition for land, traffic infrastructure, and parking areas. The findings presented in this paper are derived from an extensive literature study and expert interviews conducted with relevant stakeholders from Hamburg, Paris, Stockholm, and Vienna. Building upon the most pertinent insights from the literature and a structured content analysis of the interviews, we outline the advantages of employing sleeping assets for urban logistics initiatives. Additionally, we identify seven main categories of implementation barriers that must be taken into account. The results of this study reveal political and legislative barriers as one of the major impeding factors in initiating the utilization of sleeping assets. To address these barriers, this paper points towards crucial leverage for cities and provides an outlook on possible forms of sustainable urban logistics implementation. Thus, this work can support researchers as well as practitioners from city administrations and urban logistics interested in using sleeping assets by encouraging the exploitation of unused potential and avoiding particular implementation pitfalls.</t>
  </si>
  <si>
    <t>[Schachenhofer, Larissa; Kummer, Yvonne; Hirsch, Patrick] Univ Nat Resources &amp; Life Sci, Inst Prod &amp; Logist, Dept Econ &amp; Social Sci, Feistmantelstr 4, A-1180 Vienna, Austria</t>
  </si>
  <si>
    <t>BOKU University</t>
  </si>
  <si>
    <t>Schachenhofer, L; Hirsch, P (corresponding author), Univ Nat Resources &amp; Life Sci, Inst Prod &amp; Logist, Dept Econ &amp; Social Sci, Feistmantelstr 4, A-1180 Vienna, Austria.</t>
  </si>
  <si>
    <t>larissa.schachenhofer@boku.ac.at; yvonne.kummer@boku.ac.at; patrick.hirsch@boku.ac.at</t>
  </si>
  <si>
    <t>; Hirsch, Patrick/AAE-9012-2022</t>
  </si>
  <si>
    <t>Schachenhofer, Larissa/0000-0003-2766-8783; Hirsch, Patrick/0000-0003-2678-4299; Kummer, Yvonne/0000-0001-5035-8631</t>
  </si>
  <si>
    <t>We would like to thank our colleagues from the ASAP team for their cooperation and the interviewees for their contribution. We further wish to express our gratitude to Susanne Wrighton and Karl Reiter, who developed the idea behind the concept of sleeping</t>
  </si>
  <si>
    <t>We would like to thank our colleagues from the ASAP team for their cooperation and the interviewees for their contribution. We further wish to express our gratitude to Susanne Wrighton and Karl Reiter, who developed the idea behind the concept of sleeping assets, as well as Susanne Wrighton for proofreading the article.</t>
  </si>
  <si>
    <t>10.3390/app13137557</t>
  </si>
  <si>
    <t>U7SU9</t>
  </si>
  <si>
    <t>WOS:001086775500001</t>
  </si>
  <si>
    <t>Ma, ZX; Zheng, XY; Liang, HJ; Luo, P</t>
  </si>
  <si>
    <t>Ma, Zhanxin; Zheng, Xiyu; Liang, Hejun; Luo, Ping</t>
  </si>
  <si>
    <t>Logistics Center Selection and Logistics Network Construction from the Perspective of Urban Geographic Information Fusion</t>
  </si>
  <si>
    <t>last mile; logistics nodes; clustering analysis; greedy algorithm</t>
  </si>
  <si>
    <t>LOCATION SELECTION; OPTIMIZATION; CITY; MODEL</t>
  </si>
  <si>
    <t>The last-mile logistics in cities have become an indispensable part of the urban logistics system. This study aims to explore the effective selection of last-mile logistics nodes to enhance the efficiency of logistics distribution, strengthen the image of corporate distribution, further reduce corporate operating costs, and alleviate urban traffic congestion. This paper proposes a clustering-based approach to identify urban logistics nodes from the perspective of geographic information fusion. This method comprehensively considers several key indicators, including the coverage, balance, and urban traffic conditions of logistics distribution. Additionally, we employed a greedy algorithm to identify secondary nodes around primary nodes, thus constructing an effective nodal network. To verify the practicality of this model, we conducted an empirical simulation study using the logistics demand and traffic conditions in the Xianlin District of Nanjing. This research not only identifies the locations of primary and secondary logistics nodes but also provides a new perspective for constructing urban last-mile logistics systems, enriching the academic research related to the construction of logistics nodes. The results of this study are of significant theoretical and practical importance for optimizing urban logistics networks, enhancing logistics efficiency, and promoting the improvement of urban traffic conditions.</t>
  </si>
  <si>
    <t>[Ma, Zhanxin; Zheng, Xiyu] Shanghai Maritime Univ, China Inst FTZ Supply Chain, Shanghai 201306, Peoples R China; [Liang, Hejun] Shanghai Ocean Univ, Coll Engn Sci &amp; Technol, Shanghai 201306, Peoples R China; [Luo, Ping] Shanghai Univ Finance &amp; Econ, Zhejiang Coll, Dept Stat, Jinhua 321013, Peoples R China</t>
  </si>
  <si>
    <t>Shanghai Maritime University; Shanghai Ocean University; Shanghai University of Finance &amp; Economics</t>
  </si>
  <si>
    <t>Luo, P (corresponding author), Shanghai Univ Finance &amp; Econ, Zhejiang Coll, Dept Stat, Jinhua 321013, Peoples R China.</t>
  </si>
  <si>
    <t>mazx@shmtu.edu.cn; 202330210356@stu.shmtu.edu.cn; hjliang@shou.edu.cn; czlp@shufe-zj.edu.cn</t>
  </si>
  <si>
    <t>10.3390/s24061878</t>
  </si>
  <si>
    <t>MG5P0</t>
  </si>
  <si>
    <t>WOS:001192488500001</t>
  </si>
  <si>
    <t>Borghetti, F; Caballini, C; Carboni, A; Grossato, G; Maja, R; Barabino, B</t>
  </si>
  <si>
    <t>Borghetti, Fabio; Caballini, Claudia; Carboni, Angela; Grossato, Gaia; Maja, Roberto; Barabino, Benedetto</t>
  </si>
  <si>
    <t>The Use of Drones for Last-Mile Delivery: A Numerical Case Study in Milan, Italy</t>
  </si>
  <si>
    <t>drones; last-mile delivery; urban logistics; city logistics; parcel delivery; smart city; environmental sustainability; social sustainability; transportation planning; road congestion; safety</t>
  </si>
  <si>
    <t>TRAVELING SALESMAN PROBLEM; PARCEL DELIVERY; OPTIMIZATION</t>
  </si>
  <si>
    <t>The increasing use of e-commerce introduces major challenges for last-mile delivery, which is critical to ensure smooth functioning of supply chains. Besides the speed and cost of delivery, which are the most important factors for last-mile logistics, environmental and social sustainability factors are taking on an increasingly important role, especially in urban areas. In this perspective, last-mile delivery by drones could be a good choice both in terms of transport speed and sustainability. Being electrically powered, drones can reduce environmental impact; moreover, they enable the reduction of road congestion since they do not interfere with land infrastructures. The goal of this study is to analyse the viability of drones for last-mile delivery in the Italian city of Milan. A stated preference survey was carried out to assess end-user propensity towards drones. Using these results, a goods delivery service by drones was designed. Furthermore, a preliminary financial analysis was performed to evaluate the benefits for a company that would provide such a transport service. Findings show that last-mile delivery by drones can be successfully used to deliver small and light packages, reducing environmental and social impacts, and ensuring profits for the transport provider.</t>
  </si>
  <si>
    <t>[Borghetti, Fabio; Grossato, Gaia; Maja, Roberto] Politec Milano, Design Dept, Mobil &amp; Transport Lab, I-20158 Milan, Italy; [Caballini, Claudia; Carboni, Angela] Politecn Torino, Dept DIATI Transport Syst, Corso Duca Abruzzi 24, I-10129 Turin, Italy; [Barabino, Benedetto] Univ Brescia, Dept Civil Engn Architecture Land Environm &amp; Math, Via Branze 43, I-25123 Brescia, Italy</t>
  </si>
  <si>
    <t>Polytechnic University of Milan; Polytechnic University of Turin; University of Brescia</t>
  </si>
  <si>
    <t>Caballini, C (corresponding author), Politecn Torino, Dept DIATI Transport Syst, Corso Duca Abruzzi 24, I-10129 Turin, Italy.</t>
  </si>
  <si>
    <t>fabio.borghetti@polimi.it; claudia.caballini@polito.it; angela.carboni@polito.it; gaia.grossato@mail.polimi.it; roberto.maja@polimi.it; benedetto.barabino@unibs.it</t>
  </si>
  <si>
    <t>Carboni, Angela/AAY-6341-2021; Barabino, Benedetto/AAS-8686-2020; Borghetti, Fabio/AAA-1118-2021; caballini, claudia/ABA-4081-2021</t>
  </si>
  <si>
    <t>Barabino, Benedetto/0000-0001-8356-2348; Carboni, Angela/0000-0003-1780-1157; BORGHETTI, FABIO/0000-0003-0401-3696</t>
  </si>
  <si>
    <t>10.3390/su14031766</t>
  </si>
  <si>
    <t>YZ8IE</t>
  </si>
  <si>
    <t>WOS:000755714200001</t>
  </si>
  <si>
    <t>Kovacic, M; Mutavdzija, M; Buntak, K</t>
  </si>
  <si>
    <t>Kovacic, Matija; Mutavdzija, Maja; Buntak, Kresimir</t>
  </si>
  <si>
    <t>New Paradigm of Sustainable Urban Mobility: Electric and Autonomous Vehicles-A Review and Bibliometric Analysis</t>
  </si>
  <si>
    <t>urban transport; electric vehicles; sustainable urban mobility; autonomous vehicles</t>
  </si>
  <si>
    <t>OF-THE-ART; CHARGING INFRASTRUCTURE; CO2 EMISSIONS; RENEWABLE ENERGY; CITY LOGISTICS; AIR-POLLUTION; TRANSPORT; SERVICES; SYSTEM; PERSPECTIVE</t>
  </si>
  <si>
    <t>The growing relevance of sustainability, as well as the necessity to replace traditional forms of transportation with sustainable ones, has made sustainable urban mobility an imperative. In order to respond to the ever-increasing need to develop sustainable modes of transport, the importance of electric, autonomous, and electric autonomous vehicles is increasingly emphasized. In addition, as trends of growth and development in electric autonomous vehicle technology are increasing, one of the questions that has appeared is whether autonomous electric vehicles represent one of the mechanisms that will be used to increase the sustainability of urban mobility. With this in mind, the results of a systematic analysis of existing research in the WOS and Scopus databases using the keywords urban mobility, electric vehicles, and autonomous vehicles was carried out to identify research trends in the use of autonomous electric vehicles in urban areas. The research showed that authors focus on the advantages and disadvantages of autonomous electric vehicles and their usage in the urban mobility system, but an insufficient number of authors consider and define the need to plan the transition towards incorporating autonomous electric vehicles into the urban system. The results of this research also indicate an insufficient number of papers that research and describe the application of autonomous electric vehicles in distribution logistics. This paper provides an overview of existing research related to autonomous electric vehicles and the challenges of transition in the context of infrastructure and the development of a culture of sustainability among urban residents.</t>
  </si>
  <si>
    <t>[Kovacic, Matija; Mutavdzija, Maja; Buntak, Kresimir] Univ North, Dept Sustainable Mobil &amp; Logist, Trg Dr Zarka Dolinara 1, Koprivnica 48000, Croatia</t>
  </si>
  <si>
    <t>University North - Croatia</t>
  </si>
  <si>
    <t>Kovacic, M (corresponding author), Univ North, Dept Sustainable Mobil &amp; Logist, Trg Dr Zarka Dolinara 1, Koprivnica 48000, Croatia.</t>
  </si>
  <si>
    <t>matkovacic@unin.hr; mamutavdzija@unin.hr; krbuntak@unin.hr</t>
  </si>
  <si>
    <t>; Mutavdžija, Maja/GQH-7980-2022; Buntak, Krešimir/F-1353-2015</t>
  </si>
  <si>
    <t>Kovačić, Matija/0000-0002-5472-5192; Buntak, Krešimir/0000-0002-2209-690X; Mutavdžija, Maja/0000-0002-0475-7241</t>
  </si>
  <si>
    <t>University North, Republic of Croatia</t>
  </si>
  <si>
    <t>The APC was funded by University North, Republic of Croatia.</t>
  </si>
  <si>
    <t>10.3390/su14159525</t>
  </si>
  <si>
    <t>3R7TA</t>
  </si>
  <si>
    <t>WOS:000839109300001</t>
  </si>
  <si>
    <t>Teixeira, L; Ramos, AL; Costa, C; Pedrosa, D; Faria, C; Pimentel, C</t>
  </si>
  <si>
    <t>Teixeira, Leonor; Ramos, Ana Luisa; Costa, Carolina; Pedrosa, Dulce; Faria, Cesar; Pimentel, Carina</t>
  </si>
  <si>
    <t>SOLFI: An Integrated Platform for Sustainable Urban Last-Mile Logistics' Operations-Study, Design and Development</t>
  </si>
  <si>
    <t>urban logistics; last-mile delivery; sustainability; software development; agile methodology; user-centered design; co-creation</t>
  </si>
  <si>
    <t>A-RIDE PROBLEM; FREIGHT TRANSPORT; CITY LOGISTICS; PASSENGER; MODEL; GOVERNANCE; DELIVERY; SYSTEM; GOODS</t>
  </si>
  <si>
    <t>Sustainable urban logistics has an important impact on the cities, which emphasizes the need for better management of logistics activities, including the usage of environmentally friendly transportation. The sustainability of cities, a concern that is on the agenda, is a very important topic pertaining to current political and societal issues. In this sense, although collaboration among urban logistics stakeholders on projects can be challenging, this effort pays off when there is a significant result for the sustainability of cities. This paper aims to present an Information System, named SOLFI (Sistema de Otimizacao para a Logistica urbana com Fluxos Integrados), for planning management and control of urban logistics based on sustainability that integrates the transport of passengers and freight, using the city bus network and bicycles to perform last-mile deliveries. To develop the SOLFI solution and to ensure co-creation through a participative design approach, an agile methodology was used. In terms of results, the SOLFI integrates different agents in the movement of goods in urban centers with less polluting and small vehicles, in particular buses and bicycles. It represents a decision support system that is intended to operate in real-time, managing the entire process from the request until the load delivery to the final destination, to simplify, automate, and improve the urban logistics process. Thus, the main characteristics of SOLFI are to manage all the information required for this process in order to: (i) request quotation and acceptance management; (ii) deliver plan development to all the agents involved; (iii) manage the loads along the network; (iv) allow the tracking and control of requests along the network; and (v) enable replanning due to various possible disruptions that may occur during the process. SOLFI's distinctive characteristic and main contribution result from the integration of all the transportation network and all agents in the same platform while considering synchronization among involved agents. The SOLFI solution allows for the reduction of traditional flows of goods, taking advantage of the availability of public passenger transport (buses) to perform the main travel distance within the city and the use of bicycles as a last-mile step. In this way, there is a reduction in the number of polluting vehicles in the city, meeting sustainability practices.</t>
  </si>
  <si>
    <t>[Teixeira, Leonor] Univ Aveiro, Inst Elect &amp; Informat Engn Aveiro IEETA, Dept Econ Management Ind Engn &amp; Tourism DEGEIT, Intelligent Syst Associate Lab LASI, P-3810193 Aveiro, Portugal; [Ramos, Ana Luisa; Costa, Carolina; Pimentel, Carina] Univ Aveiro, Dept Econ Management Ind Engn &amp; Tourism DEGEIT, Res Unit Governance Competitiveness &amp; Publ Pol GOV, P-3810193 Aveiro, Portugal; [Pedrosa, Dulce; Faria, Cesar] Optimizacao &amp; Planeamento Transportes SA OPT, P-4200434 Porto, Portugal</t>
  </si>
  <si>
    <t>Universidade de Aveiro; Universidade de Aveiro</t>
  </si>
  <si>
    <t>Teixeira, L (corresponding author), Univ Aveiro, Inst Elect &amp; Informat Engn Aveiro IEETA, Dept Econ Management Ind Engn &amp; Tourism DEGEIT, Intelligent Syst Associate Lab LASI, P-3810193 Aveiro, Portugal.</t>
  </si>
  <si>
    <t>lteixeira@ua.pt</t>
  </si>
  <si>
    <t>Pimentel, Carina/B-2717-2013; Costa, Carolina/O-9544-2015; Teixeira, Leonor/G-4567-2012; Costa, Carolina/M-4737-2019; Ramos, Ana Luisa/S-2185-2019</t>
  </si>
  <si>
    <t>Pimentel, Carina/0000-0003-4284-1628; Costa, Carolina/0000-0003-3928-4218; Teixeira, Leonor/0000-0002-7791-1932; Faria, César/0000-0003-2940-9654; Ferreira Anade Ramos, Ana Luísa/0000-0003-4401-7747;</t>
  </si>
  <si>
    <t>European Regional Development Fund (FEDER) through COMPETE 2020 (Operational Program for Competitiveness and Internationalization) [POCI-01-0247-FEDER-039870]</t>
  </si>
  <si>
    <t>European Regional Development Fund (FEDER) through COMPETE 2020 (Operational Program for Competitiveness and Internationalization)(Marie Curie ActionsEuropean Union (EU))</t>
  </si>
  <si>
    <t>The present research was developed in the scope of project SOLFI-Urban logistics optimization system with integrated freight and passenger flows (POCI-01-0247-FEDER-039870), co-financed by the European Regional Development Fund (FEDER) through COMPETE 2020 (Operational Program for Competitiveness and Internationalization).</t>
  </si>
  <si>
    <t>10.3390/su15032613</t>
  </si>
  <si>
    <t>8U1JE</t>
  </si>
  <si>
    <t>gold, Green Submitted</t>
  </si>
  <si>
    <t>WOS:000929706900001</t>
  </si>
  <si>
    <t>Nizeyimana, E; Hanyurwimfura, D; Hwang, J; Nsenga, J; Regassa, D</t>
  </si>
  <si>
    <t>Nizeyimana, Eric; Hanyurwimfura, Damien; Hwang, Junseok; Nsenga, Jimmy; Regassa, Dereje</t>
  </si>
  <si>
    <t>Prototype of Monitoring Transportation Pollution Spikes through the Internet of Things Edge Networks</t>
  </si>
  <si>
    <t>IoT edge networks; air pollution spikes; transportation; smart cities; real-time monitoring</t>
  </si>
  <si>
    <t>AIR-POLLUTION; HEALTH</t>
  </si>
  <si>
    <t>Air pollution is a critical problem in densely populated urban areas, with traffic significantly contributing. To mitigate the adverse effects of air pollution on public health and the environment, there is a growing need for the real-time monitoring and detection of pollution spikes in transportation. This paper presents a novel approach to using Internet of Things (IoT) edge networks for the real-time detection of air pollution peaks in transportation, specifically designed for innovative city applications. The proposed system uses IoT sensors in buses, cabs, and private cars. These sensors are equipped with air quality monitoring capabilities, including the measurement of pollutants such as particulate matter (PM2.5 and PM10), nitrogen dioxide (NO2), ozone (O3), sulfur dioxide (SO2), and carbon dioxide (CO2). The sensors continuously collect air quality data and transmit them to edge devices within the transportation infrastructure. The data collected by these sensors are analyzed, and alerts are generated when pollution levels exceed predefined thresholds. By deploying this system within IoT edge networks, transportation authorities can promptly respond to pollution spikes, improving air quality, public health, and environmental sustainability. This paper details the sensor technology, data analysis methods, and the practical implementation of this innovative system, shedding light on its potential for addressing the pressing issue of transportation-related pollution. The proposed IoT edge network for real-time air pollution spike detection in transportation offers significant advantages, including low-latency data processing, scalability, and cost-effectiveness. By leveraging the power of edge computing and IoT technologies, smart cities can proactively monitor and manage air pollution, leading to healthier and more sustainable urban environments.</t>
  </si>
  <si>
    <t>[Nizeyimana, Eric; Hanyurwimfura, Damien; Nsenga, Jimmy] Univ Rwanda UR, Africa Ctr Excellence Internet Things ACEIoT, POB 3900, Kigali, Rwanda; [Nizeyimana, Eric; Hwang, Junseok; Regassa, Dereje] Seoul Natl Univ, Global R&amp;D Ctr GRC, Seoul 08826, South Korea</t>
  </si>
  <si>
    <t>Seoul National University (SNU)</t>
  </si>
  <si>
    <t>Nizeyimana, E (corresponding author), Univ Rwanda UR, Africa Ctr Excellence Internet Things ACEIoT, POB 3900, Kigali, Rwanda.;Nizeyimana, E; Regassa, D (corresponding author), Seoul Natl Univ, Global R&amp;D Ctr GRC, Seoul 08826, South Korea.</t>
  </si>
  <si>
    <t>ihopegod@gmail.com; hadamfr@gmail.com; givealltoyou@gmail.com; jimmy.nsenga@gmail.com; dereje@snu.ac.kr</t>
  </si>
  <si>
    <t>Hanyurwimfura, Damien/U-5578-2017</t>
  </si>
  <si>
    <t>Regassa, Dereje/0000-0002-3559-0990; Nizeyimana, Eric/0000-0001-9465-4811</t>
  </si>
  <si>
    <t>This work is supported by the authors, and the infrastructure of the participating universities is used to set up the experimentation.</t>
  </si>
  <si>
    <t>10.3390/s23218941</t>
  </si>
  <si>
    <t>X6KP5</t>
  </si>
  <si>
    <t>WOS:001099521900001</t>
  </si>
  <si>
    <t>Razia, S; Ah, SHA</t>
  </si>
  <si>
    <t>Razia, Sultana; Ah, Siti Hajar Abu Bakar</t>
  </si>
  <si>
    <t>A call to action: Unpacking the challenges to implementing social sustainability initiatives in a developing country city</t>
  </si>
  <si>
    <t>Social sustainability; Implementation challenges; Socially sustainable urban; Sustainable development; Rapid urbanization; Developing region</t>
  </si>
  <si>
    <t>URBAN SUSTAINABILITY; SMART CITIES; FRAMEWORK; INDEX; DHAKA; FORM</t>
  </si>
  <si>
    <t>With cities sprawling and populations booming in developing regions, ensuring social sustain ability in urban areas has become more urgent. This study investigates the challenges of implementing social sustainability initiatives for cities in developing countries, focusing on Dhaka as a representative city. A mixed-method approach involving structured questionnaire surveys and key informant interviews was used to collect quantitative and qualitative data. The study identified eighteen challenges to implementing social sustainability initiatives in Dhaka city, including a lack of poor urban governance, an inefficient city management system, a lack of political stability, a long delay in the planning approval process, etc. Additionally, experts identified additional challenges that require attention. The study offers empirical evidence to assist government officials, policymakers, and urban planners overcome these challenges and implement social sustainability effectively. To address the identified challenges, the study recommends revisiting the Structure Plan, Urban Area Plan, Detailed Area Plan, and Urban Sector Policy-2011. It highlights the crucial role of community social workers in mitigating specific issues in socially sustainable urban development. Eventually, the study will contribute to the implementation of SDG-11 in the 2030 Agenda for Sustainable Development by bridging the gap between urbanization and socially sustainable cities.</t>
  </si>
  <si>
    <t>[Razia, Sultana; Ah, Siti Hajar Abu Bakar] Univ Malaya, Fac Arts &amp; Social Sci, Dept Social Adm &amp; Justice, Kuala Lumpur, Malaysia; [Razia, Sultana] 140-7,2nd Floor,Ananda Bazar West Sehwrapara,Mirpu, Dhaka, Bangladesh</t>
  </si>
  <si>
    <t>Universiti Malaya</t>
  </si>
  <si>
    <t>Razia, S (corresponding author), 140-7,2nd Floor,Ananda Bazar West Sehwrapara,Mirpu, Dhaka, Bangladesh.</t>
  </si>
  <si>
    <t>ava180065@siswa.um.edu.my; shajar@um.edu.my</t>
  </si>
  <si>
    <t>ah, sh/HIR-6915-2022; Razia, Sultana/GYD-3479-2022</t>
  </si>
  <si>
    <t>Abu Bakar Ah, Siti Hajar/0000-0002-0808-833X; Razia, Sultana/0000-0002-3636-8718</t>
  </si>
  <si>
    <t>e19085</t>
  </si>
  <si>
    <t>10.1016/j.heliyon.2023.e19085</t>
  </si>
  <si>
    <t>AUG 2023</t>
  </si>
  <si>
    <t>ET8K6</t>
  </si>
  <si>
    <t>WOS:001141273600001</t>
  </si>
  <si>
    <t>Sgambati, S; Stiuso, T</t>
  </si>
  <si>
    <t>Sgambati, Sabrina; Stiuso, Tonia</t>
  </si>
  <si>
    <t>The interventions of the Italian Recovery and Resilience Plan: digitalization in cities</t>
  </si>
  <si>
    <t>Digitalization; Innovation; Smart city; Italian Recovery and Resilience Plan</t>
  </si>
  <si>
    <t>SMART CITIES; COVID-19</t>
  </si>
  <si>
    <t>Starting from the relationship between urban planning and mobility management, TeMA has gradually expanded the view of the covered topics, always following a rigorous scientific in-depth analysis. This section of the Journal, Review Notes, is the expression of a continuous updating of emerging topics concerning relationships among urban planning, mobility and environment, through a collection of short scientific papers. The Review Notes are made of five parts. Each section examines a specific aspect of the broader information storage within the main interests of TeMA Journal.This section of the Review Notes deals with the new frontiers of urban development through the lenses of the European program NextGenerationEU.In particular, this contribution deepens the topic of digitalization in urban areas within the framework of the Italian National Recovery and Resilience Plan. It provides an overview of the proposed reforms, strategies and interventions to boost the digital economy and digitalize public services within the urban context.</t>
  </si>
  <si>
    <t>[Sgambati, Sabrina; Stiuso, Tonia] Univ Naples Federico II, Dept Civil Architectural &amp; Environm Engn, Naples, Italy</t>
  </si>
  <si>
    <t>Sgambati, S (corresponding author), Univ Naples Federico II, Dept Civil Architectural &amp; Environm Engn, Naples, Italy.</t>
  </si>
  <si>
    <t>sabrina.sgambati@unina.it; t.stiuso@studenti.unina.it</t>
  </si>
  <si>
    <t>10.6093/1970-9870/9814</t>
  </si>
  <si>
    <t>WOS:000983269600017</t>
  </si>
  <si>
    <t>Machado, B; de Sousa, A; Pimentel, C</t>
  </si>
  <si>
    <t>Matias, JCD; Pimentel, CMO; dos Reis, JCG; das Dores, JMCM; Santos, G</t>
  </si>
  <si>
    <t>Machado, Bruno; de Sousa, Amaro; Pimentel, Carina</t>
  </si>
  <si>
    <t>Optimization of Last Mile Logistics Process Combining Passenger and Freight Flows</t>
  </si>
  <si>
    <t>QUALITY INNOVATION AND SUSTAINABILITY, ICQIS 2022</t>
  </si>
  <si>
    <t>Springer Proceedings in Business and Economics</t>
  </si>
  <si>
    <t>3rd International Conference on Quality Innovation and Sustainability (ICQIS)</t>
  </si>
  <si>
    <t>MAY 03-04, 2022</t>
  </si>
  <si>
    <t>Aveiro Univ, Aveiro, PORTUGAL</t>
  </si>
  <si>
    <t>Aveiro Univ</t>
  </si>
  <si>
    <t>City logistics; Urban logistics; Integrated urban logistics; Mathematical model</t>
  </si>
  <si>
    <t>A-RIDE PROBLEM; DELIVERY PROBLEM; URBAN LOGISTICS; TIME WINDOWS; PICKUP</t>
  </si>
  <si>
    <t>This research addresses the operational planning of an urban logistics problem where an existing bus passenger transportation network is integrated with the urban freight process, and with a last mile delivery service, to send freight to city centers. The aim is to reduce the number of fossil combustion powered commercial vehicles traveling within city boundaries, solely for goods transportation, thus contributing to reduce negative effects of urban logistics activities, namely, pollution, noise, and traffic congestion. An integer linear programming model is proposed to support the planning of the distribution process, aiming to minimize the delivery time of the last mile operator. Results considering instances based on a real bus network of Porto city, Portugal, show the efficiency of the proposed model.</t>
  </si>
  <si>
    <t>[Machado, Bruno; Pimentel, Carina] Univ Aveiro, Governance Competitiveness &amp; Publ Policies Res Un, Dept Econ Management Ind Engn &amp; Tourism DEGEIT, Aveiro, Portugal; [de Sousa, Amaro] Univ Aveiro, Inst Telecomunicacoes IT, Dept Elect Telecommun &amp; Informat DETI, Aveiro, Portugal</t>
  </si>
  <si>
    <t>Machado, B (corresponding author), Univ Aveiro, Governance Competitiveness &amp; Publ Policies Res Un, Dept Econ Management Ind Engn &amp; Tourism DEGEIT, Aveiro, Portugal.</t>
  </si>
  <si>
    <t>brunocruzmachado@ua.pt</t>
  </si>
  <si>
    <t>Pimentel, Carina/B-2717-2013; de Sousa, Amaro/J-3571-2016</t>
  </si>
  <si>
    <t>Pimentel, Carina/0000-0003-4284-1628; de Sousa, Amaro/0000-0002-5804-1337; Machado, Bruno/0000-0002-3037-1764</t>
  </si>
  <si>
    <t>European Regional Development Fund (FEDER) through COMPETE 2020 (Operational Program for Competitiveness and Internationalization) through the project SOLFI-Urban logistics optimization system with integrated freight and passenger flows [POCI-01-0247-FEDER-039870]; FCT [UIDB/04058/2020]</t>
  </si>
  <si>
    <t>European Regional Development Fund (FEDER) through COMPETE 2020 (Operational Program for Competitiveness and Internationalization) through the project SOLFI-Urban logistics optimization system with integrated freight and passenger flows(European Union (EU)); FCT(Fundacao para a Ciencia e a Tecnologia (FCT))</t>
  </si>
  <si>
    <t>This work was co-financed by the European Regional Development Fund (FEDER) through COMPETE 2020 (Operational Program for Competitiveness and Internationalization) through the project SOLFI-Urban logistics optimization system with integrated freight and passenger flows (POCI-01-0247-FEDER-039870). The work was also supported by the research units Governance, Competitiveness and Public Policy (UIDB/04058/2020) funded by national funds through FCT.</t>
  </si>
  <si>
    <t>SPRINGER NATURE SWITZERLAND AG</t>
  </si>
  <si>
    <t>PICASSOPLATZ 4, BASEL, CH-4052, SWITZERLAND</t>
  </si>
  <si>
    <t>2198-7246</t>
  </si>
  <si>
    <t>2198-7254</t>
  </si>
  <si>
    <t>978-3-031-12916-2; 978-3-031-12914-8; 978-3-031-12913-1</t>
  </si>
  <si>
    <t>SPR PROC BUS ECON</t>
  </si>
  <si>
    <t>10.1007/978-3-031-12914-8_27</t>
  </si>
  <si>
    <t>Business; Computer Science, Interdisciplinary Applications; Green &amp; Sustainable Science &amp; Technology</t>
  </si>
  <si>
    <t>Business &amp; Economics; Computer Science; Science &amp; Technology - Other Topics</t>
  </si>
  <si>
    <t>BV0KV</t>
  </si>
  <si>
    <t>WOS:000972876700027</t>
  </si>
  <si>
    <t>Djahel, S; Hadjadj-Aoul, Y; Pincemin, R; Wu, C</t>
  </si>
  <si>
    <t>Djahel, Soufiene; Hadjadj-Aoul, Yassine; Pincemin, Renan; Wu, Celimuge</t>
  </si>
  <si>
    <t>COALITION: CAVs-enabled Probabilistic Offloading of Congested Lanes for Reduced Urban Traffic Congestion</t>
  </si>
  <si>
    <t>2023 IEEE 98TH VEHICULAR TECHNOLOGY CONFERENCE, VTC2023-FALL</t>
  </si>
  <si>
    <t>98th IEEE Vehicular Technology Conference (VTC-Fall)</t>
  </si>
  <si>
    <t>OCT 10-13, 2023</t>
  </si>
  <si>
    <t>Hong Kong, HONG KONG</t>
  </si>
  <si>
    <t>Smart Transportation; Smart Cities; Road Traffic Congestion; Cognitive Radio</t>
  </si>
  <si>
    <t>The number of vehicles in developed countries has grown more rapidly than available road capacity, resulting in increased congestion, air pollution, and more accidents. A recent UN report predicts that the increasing size of cities and levels of population mobility will mean 2.9 billion vehicles on the road in cities alone by 2050. To mitigate the consequences of this increase without dramatically increasing the number of built roads, novel methods to better utilise existing road capacity are required. To that end, this paper introduces COALITION, a cognitive radio-enabled probabilistic offloading of congested lanes, as an innovative solution to efficiently handle traffic congestion in urban areas. This solution builds upon and improves the performance of our previous work, named CRITIC, and makes use of Electric Connected and Autonomous Vehicles (ECAVs) features to maximize the usage of road capacity through opportunistic exploitation of under-utilized reserved lanes while fostering the use of electric vehicles to support carbon neutral transportation objectives. Simulation results have proven the effectiveness of COALITION and its potential impact in real-world scenarios.</t>
  </si>
  <si>
    <t>[Djahel, Soufiene] Univ Huddersfield, Huddersfield, W Yorkshire, England; [Hadjadj-Aoul, Yassine] Univ Rennes, Rennes, France; [Pincemin, Renan] Telecom Phys Strasbourg, Strasbourg, France; [Wu, Celimuge] Univ Electrocommun, Tokyo, Japan</t>
  </si>
  <si>
    <t>University of Huddersfield; Universite de Rennes; University of Electro-Communications - Japan</t>
  </si>
  <si>
    <t>Djahel, S (corresponding author), Univ Huddersfield, Huddersfield, W Yorkshire, England.</t>
  </si>
  <si>
    <t>s.djahel@hud.ac.uk; yassine.hadjadj-aoul@irisa.fr; renan.pincemin@outlook.fr; celimuge@uec.ac.jp</t>
  </si>
  <si>
    <t>Hadjadj-Aoul, Yassine/AAQ-4374-2021; Wu, Celimuge/P-1232-2019; Djahel, Soufiene/IRY-9656-2023</t>
  </si>
  <si>
    <t>Djahel, Soufiene/0000-0002-1286-7037;</t>
  </si>
  <si>
    <t>979-8-3503-2928-5</t>
  </si>
  <si>
    <t>10.1109/VTC2023-Fall60731.2023.10333813</t>
  </si>
  <si>
    <t>Automation &amp; Control Systems; Computer Science, Artificial Intelligence; Engineering, Electrical &amp; Electronic; Engineering, Mechanical</t>
  </si>
  <si>
    <t>BW2ZI</t>
  </si>
  <si>
    <t>WOS:001133762500400</t>
  </si>
  <si>
    <t>Villa, R; Monzón, A</t>
  </si>
  <si>
    <t>Villa, Rafael; Monzon, Andres</t>
  </si>
  <si>
    <t>Mobility Restrictions and E-Commerce: Holistic Balance in Madrid Centre during COVID-19 Lockdown</t>
  </si>
  <si>
    <t>ECONOMIES</t>
  </si>
  <si>
    <t>city logistics; last-mile delivery; sustainable development; e-commerce; COVID-19; environmental economics; sustainable transport</t>
  </si>
  <si>
    <t>URBAN FREIGHT TRANSPORT; LAST-MILE LOGISTICS; CITY DISTRIBUTION; EXTERNALITIES; ECONOMY</t>
  </si>
  <si>
    <t>COVID-19 has brought about a substantial change in urban mobility, as well as an unprecedented increase in e-commerce throughout the world due to the emergence of new ways of shopping and consumption habits. In this context, urban logistics plays a crucial role in the triple bottom line of sustainability. The present document establishes a holistic vision of the problem aiming to (i) measure and compare the traffic generated in the Madrid Central area (low-emission zone) during the periods before and after the pandemic, and (ii) quantify e-commerce orders made by residents, as well as the Light Commercial Vehicles (LCV) required to deliver these parcels, measuring their environmental impact. The results show that road traffic in the Madrid Central area decreased by approximately 2/3 compared to normal levels and 1/2 in the case of LCVs. With regards to e-commerce, the number of parcels delivered doubled. This fact entailed an increase in the number of LVCs dedicated to package delivery in the central district and more pollution, but to a lesser extent than the growth of e-commerce. The challenge faced by urban logistics in the post-Covid era is managing to blend new mobility within large cities with the high volumes of e-commerce deliveries demanded by residents.</t>
  </si>
  <si>
    <t>[Villa, Rafael] Camilo Jose Cela Univ, Sch Sci &amp; Technol, Madrid 28692, Spain; [Monzon, Andres] Univ Politecn Madrid, Transport Res Ctr TRANSyT, Madrid 28040, Spain</t>
  </si>
  <si>
    <t>Camilo Jose Cela University; Universidad Politecnica de Madrid</t>
  </si>
  <si>
    <t>Villa, R (corresponding author), Camilo Jose Cela Univ, Sch Sci &amp; Technol, Madrid 28692, Spain.</t>
  </si>
  <si>
    <t>rvilla@ucjc.edu; andres.monzon@upm.es</t>
  </si>
  <si>
    <t>MONZON DE CACERES, ANES/M-3803-2017; Monzón, Andrés/M-3803-2017; Villa Martinez, Rafael/AGG-6919-2022</t>
  </si>
  <si>
    <t>MONZON DE CACERES, ANES/0000-0001-7265-2663; Villa Martinez, Rafael/0000-0001-5382-161X</t>
  </si>
  <si>
    <t>2227-7099</t>
  </si>
  <si>
    <t>Economies</t>
  </si>
  <si>
    <t>10.3390/economies9020057</t>
  </si>
  <si>
    <t>Economics</t>
  </si>
  <si>
    <t>SX4SG</t>
  </si>
  <si>
    <t>WOS:000665196000001</t>
  </si>
  <si>
    <t>Janjevic, M; Winkenbach, M</t>
  </si>
  <si>
    <t>Janjevic, Milena; Winkenbach, Matthias</t>
  </si>
  <si>
    <t>Characterizing urban last-mile distribution strategies in mature and emerging e-commerce markets</t>
  </si>
  <si>
    <t>TRANSPORTATION RESEARCH PART A-POLICY AND PRACTICE</t>
  </si>
  <si>
    <t>E-commerce; E-fulfillment; Last-mile; Urban logistics; Distribution strategies; Emerging markets</t>
  </si>
  <si>
    <t>DISTRIBUTION SERVICE QUALITY; SUPPLY CHAIN MANAGEMENT; CITY LOGISTICS; CONSOLIDATION CENTERS; FREIGHT DISTRIBUTION; DEVELOPING-COUNTRIES; FINAL DELIVERIES; SUSTAINABILITY; COLLECTION; TRANSPORT</t>
  </si>
  <si>
    <t>E-retailers and other companies participating in the e-commerce supply chain are developing a variety of strategies for last-mile e-commerce distribution in urban areas. These strategies must account for a number of elements of local context which can be particularly challenging in emerging markets. Urban last-mile distribution strategies that are specifically tailored to these markets are rarely discussed in the extant literature. This study uses a combination of literature review and case study analysis to establish an integrated conceptual framework that allows to characterize urban last-mile e-commerce distribution strategies in both mature and emerging markets. We then use this structured framework to perform a review and comparison of different last-mile distribution strategies and highlight variables impacting the choice of network design decisions.</t>
  </si>
  <si>
    <t>[Janjevic, Milena; Winkenbach, Matthias] MIT, CTL, Cambridge, MA 02139 USA</t>
  </si>
  <si>
    <t>Massachusetts Institute of Technology (MIT)</t>
  </si>
  <si>
    <t>Janjevic, M (corresponding author), MIT, CTL, Cambridge, MA 02139 USA.</t>
  </si>
  <si>
    <t>mjanjevi@mit.edu; mwinkenb@mit.edu</t>
  </si>
  <si>
    <t>Janjevic, Milena/KEH-8785-2024; Winkenbach, Matthias/L-3792-2018</t>
  </si>
  <si>
    <t>Winkenbach, Matthias/0000-0002-8237-625X</t>
  </si>
  <si>
    <t>Belgian American Educational Foundation</t>
  </si>
  <si>
    <t>This research was supported by the Belgian American Educational Foundation.</t>
  </si>
  <si>
    <t>0965-8564</t>
  </si>
  <si>
    <t>1879-2375</t>
  </si>
  <si>
    <t>TRANSPORT RES A-POL</t>
  </si>
  <si>
    <t>Transp. Res. Pt. A-Policy Pract.</t>
  </si>
  <si>
    <t>10.1016/j.tra.2020.01.003</t>
  </si>
  <si>
    <t>Economics; Transportation; Transportation Science &amp; Technology</t>
  </si>
  <si>
    <t>KT9MJ</t>
  </si>
  <si>
    <t>WOS:000519335800013</t>
  </si>
  <si>
    <t>Rani, S; Mishra, RK; Usman, M; Kataria, A; Kumar, P; Bhambri, P; Mishra, AK</t>
  </si>
  <si>
    <t>Rani, Sita; Mishra, Ram Krishn; Usman, Mohammed; Kataria, Aman; Kumar, Pramod; Bhambri, Pankaj; Mishra, Amit Kumar</t>
  </si>
  <si>
    <t>Amalgamation of Advanced Technologies for Sustainable Development of Smart City Environment: A Review</t>
  </si>
  <si>
    <t>Smart cities; Urban areas; Sustainable development; Buildings; Wireless sensor networks; Statistics; Sociology; Artificial intelligence; big data; blockchain; cloud computing; Internet of Things; smart cities; sustainability; wireless sensor networks</t>
  </si>
  <si>
    <t>BIG DATA-ANALYSIS; ARTIFICIAL-INTELLIGENCE; COMMUNICATION TECHNOLOGIES; WASTE MANAGEMENT; CITIES; INTERNET; CHALLENGES; FUTURE; TRENDS; THINGS</t>
  </si>
  <si>
    <t>The concept of smart city evolved with the integration of information and communication technology (ICT) in various sub-systems and processes in urban environment. The development of the smart cities is the best possible solution to major urban issues. It contributes towards economic and social development of the residents. It aims to provide the cordial environment in the domains of healthcare, education, transportation, power generation and dissipation, security, living, industry, etc., to the inhabitants to make their lives comfortable. Sustainability of these services is another major objective in a smart city framework. Along with the true realization of the idea of a smart city, advanced computational and communication technologies are contributing hugely towards its sustainable development. Communication technologies act as backbone to ensure connectivity at the various levels in a smart city framework. Novel smart city solutions for different application domains are designed and deployed by the industry using advanced computational technologies like IoT, Artificial Intelligence, Blockchain, Big Data and Cloud Computing. In this work, authors discuss the concept of smart city, its architecture and sustainability. Different operational domains in a smart city ecosystem are elaborated. The cyber physical aspect of the smart cities is discussed in brief. The role of various computational and communication technologies in the sustainable development of smart cities is presented. Limiting factors in the deployment of various advanced technologies in different smart city domains are highlighted. Security issues associated with the technological sustainable development of different smart city services along with existing solutions are discussed. The article is concluded by highlighting the future research directions.</t>
  </si>
  <si>
    <t>[Rani, Sita] Gulzar Grp Inst, Dept Comp Sci &amp; Engn, Khanna 141401, Punjab, India; [Mishra, Ram Krishn] Birla Inst Technol &amp; Sci Pilani, Dept Comp Sci, Dubai Campus, Dubai, U Arab Emirates; [Usman, Mohammed] King Khalid Univ, Dept Elect Engn, Abha 61411, Saudi Arabia; [Kataria, Aman] CSIR CSIO, Opt Devices &amp; Syst, Chandigarh 160030, India; [Kumar, Pramod] Manipal Acad Higher Educ, Manipal Inst Technol, Dept Elect &amp; Commun Engn, Manipal 576104, India; [Bhambri, Pankaj] Guru Nanak Dev Engn Coll, Dept Informat Technol, Ludhiana 141006, Punjab, India; [Mishra, Amit Kumar] DIT Univ, Sch Comp, Dehra Dun 248009, Uttarakhand, India</t>
  </si>
  <si>
    <t>King Khalid University; Council of Scientific &amp; Industrial Research (CSIR) - India; CSIR - Central Scientific Instruments Organisation (CSIO); Manipal Academy of Higher Education (MAHE); Guru Nanak Dev Engineering College Ludhiana; DIT University</t>
  </si>
  <si>
    <t>Mishra, RK (corresponding author), Birla Inst Technol &amp; Sci Pilani, Dept Comp Sci, Dubai Campus, Dubai, U Arab Emirates.;Kumar, P (corresponding author), Manipal Acad Higher Educ, Manipal Inst Technol, Dept Elect &amp; Commun Engn, Manipal 576104, India.</t>
  </si>
  <si>
    <t>therkmishra@gmail.com; p.kumar@manipal.edu</t>
  </si>
  <si>
    <t>; Mishra, Dr. Ram Krishn/AAX-2543-2021; Bhambri, Pankaj/D-6024-2016; Kataria, Aman/AAL-4425-2021; Usman, Mohammed/G-9132-2011; Kumar, Pramod/AAG-9154-2021; Rani, Dr./AAU-6194-2021; Mishra, Dr. Amit Kumar/AHB-4242-2022</t>
  </si>
  <si>
    <t>Mishra, Ram Krishn/0000-0002-7384-6635; Kumar, Pramod/0000-0003-0321-7187; Bhambri, Pankaj/0000-0003-4437-4103; Rani, Sita/0000-0003-2778-0214;</t>
  </si>
  <si>
    <t>Deanship of Scienti~c Research at King Khalid University [RGP.1/376/42]</t>
  </si>
  <si>
    <t>Deanship of Scienti~c Research at King Khalid University(King Saud University)</t>
  </si>
  <si>
    <t>The authors extend their appreciation to the Deanship of Scienti~c Research at King Khalid University for funding this work through General Research Project under grant number (RGP.1/376/42).</t>
  </si>
  <si>
    <t>10.1109/ACCESS.2021.3125527</t>
  </si>
  <si>
    <t>WW2JI</t>
  </si>
  <si>
    <t>WOS:000717749300001</t>
  </si>
  <si>
    <t>Boysen, N; Schwerdfeger, S; Weidinger, F</t>
  </si>
  <si>
    <t>Boysen, Nils; Schwerdfeger, Stefan; Weidinger, Felix</t>
  </si>
  <si>
    <t>Scheduling last-mile deliveries with truck-based autonomous robots</t>
  </si>
  <si>
    <t>Scheduling; Transportation; City logistics; Autonomous robots</t>
  </si>
  <si>
    <t>POLYNOMIAL ALGORITHM; SALESMAN</t>
  </si>
  <si>
    <t>To reduce the negative impact of excessive traffic in large urban areas, many innovative concepts for intelligent transportation of people and freight have recently been developed. One of these concepts relies on autonomous delivery robots launched from trucks. A truck loads the freight dedicated to a set of customers in a central depot and moves into the city center. Also on board are small autonomous robots which each can be loaded with the freight dedicated to a single customer and launched from the truck. Then, the autonomous robots move to their dedicated customers and, after delivery, autonomously return to some robot depot in the city center. The truck can replenish robots at these decentralized depots to launch further of them until all its customers are supplied. To assess the potential of this innovative concept, this paper develops scheduling procedures which determine the truck route along robot depots and drop-off points where robots are launched, such that the weighted number of late customer deliveries is minimized. We formulate the resulting scheduling problem, investigate computational complexity, and develop suited solution methods. Furthermore, we benchmark the truck-based robot delivery concept with conventional attended home delivery by truck to assess the potential of this novel last-mile concept. (C) 2018 Elsevier B.V. All rights reserved.</t>
  </si>
  <si>
    <t>[Boysen, Nils; Weidinger, Felix] Friedrich Schiller Univ Jena, Lehrstuhl Operat Management, Carl Zeiss Str 3, D-07743 Jena, Germany; [Schwerdfeger, Stefan] Friedrich Schiller Univ Jena, Lehrstuhl Management Sci, Carl Zeiss Str 3, D-07743 Jena, Germany</t>
  </si>
  <si>
    <t>Friedrich Schiller University of Jena; Friedrich Schiller University of Jena</t>
  </si>
  <si>
    <t>Boysen, N (corresponding author), Friedrich Schiller Univ Jena, Lehrstuhl Operat Management, Carl Zeiss Str 3, D-07743 Jena, Germany.</t>
  </si>
  <si>
    <t>nils.boysen@uni-jena.de; stefan.schwerdfeger@uni-jena.de; felix.weidinger@uni-jena.de</t>
  </si>
  <si>
    <t>Boysen, Nils/0000-0002-1681-4856; Weidinger, Felix/0000-0002-1814-397X; Schwerdfeger, Stefan/0000-0001-5277-6511</t>
  </si>
  <si>
    <t>DEC 16</t>
  </si>
  <si>
    <t>10.1016/j.ejor.2018.05.058</t>
  </si>
  <si>
    <t>GQ9BI</t>
  </si>
  <si>
    <t>WOS:000442060500022</t>
  </si>
  <si>
    <t>Boysen, N; Briskorn, D; Rupp, J</t>
  </si>
  <si>
    <t>Boysen, Nils; Briskorn, Dirk; Rupp, Johannes</t>
  </si>
  <si>
    <t>Optimization of two-echelon last-mile delivery via cargo tunnel and a delivery person</t>
  </si>
  <si>
    <t>COMPUTERS &amp; OPERATIONS RESEARCH</t>
  </si>
  <si>
    <t>Transportation; Smart city logistics; Last-mile delivery; Cargo tunnel</t>
  </si>
  <si>
    <t>VEHICLE-ROUTING PROBLEM; LARGE NEIGHBORHOOD SEARCH; LOGISTICS; ALGORITHM; CENTERS</t>
  </si>
  <si>
    <t>More and more people live in urban areas in general and in megacities, with 10 million inhabitants and more, in particular. One innovative instrument to reduce surface traffic and its negative impact on health, congestion, environment, and safety when supplying these urban inhabitants with goods is a cargo tunnel. Within the cargo tunnel concept, autonomous rail-bound, maglev, or automated guided vehicles deliver goods underground toward small inner-city hubs, from where the final leg toward customer homes can be executed with environmentally-friendly vehicles such as cargo bikes or electric vans. In addition to the huge investment costs for tunnel boring, this last-mile delivery option faces a challenging operational problem, which is the synchronization of goods arrivals at a capacity-restricted inner-city hub with the delivery tours. We formulate a basic two-echelon optimization problem that captures all main operational challenges of this synchronization task, derive suitable optimization procedures, and apply them in a computational study. The latter explores the interdependence between tunnel throughput, storage capacity at the hub, and vehicle capacity of the delivery person and their impact on delivery performance. An additional benchmark test with conventional truck-based deliveries shows that the reductions of carbon dioxide emissions promised by a cargo tunnel come for the price of excessive cargo bike traffic, especially if large urban regions are to be serviced from a micro hub.</t>
  </si>
  <si>
    <t>[Boysen, Nils; Rupp, Johannes] Friedrich Schiller Univ Jena, Lehrstuhl Operat Management, Carl Zeiss Str 3, D-07743 Jena, Germany; [Briskorn, Dirk] Berg Univ Wuppertal, Lehrstuhl BWL Insbesondere Prod &amp; Logist, Gaussstr 20, D-42119 Wuppertal, Germany</t>
  </si>
  <si>
    <t>Friedrich Schiller University of Jena; University of Wuppertal</t>
  </si>
  <si>
    <t>nils.boysen@uni-jena.de; briskorn@uni-wuppertal.de; johannes.rupp@uni-jena.de</t>
  </si>
  <si>
    <t>Boysen, Nils/0000-0002-1681-4856</t>
  </si>
  <si>
    <t>0305-0548</t>
  </si>
  <si>
    <t>1873-765X</t>
  </si>
  <si>
    <t>COMPUT OPER RES</t>
  </si>
  <si>
    <t>Comput. Oper. Res.</t>
  </si>
  <si>
    <t>10.1016/j.cor.2022.106123</t>
  </si>
  <si>
    <t>DEC 2022</t>
  </si>
  <si>
    <t>Computer Science, Interdisciplinary Applications; Engineering, Industrial; Operations Research &amp; Management Science</t>
  </si>
  <si>
    <t>Computer Science; Engineering; Operations Research &amp; Management Science</t>
  </si>
  <si>
    <t>7U7ZB</t>
  </si>
  <si>
    <t>WOS:000912346100001</t>
  </si>
  <si>
    <t>Sharifi, A; Khavarian-Garmsir, AR</t>
  </si>
  <si>
    <t>Sharifi, Ayyoob; Khavarian-Garmsir, Amir Reza</t>
  </si>
  <si>
    <t>The COVID-19 pandemic: Impacts on cities and major lessons for urban planning, design, and management</t>
  </si>
  <si>
    <t>COVID-19; Smart cities; Environmental factors; Air quality; Urban planning; Pandemics</t>
  </si>
  <si>
    <t>Since the early days of the COVID-19 crisis the scientific community has constantly been striving to shed light on various issues such as the mechanisms driving the spread of the virus, its environmental and socio-economic impacts, and necessary recovery and adaptation plans and policies. Given the high concentration of population and economic activities in cities, they are often hotspots of COVID-19 infections. Accordingly, many researchers are struggling to explore the dynamics of the pandemic in urban areas to understand impacts of COVID-19 on cities. In this study we seek to provide an overview of COVID-19 research related to cities by reviewing literature published during the first eight months after the first confirmed cases were reported in Wuhan, China. The main aims are to understand impacts of the pandemic on cities and to highlight major lessons that can be learned for post-COVID urban planning and design. Results show that, in terms of thematic focus, early research on the impacts of COVID-19 on cities is mainly related to four major themes, namely, (1) environmental quality, (2) socioeconomic impacts, (3) management and governance, and (4) transportation and urban design. While this indicates a diverse research agenda, the first theme that covers issues related to air quality, meteorological parameters, and water quality is dominant, and the others are still relatively underexplored. Improvements in air and water quality in cities during lockdown periods highlight the significant environmental impacts of anthropogenic activities and provide a wake-up call to adopt environmentally friendly development pathways. The paper also provides other recommendations related to the socio-economic factors, urban management and governance, and transportation and urban design that can be used for post-COVID urban plann ing and design. Overall, existing knowledge shows that the COVID-19 crisis entails an excellent opportunity for planners and policy makers to take transformative actions towards creating cities that are more just, resilient, and sustainable. (C) 2020 Elsevier B.V. All rights reserved.</t>
  </si>
  <si>
    <t>[Sharifi, Ayyoob] Hiroshima Univ, Grad Sch Humanities &amp; Social Sci, Hiroshima, Japan; [Sharifi, Ayyoob] Hiroshima Univ, Grad Sch Adv Sci &amp; Engn, Hiroshima, Japan; [Sharifi, Ayyoob] Network Educ &amp; Res Peace &amp; Sustainabil NERPS, Hiroshima, Japan; [Khavarian-Garmsir, Amir Reza] Univ Isfahan, Dept Geog &amp; Urban Planning, Fac Geog Sci &amp; Planning, Esfahan, Iran</t>
  </si>
  <si>
    <t>Hiroshima University; Hiroshima University; University of Isfahan</t>
  </si>
  <si>
    <t>Sharifi, A (corresponding author), 1-3-1 Kagamiyama, Hiroshima 7398530, Japan.</t>
  </si>
  <si>
    <t>sharifi@hiroshima-u.ac.jp</t>
  </si>
  <si>
    <t>Sharifi, Ayyoob/M-7584-2013</t>
  </si>
  <si>
    <t>DEC 20</t>
  </si>
  <si>
    <t>10.1016/j.scitotenv.2020.142391</t>
  </si>
  <si>
    <t>OG3MX</t>
  </si>
  <si>
    <t>WOS:000581793800144</t>
  </si>
  <si>
    <t>Zawieska, J; Pieriegud, J</t>
  </si>
  <si>
    <t>Zawieska, Jakub; Pieriegud, Jana</t>
  </si>
  <si>
    <t>Smart city as a tool for sustainable mobility and transport decarbonisation</t>
  </si>
  <si>
    <t>TRANSPORT POLICY</t>
  </si>
  <si>
    <t>Sustainable mobility; Governance of transport; Transport policy; Smart cities; GHG emissions; Warsaw</t>
  </si>
  <si>
    <t>BIG DATA; EMISSIONS</t>
  </si>
  <si>
    <t>The sustainable governance of transport systems remains a significant challenge for policy makers worldwide, particularly in cities. Urban areas are developing rapidly from a technological viewpoint, and innovative technologies create new possibilities for smart mobility management. Therefore, this study investigates the relationship between the implementation of the smart city concept and the idea of sustainable transport, particularly with regard to the reduction of transport generated CO2 emissions. The study estimates CO2 emissions for different potential scenarios of development for the Warsaw transport system until 2050 using the United Nations' ForFITS (For Future Inland Transport Systems) model. The study also analyses the additional impact on CO2 emissions of smart city elements as determinants of mobility. The results show that meeting the reduction targets set by the European Union 2011 White Paper on Transport will be challenging, requiring an in-depth transformation of the transport and energy sectors. This study also confirms that smart city solutions can play a crucial role in mitigating transport emissions and meeting reduction goals. The conclusions provide important insights for the design of smart mobility governance and enhance the relationship between transport policy and research.</t>
  </si>
  <si>
    <t>[Zawieska, Jakub] Rd &amp; Bridge Res Inst, Ul Inst 1, PL-03302 Warsaw, Poland; [Zawieska, Jakub; Pieriegud, Jana] Warsaw Sch Econ, Dept Transport, Al Niepodleglosci 162, PL-02513 Warsaw, Poland</t>
  </si>
  <si>
    <t>Warsaw School of Economics</t>
  </si>
  <si>
    <t>Zawieska, J (corresponding author), Rd &amp; Bridge Res Inst, Ul Inst 1, PL-03302 Warsaw, Poland.</t>
  </si>
  <si>
    <t>jzawieska@ibdim.edu.pl; jpiere@sgh.waw.pl</t>
  </si>
  <si>
    <t>0967-070X</t>
  </si>
  <si>
    <t>1879-310X</t>
  </si>
  <si>
    <t>Transp. Policy</t>
  </si>
  <si>
    <t>10.1016/j.tranpol.2017.11.004</t>
  </si>
  <si>
    <t>FW7DB</t>
  </si>
  <si>
    <t>WOS:000425478300004</t>
  </si>
  <si>
    <t>Ghahramani, M; Zhou, MC; Molter, A; Pilla, F</t>
  </si>
  <si>
    <t>Ghahramani, Mohammadhossein; Zhou, MengChu; Molter, Anna; Pilla, Francesco</t>
  </si>
  <si>
    <t>IoT-Based Route Recommendation for an Intelligent Waste Management System</t>
  </si>
  <si>
    <t>IEEE INTERNET OF THINGS JOURNAL</t>
  </si>
  <si>
    <t>Waste management; Planning; Optimization; Routing; Urban areas; Statistics; Sociology; Artificial intelligence (AI); evolutionary algorithms; optimization; route recommendation; smart cities; waste management</t>
  </si>
  <si>
    <t>COLLECTION; INTERNET; SERVICE; THINGS</t>
  </si>
  <si>
    <t>The Internet of Things (IoT) is a paradigm characterized by a network of embedded sensors and services. These sensors are incorporated to collect various information, track physical conditions, e.g., waste bins' status, and exchange data with different centralized platforms. The need for such sensors is increasing; however, the proliferation of technologies comes with various challenges. For example, how can IoT and its associated data be used to enhance waste management? In smart cities, an efficient waste management system is crucial. Artificial intelligence (AI) and IoT-enabled approaches can empower cities to manage the waste collection. This work proposes an intelligent approach to route recommendation in an IoT-enabled waste management system given spatial constraints. It performs a thorough analysis based on AI-based methods and compare their corresponding results. Our solution is based on a multiple-level decision-making process in which bins' status and coordinates are taken into account to address the routing problem. Such AI-based models can help engineers design a sustainable infrastructure system.</t>
  </si>
  <si>
    <t>[Ghahramani, Mohammadhossein; Molter, Anna; Pilla, Francesco] Univ Coll Dublin, Spatial Dynam Lab, Dublin D04 V1W8 4, Ireland; [Zhou, MengChu] New Jersey Inst Technol, Helen &amp; John C Hartmann Dept Elect &amp; Comp Engn, Newark, NJ 07102 USA</t>
  </si>
  <si>
    <t>University College Dublin; New Jersey Institute of Technology</t>
  </si>
  <si>
    <t>Ghahramani, M (corresponding author), Univ Coll Dublin, Spatial Dynam Lab, Dublin D04 V1W8 4, Ireland.</t>
  </si>
  <si>
    <t>sepehr.ghahramani@ucd.ie; zhou@njit.edu; anna.molter@ucd.ie; francesco.pilla@ucd.ie</t>
  </si>
  <si>
    <t>; Zhou, MengChu/H-9897-2014; Mölter, Anna/N-6003-2014; Ghahramani, Mohammadhossein/P-9618-2019</t>
  </si>
  <si>
    <t>Pilla, Francesco/0000-0002-1535-1239; Mölter, Anna/0000-0002-0824-4478;</t>
  </si>
  <si>
    <t>Science Foundation Ireland [16/IA/4610]; Science Foundation Ireland (SFI) [16/IA/4610] Funding Source: Science Foundation Ireland (SFI)</t>
  </si>
  <si>
    <t>Science Foundation Ireland(Science Foundation Ireland (SFI)); Science Foundation Ireland (SFI)(Science Foundation Ireland (SFI))</t>
  </si>
  <si>
    <t>This work was supported in part by the Science Foundation Ireland under Grant 16/IA/4610.</t>
  </si>
  <si>
    <t>2327-4662</t>
  </si>
  <si>
    <t>IEEE INTERNET THINGS</t>
  </si>
  <si>
    <t>IEEE Internet Things J.</t>
  </si>
  <si>
    <t>DEC 2</t>
  </si>
  <si>
    <t>10.1109/JIOT.2021.3132126</t>
  </si>
  <si>
    <t>2S0YQ</t>
  </si>
  <si>
    <t>WOS:000821527600011</t>
  </si>
  <si>
    <t>Siragusa, C; Tumino, A; Mangiaracina, R; Perego, A</t>
  </si>
  <si>
    <t>Siragusa, Chiara; Tumino, Angela; Mangiaracina, Riccardo; Perego, Alessandro</t>
  </si>
  <si>
    <t>Electric vehicles performing last-mile delivery in B2C e-commerce: An economic and environmental assessment</t>
  </si>
  <si>
    <t>INTERNATIONAL JOURNAL OF SUSTAINABLE TRANSPORTATION</t>
  </si>
  <si>
    <t>B2C e-commerce; electric vehicle; environmental sustainability; last-mile delivery; life cycle assessment; total cost of ownership</t>
  </si>
  <si>
    <t>PLUG-IN HYBRID; TOTAL-COST; CONVENTIONAL VEHICLES; OWNERSHIP MODEL; CITY LOGISTICS; FUEL-CELL; INCENTIVES; BATTERY; EMISSIONS; COMPETITIVENESS</t>
  </si>
  <si>
    <t>The proliferation of e-commerce in the recent years has been recognized to have a huge impact on transportation owing to the increasing need for last-mile deliveries in urban areas. Further, it is claimed to be responsible for the rising number of vans moving in cities, considerably impacting environmental sustainability. In this context, electric vehicles (EVs) could substitute internal combustion engine vehicles (ICEVs) to mitigate their harmful impact on the environment. This work aims to provide a comparison between the EVs and the ICEVs used to perform last-mile deliveries in business-to-consumers (B2C) e-commerce, considering both economic and environmental perspectives. The life cycle assessment method is adopted for the evaluation of environmental impact. However, economic assessment is based on the total cost of ownership analysis, which allows the comparison between the two types of vehicles throughout the ownership period. The analysis was conducted considering an Italian city (Milan). The use of EVs proved to be economically beneficial when an 8-year timeframe was considered. Even if the initial investment for EVs is high, owing to a purchasing price that is nearly double when compared to ICEVs, the lower operating expenditure makes EVs a competitive option. Considering the environmental perspective, EVs turned out to be the best option in all the scenarios assumed. In particular, EVs lead to a decrease in greenhouse gas (GHG) emissions by 17% (in the 20 km/day case) to by 54% (in the 120 km/day case), or even more if a higher daily mileage is considered.</t>
  </si>
  <si>
    <t>[Siragusa, Chiara; Tumino, Angela; Mangiaracina, Riccardo; Perego, Alessandro] Politecn Milan, Dept Management Econ &amp; Ind Engn, Milan, Italy</t>
  </si>
  <si>
    <t>Polytechnic University of Milan</t>
  </si>
  <si>
    <t>Siragusa, C (corresponding author), Politecn Milan, Dipartimento Ingn Gest, Via Lambruschini,4B, I-20156 Milan, Italy.</t>
  </si>
  <si>
    <t>chiara.siragusa@polimi.it</t>
  </si>
  <si>
    <t>Tumino, Angela/AAC-7887-2020; Perego, Alessandro/Y-8287-2019</t>
  </si>
  <si>
    <t>TUMINO, ANGELA/0000-0003-0010-1859;</t>
  </si>
  <si>
    <t>TAYLOR &amp; FRANCIS INC</t>
  </si>
  <si>
    <t>PHILADELPHIA</t>
  </si>
  <si>
    <t>530 WALNUT STREET, STE 850, PHILADELPHIA, PA 19106 USA</t>
  </si>
  <si>
    <t>1556-8318</t>
  </si>
  <si>
    <t>1556-8334</t>
  </si>
  <si>
    <t>INT J SUSTAIN TRANSP</t>
  </si>
  <si>
    <t>Int. J. Sustain. Transp.</t>
  </si>
  <si>
    <t>JAN 3</t>
  </si>
  <si>
    <t>10.1080/15568318.2020.1847367</t>
  </si>
  <si>
    <t>NOV 2020</t>
  </si>
  <si>
    <t>Green &amp; Sustainable Science &amp; Technology; Environmental Studies; Transportation</t>
  </si>
  <si>
    <t>Science &amp; Technology - Other Topics; Environmental Sciences &amp; Ecology; Transportation</t>
  </si>
  <si>
    <t>XZ2UX</t>
  </si>
  <si>
    <t>WOS:000590363400001</t>
  </si>
  <si>
    <t>Teusch, J; Gremmel, JN; Koetsier, C; Johora, FT; Sester, M; Woisetschläger, DM; Müller, JP</t>
  </si>
  <si>
    <t>Teusch, Julian; Gremmel, Jan Niklas; Koetsier, Christian; Johora, Fatema Tuj; Sester, Monika; Woisetschlaeger, David M.; Mueller, Jorg P.</t>
  </si>
  <si>
    <t>A Systematic Literature Review on Machine Learning in Shared Mobility</t>
  </si>
  <si>
    <t>IEEE OPEN JOURNAL OF INTELLIGENT TRANSPORTATION SYSTEMS</t>
  </si>
  <si>
    <t>decision-making process; machine learning; micromobility; reinforcement learning; sharedmobility systems; supervised learning; systematic literature review; unsupervised learnin</t>
  </si>
  <si>
    <t>BIKE-SHARING SYSTEM; CARSHARING SERVICES; PASSENGER DEMAND; NEURAL-NETWORK; URBAN MOBILITY; TRAVEL DEMAND; SMART CITIES; MODEL; USAGE; PREDICTION</t>
  </si>
  <si>
    <t>Shared mobility has emerged as a sustainable alternative to both private transportation and traditional public transport, promising to reduce the number of private vehicles on roads while offering users greater flexibility. Today, urban areas are home to a myriad of innovative services, including car-sharing, ride-sharing, and micromobility solutions like moped-sharing, bike-sharing, and e-scooter-sharing. Given the intense competition and the inherent operational complexities of shared mobility systems, providers are increasingly seeking specialized decision-support methodologies to boost operational efficiency. While recent research indicates that advanced machine learning methods can tackle the intricate challenges in shared mobility management decisions, a thorough evaluation of existing research is essential to fully grasp its potential and pinpoint areas needing further exploration. This paper presents a systematic literature review that specifically targets the application of Machine Learning for decision-making in Shared Mobility Systems. Our review underscores that Machine Learning offers methodological solutions to specific management challenges crucial for the effective operation of Shared Mobility Systems. We delve into the methods and datasets employed, spotlight research trends, and pinpoint research gaps. Our findings culminate in a comprehensive framework of Machine Learning techniques designed to bolster managerial decision-making in addressing challenges specific to Shared Mobility across various levels.</t>
  </si>
  <si>
    <t>[Teusch, Julian; Johora, Fatema Tuj; Mueller, Jorg P.] Tech Univ Clausthal, Inst Informat, D-38678 Clausthal Zellerfeld, Germany; [Gremmel, Jan Niklas; Woisetschlaeger, David M.] Braunschweig Tech Univ, Chair Serv Management, D-38106 Braunschweig, Germany; [Koetsier, Christian; Sester, Monika] Leibniz Univ Hannover, Inst Cartog &amp; Geoinformat, Hannover, Germany</t>
  </si>
  <si>
    <t>TU Clausthal; Braunschweig University of Technology; Leibniz University Hannover</t>
  </si>
  <si>
    <t>Teusch, J (corresponding author), Tech Univ Clausthal, Inst Informat, D-38678 Clausthal Zellerfeld, Germany.</t>
  </si>
  <si>
    <t>julian.teusch@tu-clausthal.de</t>
  </si>
  <si>
    <t>; Sester, Monika/A-2285-2013; Woisetschläger, David/B-7443-2012; sester, monika/A-2285-2013</t>
  </si>
  <si>
    <t>Teusch, Julian/0000-0002-4103-8430; Johora, Fatema Tuj/0000-0001-8857-9958; sester, monika/0000-0002-6656-8809</t>
  </si>
  <si>
    <t>Lower Saxony Ministry of Science and Culture within the Lower Saxony Vorab of the Volkswagen Foundation</t>
  </si>
  <si>
    <t>2687-7813</t>
  </si>
  <si>
    <t>IEEE OPEN J INTEL TR</t>
  </si>
  <si>
    <t>IEEE Open J. Intell. Transp. Syst.</t>
  </si>
  <si>
    <t>10.1109/OJITS.2023.3334393</t>
  </si>
  <si>
    <t>Computer Science, Artificial Intelligence; Engineering, Electrical &amp; Electronic; Transportation Science &amp; Technology</t>
  </si>
  <si>
    <t>Computer Science; Engineering; Transportation</t>
  </si>
  <si>
    <t>CB4E8</t>
  </si>
  <si>
    <t>WOS:001122770700001</t>
  </si>
  <si>
    <t>Bandeira, RAD; Goes, GV; Gonçalves, DNS; D'Agosto, MD; de Oliveira, CM</t>
  </si>
  <si>
    <t>de Mello Bandeira, Renata Albergaria; Goes, George Vasconcelos; Schmitz Goncalves, Daniel Neves; D'Agosto, Marcio de Almeida; de Oliveira, Cintia Machado</t>
  </si>
  <si>
    <t>Electric vehicles in the last mile of urban freight transportation: A sustainability assessment of postal deliveries in Rio de Janeiro-Brazil</t>
  </si>
  <si>
    <t>Last mile; Urban freight; Electric mobility; Vehicles</t>
  </si>
  <si>
    <t>CITY LOGISTICS; MOBILITY</t>
  </si>
  <si>
    <t>The growth of urban population and the rise of e-commerce activities increase the complexity of the last-mile of parcel deliveries and its impacts to the environment and quality of life. Despite the relevance, emerging countries have difficult to establish and implement alternatives to the conventional scope of fossil-based operations. This paper proposes a method to assess alternative strategies for the last-mile of parcel deliveries, in terms of social, environmental, and economic impacts and presents an application to assess the distribution strategy of a postal company located in the city of Rio de Janeiro, Brazil. Moreover, we developed a systematic literature review to develop realistic alternatives to the baseline scenario, which operates with diesel propelled light duty vehicles. Literature points to the reduction of the dimensions of vehicles, as well as to the migration of the propulsion source to electric energy, as sustainable alternatives for last mile deliveries in urban areas. For that reason, we opted to evaluate the use of electric vehicles of smaller dimensions, tricycle and LDV, in the last mile of parcel deliveries, assessing two alternative scenarios: one with the use of electric LDV type BEV; and the other with electric tricycles. Results indicated that the use electric tricycle is a more feasible alternative regarding the economic, environmental and social aspects, demanding no public incentives.</t>
  </si>
  <si>
    <t>[de Mello Bandeira, Renata Albergaria; Goes, George Vasconcelos; Schmitz Goncalves, Daniel Neves; D'Agosto, Marcio de Almeida; de Oliveira, Cintia Machado] UFRJ, COPPE, Program Transportat Engn, Technol Ctr, Bldg H,Room 117, BR-21949900 University City Rio De J, RJ, Brazil; [de Mello Bandeira, Renata Albergaria] Mil Inst Engn, Praca Gen Tiburcio 80, Praia Vermelha, RJ, Brazil; [de Oliveira, Cintia Machado] Fed Ctr Technol Educ Celso Suckow da Fonseca, Rio De Janeiro, Brazil</t>
  </si>
  <si>
    <t>Universidade Federal do Rio de Janeiro</t>
  </si>
  <si>
    <t>Goes, GV (corresponding author), Technol Ctr, Bldg H,Room 119,Cidade Univ, BR-21949900 Rio De Janeiro, RJ, Brazil.</t>
  </si>
  <si>
    <t>ggoes@pet.coppe.ufrj.br</t>
  </si>
  <si>
    <t>Goes, George/D-5271-2019; Gonçalves, Daniel/F-6567-2019; Goes, George/AAG-3289-2020</t>
  </si>
  <si>
    <t>Goes, George/0000-0003-3099-2664; N S Gonçalves, Daniel/0000-0002-5947-6068;</t>
  </si>
  <si>
    <t>CAPES; CNPq</t>
  </si>
  <si>
    <t>CAPES(Coordenacao de Aperfeicoamento de Pessoal de Nivel Superior (CAPES)); CNPq(Conselho Nacional de Desenvolvimento Cientifico e Tecnologico (CNPQ))</t>
  </si>
  <si>
    <t>The authors wish to thank CAPES and CNPq for financial support.</t>
  </si>
  <si>
    <t>10.1016/j.trd.2018.12.017</t>
  </si>
  <si>
    <t>HT9LM</t>
  </si>
  <si>
    <t>WOS:000464890900034</t>
  </si>
  <si>
    <t>Boysen, N; Fedtke, S; Schwerdfeger, S</t>
  </si>
  <si>
    <t>Boysen, Nils; Fedtke, Stefan; Schwerdfeger, Stefan</t>
  </si>
  <si>
    <t>Last-mile delivery concepts: a survey from an operational research perspective</t>
  </si>
  <si>
    <t>OR SPECTRUM</t>
  </si>
  <si>
    <t>Transportation; City logistics; Last-mile delivery; Survey</t>
  </si>
  <si>
    <t>TRAVELING SALESMAN PROBLEM; VEHICLE-ROUTING PROBLEM; URBAN FREIGHT TRANSPORT; SAME-DAY DELIVERY; BRANCH-AND-PRICE; B2C E-COMMERCE; TIME WINDOWS; PARCEL DELIVERY; CITY LOGISTICS; DRONE DELIVERY</t>
  </si>
  <si>
    <t>In the wake of e-commerce and its successful diffusion in most commercial activities, last-mile distribution causes more and more trouble in urban areas all around the globe. Growing parcel volumes to be delivered toward customer homes increase the number of delivery vans entering the city centers and thus add to congestion, pollution, and negative health impact. Therefore, it is anything but surprising that in recent years many novel delivery concepts on the last mile have been innovated. Among the most prominent are unmanned aerial vehicles (drones) and autonomous delivery robots taking over parcel delivery. This paper surveys established and novel last-mile concepts and puts special emphasis on the decision problems to be solved when setting up and operating each concept. To do so, we systematically record the alternative delivery concepts in a compact notation scheme, discuss the most important decision problems, and survey existing research on operations research methods solving these problems. Furthermore, we elaborate promising future research avenues.</t>
  </si>
  <si>
    <t>[Boysen, Nils; Fedtke, Stefan; Schwerdfeger, Stefan] Friedrich Schiller Univ Jena, Lehrstuhl Operat Management, Carl Zeiss Str 3, D-07743 Jena, Germany; [Schwerdfeger, Stefan] Friedrich Schiller Univ Jena, Lehrstuhl Management Sci, Carl Zeiss Str 3, D-07743 Jena, Germany</t>
  </si>
  <si>
    <t>nils.boysen@uni-jena.de; stefan.fedtke@uni-jena.de; stefan.schwerdfeger@uni-jena.de</t>
  </si>
  <si>
    <t>Boysen, Nils/0000-0002-1681-4856; Schwerdfeger, Stefan/0000-0001-5277-6511; Fedtke, Stefan/0000-0003-1410-5367</t>
  </si>
  <si>
    <t>0171-6468</t>
  </si>
  <si>
    <t>1436-6304</t>
  </si>
  <si>
    <t>OR Spectrum</t>
  </si>
  <si>
    <t>10.1007/s00291-020-00607-8</t>
  </si>
  <si>
    <t>QI6YB</t>
  </si>
  <si>
    <t>WOS:000571676700001</t>
  </si>
  <si>
    <t>Torres, F; Gendreau, M; Rei, W</t>
  </si>
  <si>
    <t>Torres, Fabian; Gendreau, Michel; Rei, Walter</t>
  </si>
  <si>
    <t>Vehicle Routing with Stochastic Supply of Crowd Vehicles and Time Windows</t>
  </si>
  <si>
    <t>crowd shipping; crowd logistics; crowd drivers; occasional drivers; city logistics; stochastic programming; dynamic programming; column generation</t>
  </si>
  <si>
    <t>The growth of e-commerce has increased demand for last-mile deliveries, increasing the level of congestion in the existing transportation infrastructure in urban areas. Crowdsourcing deliveries can provide the additional capacity needed to meet the growing demand in a cost-effective way. We introduce a setting where a crowd-shipping platform sells heterogeneous products of different sizes from a central depot. Items sold vary from groceries to electronics. Some items must be delivered within a time window, whereas others need a customer signature. Furthermore, customer presence is not guaranteed, and some deliveries may need to be returned to the depot. Delivery requests are fulfilled by a fleet of professional drivers and a pool of crowd drivers. We present a crowd-shipping platform that standardizes crowd drivers' capacities and compensates them to return undelivered packages back to the depot. We formulate a two-stage stochastic model, and we propose a branch and price algorithm to solve the problem exactly and a column generation heuristic to solve larger problems quickly. We further develop an analytical method to calculate upper bounds on the supply of vehicles and an innovative cohesive pricing problem to generate columns for the pool of crowd drivers. Computational experiments are carried out on modified Solomon instances with a pool of 100 crowd vehicles. The branch and price algorithm is able to solve instances of up to 100 customers. We show that the value of the stochastic solution can be as high as 18% when compared with the solution obtained from a deterministic simplification of the model. Significant cost reductions of up to 28% are achieved by implementing crowd drivers with low compensations or higher capacities. Finally, we evaluate what happens when crowd drivers are given the autonomy to select routes based on rational and irrational behavior. There is no cost increase when crowd drivers are rational and select routes that have a higher compensation first. However, when crowd drivers are irrational and select routes randomly, the cost can increase up to 4.2% for some instances.</t>
  </si>
  <si>
    <t>[Torres, Fabian; Gendreau, Michel; Rei, Walter] Ctr Interuniv Rech Reseaux Entreprise Logist &amp; Tr, Montreal, PQ H3T 1J4, Canada; [Torres, Fabian; Gendreau, Michel] Polytech Montreal, Dept Math &amp; Genie Ind, Montreal, PQ H3C 3A7, Canada; [Rei, Walter] Univ Quebec Montreal, Dept Management &amp; Technol, Montreal, PQ H2L 2C4, Canada</t>
  </si>
  <si>
    <t>Universite de Montreal; Universite de Montreal; Polytechnique Montreal; University of Quebec; University of Quebec Montreal</t>
  </si>
  <si>
    <t>Torres, F (corresponding author), Ctr Interuniv Rech Reseaux Entreprise Logist &amp; Tr, Montreal, PQ H3T 1J4, Canada.;Torres, F (corresponding author), Polytech Montreal, Dept Math &amp; Genie Ind, Montreal, PQ H3C 3A7, Canada.</t>
  </si>
  <si>
    <t>fabian.torres@polymtl.ca; michel.gendreau@cirrelt.net; rei.walter@uqam.ca</t>
  </si>
  <si>
    <t>; Geneau, Michel/M-6235-2018; Torres, Fabian/KYR-5151-2024; Gendreau, Michel/HDO-6155-2022</t>
  </si>
  <si>
    <t>Rei, Walter/0000-0001-6626-8251; Torres, Fabian/0000-0002-7428-4515; Geneau, Michel/0000-0002-9262-3648;</t>
  </si>
  <si>
    <t>Canadian Natural Sciences and Engineering Research Council [70732901, RGPIN38816-10, RGPIN/4696-2016]; Canada Research Chair in Stochastic Optimization of Transport and Logistics Systems; Polytechnique Montreal; Ecuadorian Secretaria de Educacion Superior, Ciencia, Tecnologia e Inovacion (SENESCYT)</t>
  </si>
  <si>
    <t>Canadian Natural Sciences and Engineering Research Council(Natural Sciences and Engineering Research Council of Canada (NSERC)); Canada Research Chair in Stochastic Optimization of Transport and Logistics Systems; Polytechnique Montreal; Ecuadorian Secretaria de Educacion Superior, Ciencia, Tecnologia e Inovacion (SENESCYT)</t>
  </si>
  <si>
    <t>This research was partially funded by the Canadian Natural Sciences and Engineering Research Council under its Discovery Grants research program [under Grants 70732901, RGPIN38816-10, and RGPIN/4696-2016], as well as the Canada Research Chair in Stochastic Optimization of Transport and Logistics Systems, Polytechnique Montreal, and the Ecuadorian Secretaria de Educacion Superior, Ciencia, Tecnologia e Inovacion (SENESCYT) under its international scholarships program.</t>
  </si>
  <si>
    <t>MAY-JUN</t>
  </si>
  <si>
    <t>10.1287/trsc.2021.1101</t>
  </si>
  <si>
    <t>2F8PY</t>
  </si>
  <si>
    <t>WOS:000733868800001</t>
  </si>
  <si>
    <t>Yang, ZW; Chen, XH; Pan, RX; Yuan, Q</t>
  </si>
  <si>
    <t>Yang, Zhiwei; Chen, Xiaohong; Pan, Ruixu; Yuan, Quan</t>
  </si>
  <si>
    <t>Exploring location factors of logistics facilities from a spatiotemporal perspective: A case study from Shanghai</t>
  </si>
  <si>
    <t>JOURNAL OF TRANSPORT GEOGRAPHY</t>
  </si>
  <si>
    <t>Logistics facilities; Environmental externalities; Spatial restructuring; Shanghai; ZINB model</t>
  </si>
  <si>
    <t>DISTRIBUTION CENTERS; URBAN; AGGLOMERATION; DYNAMICS; SPRAWL; IMPACT; LAND; TRANSPORT; GEOGRAPHY; SELECTION</t>
  </si>
  <si>
    <t>In the era of economic globalization and the e-commerce boom, the demand for urban logistics has been rapidly growing in terms of both scale and intensity. The spatial clustering of logistics facilities and their associated environmental consequences has caused growing concern. This study analyzes the spatial evolution of logistics facilities and establishes a series of regression models to explore the driving factors of logistics facility location choice using a high-resolution grid-based data set. The results show that as the urban highway network gets improved, transportation costs are more balanced across space. Therefore, the distribution of logistics facilities is less regionally constrained and more widely located in space. The spatial evolution of logistics facilities was driven not only by demand of land uses and industries but also by transport supply and urban structure. Land use planning including the planning of industrial parks is among the important driving forces affecting the spatial location of logistics facilities, although the effects vary across types of logistics facilities. This study aims to provide a sustainable development-oriented policy path for regional development by proposing an analytical framework that reconsiders spatial location choice factors as a means of controlling logistics environmental negative externalities.</t>
  </si>
  <si>
    <t>[Yang, Zhiwei; Chen, Xiaohong; Yuan, Quan] Tongji Univ, Key Lab Rd &amp; Traff Engn, Minist Educ, Shanghai 201804, Peoples R China; [Chen, Xiaohong; Yuan, Quan] Tongji Univ, Urban Mobil Inst, Shanghai 201804, Peoples R China; [Pan, Ruixu] Budweiser Brewing Co APAC, Shanghai 200001, Peoples R China</t>
  </si>
  <si>
    <t>Tongji University; Tongji University</t>
  </si>
  <si>
    <t>Yuan, Q (corresponding author), Tongji Univ, Key Lab Rd &amp; Traff Engn, Minist Educ, Shanghai 201804, Peoples R China.</t>
  </si>
  <si>
    <t>zhiwei_yang@tongji.edu.cn; tongjicxh@163.com; edward.pan@budweiserapac.com; quanyuan@tongji.edu.cn</t>
  </si>
  <si>
    <t>Yuan, Quan/KDP-0929-2024</t>
  </si>
  <si>
    <t>Yang, Zhiwei/0000-0001-9457-2971</t>
  </si>
  <si>
    <t>National Natural Science Foundation of China [71734004]; Shanghai sailing project [20YF1451700]; Peking University-Lincoln Institute center for urban development and land policy</t>
  </si>
  <si>
    <t>National Natural Science Foundation of China(National Natural Science Foundation of China (NSFC)); Shanghai sailing project; Peking University-Lincoln Institute center for urban development and land policy</t>
  </si>
  <si>
    <t>This study was supported by the project of the National Natural Science Foundation of China (No. 71734004) , the Shanghai sailing project (No. 20YF1451700) , and the project of Peking University-Lincoln Institute center for urban development and land policy (No. FS05-20201101-YQ)</t>
  </si>
  <si>
    <t>0966-6923</t>
  </si>
  <si>
    <t>1873-1236</t>
  </si>
  <si>
    <t>J TRANSP GEOGR</t>
  </si>
  <si>
    <t>J. Transp. Geogr.</t>
  </si>
  <si>
    <t>10.1016/j.jtrangeo.2022.103318</t>
  </si>
  <si>
    <t>Economics; Geography; Transportation</t>
  </si>
  <si>
    <t>Business &amp; Economics; Geography; Transportation</t>
  </si>
  <si>
    <t>0O9ZE</t>
  </si>
  <si>
    <t>WOS:000783881300001</t>
  </si>
  <si>
    <t>Ouallane, AA; Bakali, A; Bahnasse, A; Broumi, S; Talea, M</t>
  </si>
  <si>
    <t>Ouallane, Asma Ait; Bakali, Assia; Bahnasse, Ayoub; Broumi, Said; Talea, Mohamed</t>
  </si>
  <si>
    <t>Fusion of engineering insights and emerging trends: Intelligent urban traffic management system</t>
  </si>
  <si>
    <t>INFORMATION FUSION</t>
  </si>
  <si>
    <t>Traffic congestion; Intelligent transportation systems; Smart city; Traffic management system; Artificial intelligence; Emerging technologies</t>
  </si>
  <si>
    <t>SMART CITIES; CROWD MANAGEMENT; CONGESTION; INTERNET; PROTOCOL; DESIGN; THINGS; SECURITY; LIFETIME; VEHICLES</t>
  </si>
  <si>
    <t>Traffic congestion is a great concern, especially in urban areas where the vehicles' number on roads continues to intensify significantly against the slow development of road infrastructure. To resolve this intractable problem, researchers proposed various Traffic Management Systems that rely on the fusion of traffic data sources and emerging technologies to maximize the traffic flow, and thus fluidify the intersections since they are the origin of traffic congestions, and also reroute the vehicles to avoid traffic congestions areas, and thus reduce fuel con-sumption and air pollution. Although there are many studies on traffic management, there is still a lack of research covering the entire urban road traffic management system. Therefore, this study intends to fill the gap, generating new insight into the state of research related to the entire Traffic Management System. The principal aim of this survey is to provide a complete view of current approaches proposed in the literature to handle the traffic congestion problem. We first supply a review of the body of knowledge in recent years of Traffic Man-agement Systems. Second, we summarize the benefits and drawbacks of the recent literature. Third, we analyze and discuss the three main subsystems of a Traffic Management System and then classify the various contri-butions according to the subsystem to which they belong. Finally, we present and discuss future research ori-entations and open issues that need further investigation for a realistic and efficient Traffic Management System.</t>
  </si>
  <si>
    <t>[Ouallane, Asma Ait; Bakali, Assia; Bahnasse, Ayoub; Broumi, Said; Talea, Mohamed] Hassan II Univ Casablanca, Fac Sci Ben Msik, TI Lab, BP 7955, Casablanca, Morocco; [Bakali, Assia] Royal Naval Sch, Blvd Sour Jdid,BP 16303, Casablanca, Morocco; [Bahnasse, Ayoub] Univ Hassan II Casablanca, ENSAM Casablanca, Casablanca, Morocco</t>
  </si>
  <si>
    <t>Hassan II University of Casablanca; Hassan II University of Casablanca</t>
  </si>
  <si>
    <t>Ouallane, AA (corresponding author), Hassan II Univ Casablanca, Fac Sci Ben Msik, TI Lab, BP 7955, Casablanca, Morocco.</t>
  </si>
  <si>
    <t>asmaaaitouallane@gmail.com</t>
  </si>
  <si>
    <t>BAKALI, Assia/GRF-6156-2022; broumi, said/R-2043-2019; Ayoub, Bahnasse/G-3366-2017; TALEA, Mohamed/GQR-1036-2022</t>
  </si>
  <si>
    <t>BAKALI, Assia/0000-0002-2764-9745; TALEA, MOHAMED/0000-0003-2364-0804; Ait Ouallane, Asma/0000-0002-7499-0014;</t>
  </si>
  <si>
    <t>1566-2535</t>
  </si>
  <si>
    <t>1872-6305</t>
  </si>
  <si>
    <t>INFORM FUSION</t>
  </si>
  <si>
    <t>Inf. Fusion</t>
  </si>
  <si>
    <t>10.1016/j.inffus.2022.07.020</t>
  </si>
  <si>
    <t>3V6ZH</t>
  </si>
  <si>
    <t>WOS:000841809500001</t>
  </si>
  <si>
    <t>Artioli, F; Acuto, M; McArthur, J</t>
  </si>
  <si>
    <t>Artioli, Francesca; Acuto, Michele; McArthur, Jenny</t>
  </si>
  <si>
    <t>The water-energy-food nexus: An integration agenda and implications for urban governance</t>
  </si>
  <si>
    <t>POLITICAL GEOGRAPHY</t>
  </si>
  <si>
    <t>Governance; Nexus; Urban sustainability; Resource management; Infrastructure</t>
  </si>
  <si>
    <t>SMART CITIES; INFRASTRUCTURE; POLICY; SUSTAINABILITY; RESILIENCE; SECURITY; POLITICS; TECHNOLOGY; CHALLENGES; NETWORKS</t>
  </si>
  <si>
    <t>The water-energy-food nexus has achieved considerable prominence across academic research and policy sectors. The nexus sets an imperative for integrated management and policymaking, centring on the potential trade-offs and complementarities between interdependent water, energy and food systems. Applications of the nexus focus largely on technical or managerial solutions and calls to acknowledge the political dimension of nexus interdependencies have implications for governance at the urban scale. This paper aims to 'urbanise' the nexus agenda and consider the implications of policy integration for urban governance. This examines the nexus in the context of current approaches to urban governance and power relations shaping the provision of water, energy and food in urban areas. Urban infrastructure networks underpin these resource systems and related management systems, although their management tends to operate in silos, with little joint decision-making and planning. Three hypotheses about the interplay between integrative policy framings and urban governance are explored to reconcile integrative policy framings at the urban scale: the appropriation of the nexus narrative by urban governments; re-establishment of political power through integrated management, and implementation of the nexus through smart city approaches. These hypotheses progress the political dimension of the nexus debate and reflect on the role of urban governance in addressing global challenges. (C) 2017 Elsevier Ltd. All rights reserved.</t>
  </si>
  <si>
    <t>[Artioli, Francesca] Univ Paris Est, LabUrba EA 3482, UPEC, UPEMLV,EIVP, F-7720 Champs Sur Marne, France; [Acuto, Michele; McArthur, Jenny] UCL, Dept Sci Technol Engn &amp; Publ Policy, 36-38 Fitzroy Sq, London W1T 6EY, England</t>
  </si>
  <si>
    <t>Universite Paris-Est-Creteil-Val-de-Marne (UPEC); Universite Gustave-Eiffel; University of London; University College London</t>
  </si>
  <si>
    <t>McArthur, J (corresponding author), UCL, Dept Sci Technol Engn &amp; Publ Policy, 36-38 Fitzroy Sq, London W1T 6EY, England.</t>
  </si>
  <si>
    <t>jenny.mcarthur@ucl.ac.uk</t>
  </si>
  <si>
    <t>; McArthur, Jenny/AAK-1758-2020; Artioli, Francesca/AAW-8623-2021</t>
  </si>
  <si>
    <t>McArthur, Jenny/0000-0002-8340-497X; Artioli, Francesca/0000-0002-6600-2645; Acuto, Michele/0000-0003-4320-0531;</t>
  </si>
  <si>
    <t>Engineering and Physical Sciences Research Council (UK) Research Project: Water Energy Food: WEFWEBs under Work Package 3: Nexus governance [EP/N005600/1]; EPSRC [EP/N005600/1] Funding Source: UKRI; Engineering and Physical Sciences Research Council [EP/N005600/1] Funding Source: researchfish</t>
  </si>
  <si>
    <t>Engineering and Physical Sciences Research Council (UK) Research Project: Water Energy Food: WEFWEBs under Work Package 3: Nexus governance(UK Research &amp; Innovation (UKRI)Engineering &amp; Physical Sciences Research Council (EPSRC)); EPSRC(UK Research &amp; Innovation (UKRI)Engineering &amp; Physical Sciences Research Council (EPSRC)); Engineering and Physical Sciences Research Council(UK Research &amp; Innovation (UKRI)Engineering &amp; Physical Sciences Research Council (EPSRC))</t>
  </si>
  <si>
    <t>This work was supported by the Engineering and Physical Sciences Research Council (UK) Research Project: Water Energy Food: WEFWEBs [grant number EP/N005600/1] under Work Package 3: Nexus governance. Actor mapping and stakeholder analysis.</t>
  </si>
  <si>
    <t>THE BOULEVARD, LANGFORD LANE, KIDLINGTON, OXFORD OX5 1GB, OXON, ENGLAND</t>
  </si>
  <si>
    <t>0962-6298</t>
  </si>
  <si>
    <t>1873-5096</t>
  </si>
  <si>
    <t>POLIT GEOGR</t>
  </si>
  <si>
    <t>Polit. Geogr.</t>
  </si>
  <si>
    <t>10.1016/j.polgeo.2017.08.009</t>
  </si>
  <si>
    <t>Geography; Political Science</t>
  </si>
  <si>
    <t>Geography; Government &amp; Law</t>
  </si>
  <si>
    <t>FO5FW</t>
  </si>
  <si>
    <t>WOS:000416879900019</t>
  </si>
  <si>
    <t>Rodríguez-Hernández, KL; Narezo-Balzaretti, J; Gaxiola-Beltrán, AL; Ramírez-Moreno, MA; Pérez-Henríquez, BL; Ramírez-Mendoza, RA; Krajzewicz, D; Lozoya-Santos, JDJ</t>
  </si>
  <si>
    <t>Lizette Rodriguez-Hernandez, Karen; Narezo-Balzaretti, Jorge; Luisa Gaxiola-Beltran, Ana; Adolfo Ramirez-Moreno, Mauricio; Perez-Henriquez, Blas Luis; Ambrocio Ramirez-Mendoza, Ricardo; Krajzewicz, Daniel; De-Jesus Lozoya-Santos, Jorge</t>
  </si>
  <si>
    <t>The Importance of Robust Datasets to Assess Urban Accessibility: A Comparable Study in the Distrito Tec, Monterrey, Mexico, and the Stanford District, San Francisco Bay Area, USA</t>
  </si>
  <si>
    <t>urban accessibility; smart cities; smart mobility; open-source technology</t>
  </si>
  <si>
    <t>SUSTAINABLE CITIES; INDICATORS</t>
  </si>
  <si>
    <t>Urban planning has a crucial role in helping cities meet the United Nations' Sustainable Development Goals and robust datasets to assess mobility accessibility are central to smart urban planning. These datasets provide the information necessary to perform detailed analyses that help develop targeted urban interventions that increase accessibility in cities as related to the emerging vision of the 15 Minute City. This study discusses the need for such data by performing a comparative urban accessibility analysis of two university campuses and their surrounding urban areas, here defined as the Stanford District, located in the San Francisco Bay Area in the United States, and Distrito Tec in Monterrey, Mexico. The open-source tool Urban Mobility Accessibility Computer (UrMoAC) is used to assess accessibility measures in each district using available data. UrMoAC calculates distances and average travel times from block groups to major destinations using different transport modes considering the morphology of the city, which makes this study transferable and scalable. The results show that both areas have medium levels of accessibility if cycling is used as the primary mode of transportation. Hence, improving the safety and quality of cycling in both cities emerges as one of the main recommendations from the research. Finally, the results obtained can be used to generate public policies that address the specific needs of each community's urban region based on their accessibility performance.</t>
  </si>
  <si>
    <t>[Lizette Rodriguez-Hernandez, Karen; Narezo-Balzaretti, Jorge; Luisa Gaxiola-Beltran, Ana; Adolfo Ramirez-Moreno, Mauricio; Ambrocio Ramirez-Mendoza, Ricardo; De-Jesus Lozoya-Santos, Jorge] Tecnol Monterrey, Sch Engn &amp; Sci, Eugenio Garza Sada 2501 Sur, Monterrey 64849, Mexico; [Narezo-Balzaretti, Jorge] London Sch Econ &amp; Polit Sci, MSc Reg &amp; Urban Planning Studies, Houghton St, London WC2A 2AE, England; [Perez-Henriquez, Blas Luis] Stanford Univ, Mexico Clean Econ 2050, Stanford, CA 94305 USA; [Krajzewicz, Daniel] Inst Transport Res, German Aerosp Ctr, Rudower Chaussee 7, D-12489 Berlin, Germany</t>
  </si>
  <si>
    <t>Tecnologico de Monterrey; University of London; London School Economics &amp; Political Science; Stanford University; Helmholtz Association; German Aerospace Centre (DLR)</t>
  </si>
  <si>
    <t>Ramírez-Moreno, MA (corresponding author), Tecnol Monterrey, Sch Engn &amp; Sci, Eugenio Garza Sada 2501 Sur, Monterrey 64849, Mexico.</t>
  </si>
  <si>
    <t>mauricio.ramirezm@tec.mx</t>
  </si>
  <si>
    <t>; Ramírez-Moreno, Mauricio/IQT-5926-2023; Ramirez-Mendoza, Ricardo/I-4584-2015; Lozoya-Santos, Jorge/I-2435-2019</t>
  </si>
  <si>
    <t>Rodríguez-Hernández, Karen L/0000-0001-8031-8761; PEREZ HENRIQUEZ, Blas/0000-0003-1975-7487; Ramirez-Mendoza, Ricardo A/0000-0002-5122-507X; Lozoya-Santos, Jorge de Jesús/0000-0001-5536-1426; Gaxiola Beltrán, Ana Luisa/0000-0002-2637-9915; Ramírez-Moreno, Mauricio A/0000-0003-0306-2971; Krajzewicz, Daniel/0000-0003-1045-8800; Narezo Balzaretti, Jorge/0000-0001-7258-4242;</t>
  </si>
  <si>
    <t>CampusCity Initiative of the Tecnologico de Monterrey; Fundacion FEMSA</t>
  </si>
  <si>
    <t>This research received funding by the CampusCity Initiative of the Tecnologico de Monterrey. CampusCity Initiative is funded by Fundacion FEMSA. Fundacion FEMSA had no role in study design, data collection, and analysis, decision to publish, nor preparation of the manuscript.</t>
  </si>
  <si>
    <t>10.3390/app122312267</t>
  </si>
  <si>
    <t>6W4TU</t>
  </si>
  <si>
    <t>WOS:000895723200001</t>
  </si>
  <si>
    <t>Catalbas, MC; Kocak, B; Yenipinar, B</t>
  </si>
  <si>
    <t>Catalbas, Mehmet Cem; Kocak, Belgin; Yenipinar, Burak</t>
  </si>
  <si>
    <t>Analysis of photovoltaic-green roofs in OSTIM industrial zone</t>
  </si>
  <si>
    <t>Green roof; Solar energy; Renewable energy; Industrial zone; Carbon emission; Life cycle CO2 emissions</t>
  </si>
  <si>
    <t>COST-ANALYSIS; SOLAR-CELLS; PV PANELS; PERFORMANCE; BENEFITS; SYSTEMS; EFFICIENCY; TECHNOLOGIES; LIMITATIONS; MITIGATION</t>
  </si>
  <si>
    <t>In the current century, climate change, air pollution, and the depletion of energy resources are big threats to our society, especially in urban areas. It is an inevitable fact that we need to develop the green building concept and produce innovative solutions in our quest to design structures that are compatible with nature, sustainable, environmentally friendly, aesthetic and use natural resources efficiently. Roofs are the most efficient and promising building surfaces for the combination of photovoltaic panel applications and green roofs considering their locations and inclination angles. This research focuses on how carbon emission can be reduced via both green roofs and solar energy while producing electricity in OSTIM, one of Turkey's most prominent industrial zones located in the capital. The longterm detailed analysis of photovoltaic-green roof application in terms of economics and carbon emission is discussed. Although the rooftop option of a combination of solar panels and a green roof design costs higher than a standard photovoltaic system, it opens up new prospects for urban lighting in smart cities with exciting aesthetic effects. This combination of two sustainable features can become a model of green technology and opens up a wide range of research applications. ? 2021 Hydrogen Energy Publications LLC. Published by Elsevier Ltd. All rights reserved.</t>
  </si>
  <si>
    <t>[Catalbas, Mehmet Cem; Kocak, Belgin; Yenipinar, Burak] OSTIM Tech Univ, Dept Elect &amp; Automat Elect Technol, OSTIM, TR-06374 Ankara, Turkey</t>
  </si>
  <si>
    <t>Ostim Technical University</t>
  </si>
  <si>
    <t>Catalbas, MC (corresponding author), OSTIM Tech Univ, Dept Elect &amp; Automat Elect Technol, OSTIM, TR-06374 Ankara, Turkey.</t>
  </si>
  <si>
    <t>cem.catalbas@ostimteknik.edu.tr; belgin.kocak@ostimteknik.edu.tr; burak.yenipinar@ostimteknik.edu.tr</t>
  </si>
  <si>
    <t>YENİPINAR, Burak/AAN-1608-2020; Catalbas, Mehmet/E-3629-2016; Kocak, Belgin/U-9681-2017</t>
  </si>
  <si>
    <t>Catalbas, Mehmet Cem/0000-0002-9291-1180</t>
  </si>
  <si>
    <t>APR 21</t>
  </si>
  <si>
    <t>10.1016/j.ijhydene.2021.01.205</t>
  </si>
  <si>
    <t>RM0CC</t>
  </si>
  <si>
    <t>WOS:000639329100006</t>
  </si>
  <si>
    <t>Ranieri, L; Digiesi, S; Silvestri, B; Roccotelli, M</t>
  </si>
  <si>
    <t>Ranieri, Luigi; Digiesi, Salvatore; Silvestri, Bartolomeo; Roccotelli, Michele</t>
  </si>
  <si>
    <t>A Review of Last Mile Logistics Innovations in an Externalities Cost Reduction Vision</t>
  </si>
  <si>
    <t>urban logistics; last mile delivery; smart cities; transport externalities; Systematic Literature Review (SLR)</t>
  </si>
  <si>
    <t>VEHICLE-ROUTING PROBLEM; FREIGHT TRANSPORT; SMART CITIES; TIME-WINDOWS; DELIVERY; COMPETITIVENESS; EVALUATE; OPTIONS; WASTE; MODEL</t>
  </si>
  <si>
    <t>In this paper, a review of the recent scientific literature contributions on innovative strategies for last mile logistics, focusing on externalities cost reduction, is presented. Transport is causing problems in urban areas, in particular in freight transport: modern cities need solutions to reduce externalities costs such as congestion, pollution and others, which have increased in the last few years, especially due to the growth of goods delivery. Online sales and globalization lead to new trends in freight transport, and moreover, a larger quantity of goods is expected to be delivered in the next future. In this context, most of the delivered goods end up in the city centers. Last mile logistics is the least efficient stage of the supply chain and comprises up to 28% of the total delivery cost. Therefore, the improvement of last mile logistics and a significant externalities reduction are very important challenges for researchers. New technologies and transport means, innovative techniques and organizational strategies allow handling in a more effective way the last mile delivery in urban areas. Based on the Systematic Literature Review (SLR) method, recent papers that significantly contributed, with original proposals, to the reduction of externalities in urban logistics are identified and analyzed in this work. Furthermore, a classification of the papers dealing with the externality reduction problem is presented. It is consistent with a general formulation proposed to evaluate external costs in urban area. The innovative contributions are classified into five main categories: innovative vehicles, proximity stations or points, collaborative and cooperative urban logistics, optimization of transport management and routing, innovations in public policies and infrastructures. The new paradigm of smart logistics is based on the combination of these concepts and on the proposed innovations.</t>
  </si>
  <si>
    <t>[Ranieri, Luigi] Univ Salento, Dept Innovat &amp; Engn, I-73100 Lecce, Italy; [Digiesi, Salvatore; Silvestri, Bartolomeo] Politecn Bari, Dept Mech Math &amp; Management, I-70126 Bari, Italy; [Roccotelli, Michele] Politecn Bari, Dept Elect &amp; Informat Engn, I-70126 Bari, Italy</t>
  </si>
  <si>
    <t>University of Salento; Politecnico di Bari; Politecnico di Bari</t>
  </si>
  <si>
    <t>Digiesi, S (corresponding author), Politecn Bari, Dept Mech Math &amp; Management, I-70126 Bari, Italy.</t>
  </si>
  <si>
    <t>lugi.ranieri@unisalento.it; salvatore.digiesi@poliba.it; bartolomeo.silvestri@poliba.it; michele.roccotelli@poliba.it</t>
  </si>
  <si>
    <t>; Digiesi, Salvatore/C-2895-2015; Silvestri, Bartolomeo/JOZ-2848-2023; ranieri, luigi/ISR-9415-2023</t>
  </si>
  <si>
    <t>Silvestri, Bartolomeo/0000-0001-8947-8016; Digiesi, Salvatore/0000-0001-8678-4771; Roccotelli, Michele/0000-0003-3045-8920; RANIERI, LUIGI/0000-0002-3072-2624</t>
  </si>
  <si>
    <t>10.3390/su10030782</t>
  </si>
  <si>
    <t>GA8DA</t>
  </si>
  <si>
    <t>WOS:000428567100209</t>
  </si>
  <si>
    <t>Chehri, A; Sharma, T; Debaque, B; Duclos, N; Fortier, P</t>
  </si>
  <si>
    <t>Littlewood, JR; Howlett, RJ; Jain, LC</t>
  </si>
  <si>
    <t>Chehri, Abdellah; Sharma, Teena; Debaque, Benoit; Duclos, Nicolas; Fortier, Paul</t>
  </si>
  <si>
    <t>Transport Systems for Smarter Cities, a Practical Case Applied to Traffic Management in the City of Montreal</t>
  </si>
  <si>
    <t>SUSTAINABILITY IN ENERGY AND BUILDINGS 2021</t>
  </si>
  <si>
    <t>13th International Conference on Sustainability and Energy in Buildings (SEB)</t>
  </si>
  <si>
    <t>SEP 15-17, 2021</t>
  </si>
  <si>
    <t>The concept of a 'smart city' emerged from studies in urbanism, combined with information and communications technologies (ICTs). Several cities worldwide are trying to build intelligence into existing systems to increase the efficiency of transport management. Transport management systems and software tools have effectively curtail traffic woes around some megacities of the world. Today, geospatial data and mapping are among the technologies that cities use the most. This article focuses on the transport aspect of smart cities to respond to smart cities' issues. To understand a little better the applications of a smart city on transport, we present a case study about the city of Montreal in Quebec, Canada.</t>
  </si>
  <si>
    <t>[Chehri, Abdellah; Sharma, Teena] Univ Quebec Chicoutimi, Saguenay, PQ G72B, Canada; [Debaque, Benoit] Thales Digital Solut TDS, Ottawa, ON, Canada; [Duclos, Nicolas] Thales Res &amp; Technol TRT, Ottawa, ON, Canada; [Fortier, Paul] Univ Laval, Dept ECE, Quebec City, PQ G1V 06, Canada</t>
  </si>
  <si>
    <t>University of Quebec; University of Quebec Chicoutimi; Laval University</t>
  </si>
  <si>
    <t>Chehri, A (corresponding author), Univ Quebec Chicoutimi, Saguenay, PQ G72B, Canada.</t>
  </si>
  <si>
    <t>achehri@uqac.ca; teena.sharma1@uqac.ca; benoit.DEBAQUE@ca.thalesgroup.com; nicolas.duclos-hindie@thalesdigitalsolutions.ca; fortier@gel.ulaval.ca</t>
  </si>
  <si>
    <t>; Chehri, Abdellah/X-9516-2019</t>
  </si>
  <si>
    <t>Fortier, Paul/0000-0001-7368-9484;</t>
  </si>
  <si>
    <t>978-981-16-6269-0; 978-981-16-6268-3</t>
  </si>
  <si>
    <t>10.1007/978-981-16-6269-0_22</t>
  </si>
  <si>
    <t>Computer Science, Artificial Intelligence; Construction &amp; Building Technology; Green &amp; Sustainable Science &amp; Technology</t>
  </si>
  <si>
    <t>Computer Science; Construction &amp; Building Technology; Science &amp; Technology - Other Topics</t>
  </si>
  <si>
    <t>BU0BC</t>
  </si>
  <si>
    <t>WOS:000866531300022</t>
  </si>
  <si>
    <t>Morella, P; Lambán, MP; Royo, J; Sánchez, JC</t>
  </si>
  <si>
    <t>Morella, Paula; Pilar Lamban, Maria; Royo, Jesus; Carlos Sanchez, Juan</t>
  </si>
  <si>
    <t>Evaluating the impact of new trends in urban freight transportation attending the triple bottom line: A case study</t>
  </si>
  <si>
    <t>Urban Freight Transportation; Triple Bottom Line; Key Performance Indicators; Urban Consolidation Centers; Sustainability</t>
  </si>
  <si>
    <t>CITY LOGISTICS; CONSOLIDATION; PERSPECTIVE; DELIVERY; MOBILITY; GREEN</t>
  </si>
  <si>
    <t>Urban freight transportation is considered one of the activities that has the greatest impact on urban areas in terms of sustainability and livability, therefore, new trends are emerging to reduce its impacts. However, there is a lack of methodologies to evaluate and validate the implementation of these trends. In this context, the proposed methodology presents the implementation of three KPIs attending the triple bottom line approach, which look at impacts from the social, environmental, and economic perspectives. This methodology is tested on a case study and the results conclude that the implementation of new trends in UFT can reduce its impact in urban areas.</t>
  </si>
  <si>
    <t>[Morella, Paula; Pilar Lamban, Maria; Royo, Jesus] Univ Zaragoza, Design &amp; Mfg Engn Dept, Zaragoza 50018, Spain; [Morella, Paula; Carlos Sanchez, Juan] Basque Res &amp; Technol Alliance BRTA, TECNALIA, Zaragoza, Spain</t>
  </si>
  <si>
    <t>University of Zaragoza</t>
  </si>
  <si>
    <t>Morella, P (corresponding author), Univ Zaragoza, Design &amp; Mfg Engn Dept, Zaragoza 50018, Spain.</t>
  </si>
  <si>
    <t>paula.morella@tecnalia.com; plamban@unizar.es; jaroyo@unizar.es; jcarlos.sanchez@tecnalia.com</t>
  </si>
  <si>
    <t>; SANCHEZ CATALAN, JUAN CARLOS/HQZ-6868-2023; , Pilar Lamban/AGZ-3208-2022; Morella Avinzano, Paula/KHZ-5343-2024</t>
  </si>
  <si>
    <t>Morella Avinzano, Paula/0000-0002-2908-8697; Sanchez Catalan, Juan Carlos/0000-0002-0321-7905; Royo Sánchez, Jesús Antonio/0000-0002-0692-5982; Lambán, Maria Pilar/0000-0003-1401-6495;</t>
  </si>
  <si>
    <t>10.1016/j.cie.2022.108756</t>
  </si>
  <si>
    <t>5Z3NW</t>
  </si>
  <si>
    <t>WOS:000879883800007</t>
  </si>
  <si>
    <t>Koop, SHA; van Leeuwen, CJ</t>
  </si>
  <si>
    <t>Koop, S. H. A.; van Leeuwen, C. J.</t>
  </si>
  <si>
    <t>The challenges of water, waste and climate change in cities</t>
  </si>
  <si>
    <t>Water governance capacities; Sustainability transitions; Urban Agenda; Smart cities; City Blueprints; Circular economy; HABITAT III</t>
  </si>
  <si>
    <t>CITY BLUEPRINT; RESOURCES MANAGEMENT; 24 INDICATORS; SUSTAINABILITY; ENVIRONMENT; ECOLOGY</t>
  </si>
  <si>
    <t>Cities play a prominent role in our economic development as more than 80 % of the gross world product (GWP) comes from cities. Only 600 urban areas with just 20 % of the world population generate 60 % of the GWP. Rapid urbanization, climate change, inadequate maintenance of water and wastewater infrastructures and poor solid waste management may lead to flooding, water scarcity, water pollution, adverse health effects and rehabilitation costs that may overwhelm the resilience of cities. These megatrends pose urgent challenges in cities as the cost of inaction is high. We present an overview about population growth, urbanization, water, waste, climate change, water governance and transitions. Against this background, we discuss the categorization of cities based on our baseline assessments, i.e. our City Blueprint research on 45 municipalities and regions predominantly in Europe. With this bias towards Europe in mind, the challenges can be discussed globally by clustering cities into distinct categories of sustainability and by providing additional data and information from global regions. We distinguish five categories of sustainability: (1) cities lacking basic water services, (2) wasteful cities, (3) water-efficient cities, (4) resource-efficient and adaptive cities and (5) water-wise cities. Many cities in Western Europe belong to categories 3 and 4. Some cities in Eastern Europe and the few cities we have assessed in Latin America, Asia and Africa can be categorized as cities lacking basic water services. Lack of water infrastructures or obsolete infrastructures, solid waste management and climate adaptation are priorities. It is concluded that cities require a long-term framing of their sectoral challenges into a proactive and coherent Urban Agenda to maximize the co-benefits of adaptation and to minimize the cost. Furthermore, regional platforms of cities are needed to enhance city-to-city learning and to improve governance capacities necessary to accelerate effective and efficient transitions towards water-wise cities. These learning alliances are needed as the time window to solve the global water governance crisis is narrow and rapidly closing. The water sector can play an important role but needs to reframe and refocus radically.</t>
  </si>
  <si>
    <t>[Koop, S. H. A.; van Leeuwen, C. J.] KWR Watercycle Res Inst, Groningenhaven 7, NL-3433 PE Nieuwegein, Netherlands; [Koop, S. H. A.; van Leeuwen, C. J.] Univ Utrecht, Copernicus Inst Sustainable Dev &amp; Innovat, Heidelberglaan 2, NL-3584 CS Utrecht, Netherlands</t>
  </si>
  <si>
    <t>KWR Watercycle Research Institute; Utrecht University</t>
  </si>
  <si>
    <t>van Leeuwen, CJ (corresponding author), KWR Watercycle Res Inst, Groningenhaven 7, NL-3433 PE Nieuwegein, Netherlands.;van Leeuwen, CJ (corresponding author), Univ Utrecht, Copernicus Inst Sustainable Dev &amp; Innovat, Heidelberglaan 2, NL-3584 CS Utrecht, Netherlands.</t>
  </si>
  <si>
    <t>Kees.van.Leeuwen@kwrwater.nl</t>
  </si>
  <si>
    <t>van Leeuwen, Kees/S-5815-2016; van Leeuwen, Cornelis/S-5815-2016; Koop, Steven/J-8116-2019</t>
  </si>
  <si>
    <t>van Leeuwen, Kees/0000-0003-1605-4268; Koop, Steven/0000-0001-9906-3746</t>
  </si>
  <si>
    <t>KWR Watercycle Research Institute; European Commission [265122, 642354]; H2020 Societal Challenges Programme [642354] Funding Source: H2020 Societal Challenges Programme</t>
  </si>
  <si>
    <t>KWR Watercycle Research Institute; European Commission(European Union (EU)European Commission Joint Research Centre); H2020 Societal Challenges Programme(Horizon 2020European Union (EU)H2020 Societal Challenges Programme)</t>
  </si>
  <si>
    <t>This paper provides a broad overview of water, waste and climate change in cities. It is an update of a previous paper on water in the city at the University of Utrecht (Van Leeuwen 2014). Our work has been financed by KWR Watercycle Research Institute in the context of Watershare (R): sharing knowledge in the water sector (http://www.watershare.eu/). It is a contribution to the European Innovation Partnership on Water of the European Commission and more specifically to the City Blueprint Action Group (European Commission 2015b), coordinated by both Dr. Richard Elelman of Fundacio CTM Centre Tecnologic and NETWERC H2O and Prof. Dr. C.J. van Leeuwen (KWR Watercycle Research Institute). The authors would like to thank Prof. dr. Wim van Viersen, Prof. dr. Annemarie van Wezel, Ir. MBA Idsart Dijkstra and Ir. Jos Frijns (KWR Watercycle Research Institute, the Netherlands), as well as Prof. Dr. Peter Driessen (Utrecht University, the Netherlands) for their practical and stimulating contributions. Last but not least, we would like to thank Richard Elelman, the members of the City Blueprint Action Group, and all partners of the EU BlueSCities project and all cities involved, for their dedication, voluntary contributions and discussions related to the work described in this manuscript. The European Commission is acknowledged for funding TRUST in the 7th Framework Programme under Grant Agreement No. 265122 and for BlueSCities in H2020-Water under Grant Agreement No. 642354.</t>
  </si>
  <si>
    <t>10.1007/s10668-016-9760-4</t>
  </si>
  <si>
    <t>EN6JD</t>
  </si>
  <si>
    <t>WOS:000396109400003</t>
  </si>
  <si>
    <t>Assmann, T; Lang, S; Müller, F; Schenk, M</t>
  </si>
  <si>
    <t>Assmann, Tom; Lang, Sebastian; Mueller, Florian; Schenk, Michael</t>
  </si>
  <si>
    <t>Impact Assessment Model for the Implementation of Cargo Bike Transshipment Points in Urban Districts</t>
  </si>
  <si>
    <t>urban logistics; cargo bike; urban transshipment point; city logistics; urban planning; urban freight</t>
  </si>
  <si>
    <t>CITY LOGISTICS; TRANSPORT; LOCATION; FRAMEWORK; VEHICLE; CYCLES; FLEET</t>
  </si>
  <si>
    <t>Mitigating climate change and improving urban livability is prompting cities to improve sustainability of urban transportation and logistics. Cargo bikes, in combination with urban transshipment points, are gaining momentum as a green last mile alternative. Although a wide body of research proves their viability in dense urban areas, knowledge about planning urban transshipment points is very limited. This also entails the siting of such facilities and the assessment of effects on emissions. This study therefore presents a first quantitative scenario-based model that assesses the impacts on a district. It examines different strategies for siting urban transshipment points in a single district and its effect on traffic, the carbon footprint, and air quality to give strategic insights where to create candidate locations for such facilities. Our result contributes to knowledge of planning urban transshipment facilities and assessing the impact of different configurations. The findings demonstrated that the use of cargo bikes to make courier, express, and parcel (CEP) deliveries in urban districts could reduce greenhouse gas (GHG), particulate matter (PM10), and nitrogen oxides (NOx) emissions significantly. However, the choice of vehicles completing inbound and outbound processes and the strategies for siting urban transshipment points display widely differing and even conflicting potential to reduce emissions.</t>
  </si>
  <si>
    <t>[Assmann, Tom; Schenk, Michael] Otto von Guericke Univ, Inst Logist &amp; Mat Handling Syst, D-39106 Magdeburg, Germany; [Lang, Sebastian] Fraunhofer Inst Factory Operat &amp; Automat, D-39106 Magdeburg, Germany; [Mueller, Florian] Otto von Guericke Univ, Inst Psychol, Univ Pl 2, D-39106 Magdeburg, Germany</t>
  </si>
  <si>
    <t>Otto von Guericke University; Fraunhofer Gesellschaft; Fraunhofer Germany; Fraunhofer Factory Operation &amp; Automation; Otto von Guericke University</t>
  </si>
  <si>
    <t>Assmann, T (corresponding author), Otto von Guericke Univ, Inst Logist &amp; Mat Handling Syst, D-39106 Magdeburg, Germany.</t>
  </si>
  <si>
    <t>tom.assmann@ovgu.de; sebastian.lang@iff.fraunhofer.de; florianjy.mueller@posteo.de; michael.schenk@ovgu.de</t>
  </si>
  <si>
    <t>Müller, Florian/KHC-8868-2024</t>
  </si>
  <si>
    <t>German Federal Ministry of Transport and Digital Infrastructure within the National Cycling Plan 2020 (NRVP)</t>
  </si>
  <si>
    <t>This work is part of the project Lastenraddepot, which is funded by the German Federal Ministry of Transport and Digital Infrastructure within the National Cycling Plan 2020 (NRVP).</t>
  </si>
  <si>
    <t>10.3390/su12104082</t>
  </si>
  <si>
    <t>MC6VG</t>
  </si>
  <si>
    <t>WOS:000543421400140</t>
  </si>
  <si>
    <t>Pan, SL; Zhou, W; Piramuthu, S; Giannikas, V; Chen, C</t>
  </si>
  <si>
    <t>Pan, Shenle; Zhou, Wei; Piramuthu, Selwyn; Giannikas, Vaggelis; Chen, Chao</t>
  </si>
  <si>
    <t>Smart city for sustainable urban freight logistics</t>
  </si>
  <si>
    <t>City logistics; urban freight; smart city; framework; sustainability; disruptive technology; data-driven solutions; innovation; IoT; digital twin</t>
  </si>
  <si>
    <t>Sustainability has become an important objective of city logistics management. Smart city, being a technology and data driven paradigm for a city's sustainable development, has entailed new research opportunities from different perspectives. It is foreseeable that smart city will keep evolving in the domain of city logistics, which plays a key role in this game changing evolution. Recent research in this field is characterised by interdisciplinary approaches and disruptive innovations. We review the state-of-the-art of this general area and conduct a bibliometric analysis. We conclude with a new conceptual framework of smart city for sustainable urban freight logistics and the relevant key perspectives.</t>
  </si>
  <si>
    <t>[Pan, Shenle] PSL Univ, MINES ParisTech, CNRS, UMR 921760,Ctr Gest Sci,I3, Blvd St Michel, F-75006 Paris, France; [Zhou, Wei] ESCP Europe, Informat &amp; Operat Management, Paris, France; [Zhou, Wei] Shanghai Jiao Tong Univ, Sch Naval Architecture Ocean &amp; Civil Engn, Transportat Engn, Shanghai, Peoples R China; [Piramuthu, Selwyn] Univ Florida, Informat Syst &amp; Operat Management, Gainesville, FL USA; [Giannikas, Vaggelis] Univ Bath, Sch Management, Bath, Avon, England; [Chen, Chao] Chongqing Univ, Coll Comp Sci, Chongqing, Peoples R China</t>
  </si>
  <si>
    <t>Universite PSL; MINES ParisTech; Centre National de la Recherche Scientifique (CNRS); heSam Universite; ESCP Business School; Shanghai Jiao Tong University; State University System of Florida; University of Florida; University of Bath; Chongqing University</t>
  </si>
  <si>
    <t>Pan, SL (corresponding author), PSL Univ, MINES ParisTech, CNRS, UMR 921760,Ctr Gest Sci,I3, Blvd St Michel, F-75006 Paris, France.</t>
  </si>
  <si>
    <t>shenle.pan@mines-paristech.fr</t>
  </si>
  <si>
    <t>Giannikas, Vaggelis/AAZ-5781-2020; Zhou, Wei/U-6509-2019; Pan, Shenle/D-6571-2018</t>
  </si>
  <si>
    <t>Giannikas, Vaggelis/0000-0002-5762-5488; Pan, Shenle/0000-0002-6568-3709; Zhou, Wei/0000-0002-9965-9870</t>
  </si>
  <si>
    <t>APR 3</t>
  </si>
  <si>
    <t>10.1080/00207543.2021.1893970</t>
  </si>
  <si>
    <t>RF5YB</t>
  </si>
  <si>
    <t>WOS:000634913100007</t>
  </si>
  <si>
    <t>Lenfers, UA; Ahmady-Moghaddam, N; Glake, D; Ocker, F; Osterholz, D; Ströbele, J; Clemen, T</t>
  </si>
  <si>
    <t>Lenfers, Ulfia A.; Ahmady-Moghaddam, Nima; Glake, Daniel; Ocker, Florian; Osterholz, Daniel; Stroebele, Jonathan; Clemen, Thomas</t>
  </si>
  <si>
    <t>Improving Model Predictions-Integration of Real-Time Sensor Data into a Running Simulation of an Agent-Based Model</t>
  </si>
  <si>
    <t>agent-based model; model development; IoT sensors; smart cities; real-time data; MARS; simulation correction; decision support systems; urban planning; multimodal travel</t>
  </si>
  <si>
    <t>The current trend towards living in big cities contributes to an increased demand for efficient and sustainable space and resource allocation in urban environments. This leads to enormous pressure for resource minimization in city planning. One pillar of efficient city management is a smart intermodal traffic system. Planning and organizing the various kinds of modes of transport in a complex and dynamically adaptive system such as a city is inherently challenging. By deliberately simplifying reality, models can help decision-makers shape the traffic systems of tomorrow. Meanwhile, Smart City initiatives are investing in sensors to observe and manage many kinds of urban resources, making up a part of the Internet of Things (IoT) that produces massive amounts of data relevant for urban planning and monitoring. We use these new data sources of smart cities by integrating real-time data of IoT sensors in an ongoing simulation. In this sense, the model is a digital twin of its real-world counterpart, being augmented with real-world data. To our knowledge, this is a novel instance of real-time correction during simulation of an agent-based model. The process of creating a valid mapping between model components and real-world objects posed several challenges and offered valuable insights, particularly when studying the interaction between humans and their environment. As a proof-of-concept for our implementation, we designed a showcase with bike rental stations in Hamburg-Harburg, a southern district of Hamburg, Germany. Our objective was to investigate the concept of real-time data correction in agent-based modeling, which we consider to hold great potential for improving the predictive capabilities of models. In particular, we hope that the chosen proof-of-concept informs the ongoing politically supported trends in mobility-away from individual and private transport and towards-in Hamburg.</t>
  </si>
  <si>
    <t>[Lenfers, Ulfia A.; Ahmady-Moghaddam, Nima; Glake, Daniel; Ocker, Florian; Osterholz, Daniel; Stroebele, Jonathan; Clemen, Thomas] Hamburg Univ Appl Sci, Dept Comp Sci, Berliner Tor 7, D-20099 Hamburg, Germany</t>
  </si>
  <si>
    <t>Hochschule Angewandte Wissenschaft Hamburg</t>
  </si>
  <si>
    <t>Lenfers, UA (corresponding author), Hamburg Univ Appl Sci, Dept Comp Sci, Berliner Tor 7, D-20099 Hamburg, Germany.</t>
  </si>
  <si>
    <t>ulfia.lenfers@haw-hamburg.de; nima.ahmady-moghaddam@haw-hamburg.de; daniel.glake@haw-hamburg.de; florian.ocker@haw-hamburg.de; daniel.osterholz@haw-hamburg.de; jonathan.stroebele@haw-hamburg.de; thomas.clemen@haw-hamburg.de</t>
  </si>
  <si>
    <t>; Clemen, Thomas/AAH-8568-2021</t>
  </si>
  <si>
    <t>Ahmady-Moghaddam, Nima/0000-0002-9946-1469; Clemen, Thomas/0000-0002-8200-5141; Clemen, Ulfia Annette/0000-0002-4425-7241</t>
  </si>
  <si>
    <t>City of Hamburg</t>
  </si>
  <si>
    <t>This research was funded by the City of Hamburg, ahoi.digital-the alliance of Hamburg universities for computer science (SmartOpenHamburg project).</t>
  </si>
  <si>
    <t>10.3390/su13137000</t>
  </si>
  <si>
    <t>TG2MG</t>
  </si>
  <si>
    <t>WOS:000671243200001</t>
  </si>
  <si>
    <t>Al-Rahamneh, A; Astrain, JJ; Villadangos, J; Klaina, H; Guembe, IP; Lopez-Iturri, P; Falcone, F</t>
  </si>
  <si>
    <t>Al-Rahamneh, Anas; Javier Astrain, Jose; Villadangos, Jesus; Klaina, Hicham; Picallo Guembe, Imanol; Lopez-Iturri, Peio; Falcone, Francisco</t>
  </si>
  <si>
    <t>Enabling Customizable Services for Multimodal Smart Mobility With City-Platforms</t>
  </si>
  <si>
    <t>Urban areas; Smart cities; Security; Interoperability; Internet of Things; Europe; Distributed databases; Smart city platform; Internet of Things; urban mobility; multimodal transportation; smart mobility</t>
  </si>
  <si>
    <t>INTERNET; THINGS; INTEROPERABILITY; SYSTEM; CITIES; ARCHITECTURE; CITIZENS; PRIVACY; WALKING</t>
  </si>
  <si>
    <t>In the last decades, the cities' capacity for generating digital information has grown exponentially. In this context, the successful implementation of smart cities' concept depends on the current possibility of handling the significant volumes of sensed data. This is particularly notorious in the case of urban mobility. Researchers in the field of urban planning have shown a great interest in urban mobility problems, proposing different route recommendation services towards making it easier and safer to move around the city. This paper addresses the development of an urban data platform and how to obtain and integrate information from sensors and other data sources to provide aggregated and intelligent views of raw data to support urban mobility. With the aim of evaluating the efficiency of the developed platform, we present an intelligent urban mobility solution, where the context-awareness, user preferences, and environmental factors play a significant role in the process of route planning. Finally, our work provides an experiment to assess different long-range wireless communication technologies to enable its implementation within an urban environment.</t>
  </si>
  <si>
    <t>[Al-Rahamneh, Anas; Javier Astrain, Jose] Univ Publ Navarra, Stat Comp Sci &amp; Math Dept, Pamplona 31006, Spain; [Al-Rahamneh, Anas; Javier Astrain, Jose; Lopez-Iturri, Peio] Univ Publ Navarra, Inst Smart Cities, Pamplona 31006, Spain; [Villadangos, Jesus; Picallo Guembe, Imanol; Lopez-Iturri, Peio; Falcone, Francisco] Univ Publ Navarra, Elect Elect &amp; Commun Engn Dept, Pamplona 31006, Spain; [Klaina, Hicham] Univ Vigo, Dept Signal Theory &amp; Commun, Vigo 36310, Spain</t>
  </si>
  <si>
    <t>Universidad Publica de Navarra; Universidad Publica de Navarra; Universidad Publica de Navarra; Universidade de Vigo</t>
  </si>
  <si>
    <t>Falcone, F (corresponding author), Univ Publ Navarra, Elect Elect &amp; Commun Engn Dept, Pamplona 31006, Spain.</t>
  </si>
  <si>
    <t>francisco.falcone@unavarra.es</t>
  </si>
  <si>
    <t>Astrain, Jose Javier/F-6418-2015; Falcone, Francisco/B-9456-2012; Villadangos, Jesus/AFW-4492-2022; Lopez-Iturri, Peio/H-8681-2019; Villadangos, Jesus/F-8027-2016; Astrain Escola, Jose Javier/F-6418-2015; Picallo, Imanol/AAN-5868-2020; Klaina, Hicham/L-5673-2019; Klaina, Hicham/B-6270-2018</t>
  </si>
  <si>
    <t>Picallo, Imanol/0000-0003-2109-4731; Falcone, Francisco/0000-0002-4911-9753; Lopez Iturri, Peio/0000-0001-8411-1928; Villadangos, Jesus/0000-0002-7341-9529; Al-Rahamneh, Anas/0000-0003-3554-6604; Astrain Escola, Jose Javier/0000-0002-7792-6317; Klaina, Hicham/0000-0001-7404-6413</t>
  </si>
  <si>
    <t>European Union's Horizon 2020 Research and Innovation Programme (Stardust-Holistic and Integrated Urban Model for Smart Cities) [774094]; Ministerio de Ciencia, Innovacion y Universidades, Gobierno de Espana (Agencia Estatal de Investigacion, Fondo Europeo de Desarrollo Regional-FEDER-, European Union) [RTI2018-095499-B-C31]; European Commission through the STARDUST Project; Pamplona City Council; Mancomunidad de la Comarca de Pamplona (MCP); National Renewable Energy Centre of Spain (CENER); Sociedad Iberica de Construcciones Electricas, S. A. (SICE); Asociacion Navarra de Informatica Municipal (ANIMSA); Government of Navarre; H2020 Societal Challenges Programme [774094] Funding Source: H2020 Societal Challenges Programme</t>
  </si>
  <si>
    <t>European Union's Horizon 2020 Research and Innovation Programme (Stardust-Holistic and Integrated Urban Model for Smart Cities); Ministerio de Ciencia, Innovacion y Universidades, Gobierno de Espana (Agencia Estatal de Investigacion, Fondo Europeo de Desarrollo Regional-FEDER-, European Union); European Commission through the STARDUST Project; Pamplona City Council; Mancomunidad de la Comarca de Pamplona (MCP); National Renewable Energy Centre of Spain (CENER); Sociedad Iberica de Construcciones Electricas, S. A. (SICE); Asociacion Navarra de Informatica Municipal (ANIMSA); Government of Navarre; H2020 Societal Challenges Programme(Horizon 2020European Union (EU)H2020 Societal Challenges Programme)</t>
  </si>
  <si>
    <t>This work was supported in part by the European Union's Horizon 2020 Research and Innovation Programme (Stardust-Holistic and Integrated Urban Model for Smart Cities) under Grant 774094, in part by the Ministerio de Ciencia, Innovacion y Universidades, Gobierno de Espana (Agencia Estatal de Investigacion, Fondo Europeo de Desarrollo Regional-FEDER-, European Union) under Grant RTI2018-095499-B-C31 IoTrain, and in part by the European Commission through the STARDUST Project, and specifically the local partners involved such as the Pamplona City Council, Mancomunidad de la Comarca de Pamplona (MCP), National Renewable Energy Centre of Spain (CENER), Sociedad Iberica de Construcciones Electricas, S. A. (SICE), Asociacion Navarra de Informatica Municipal (ANIMSA), and Government of Navarre.</t>
  </si>
  <si>
    <t>10.1109/ACCESS.2021.3065412</t>
  </si>
  <si>
    <t>RD7CL</t>
  </si>
  <si>
    <t>WOS:000633631000001</t>
  </si>
  <si>
    <t>El Moussaoui, AE; Benbba, B; Jaegler, A; El Andaloussi, Z; El Amrani, L</t>
  </si>
  <si>
    <t>El Moussaoui, Alaa Eddine; Benbba, Brahim; Jaegler, Anicia; El Andaloussi, Zineb; El Amrani, Lamiae</t>
  </si>
  <si>
    <t>Last Mile Logistics: Challenges &amp; Improvement Ways</t>
  </si>
  <si>
    <t>Urban logistics; last mile; sustainability; last mile challenges; improvement ways</t>
  </si>
  <si>
    <t>CITY LOGISTICS; HOME DELIVERY; URBAN AREAS; TRANSPORT; EFFICIENT; FULFILLMENT; MODEL</t>
  </si>
  <si>
    <t>The aim of our paper is to identify the major challenges of last mile logistics, as well as the ways that can improve it. The results indicate that the urban freight flow has a trend of regular growth. The challenges of last mile logistics mentioned in the article were classified into four categories: infrastructure, logistics costs, technology and last mile logistics management. Similarly, the proposed ways of improvement were examined under the pillars of sustainable development, social, economic and environmental. Finally, we have contributed to highlighting future research that allows researchers, practitioners and professionals to understand last mile logistics as a discipline and to draw out models of last mile distribution in order to build the urban logistics of tomorrow.</t>
  </si>
  <si>
    <t>[El Moussaoui, Alaa Eddine; Benbba, Brahim; El Andaloussi, Zineb] Natl Sch Business Management, Tangier, Morocco; [Jaegler, Anicia] Kedge Business Sch, Paris, France; [El Amrani, Lamiae] FSJES Souissi, Rabat, Morocco</t>
  </si>
  <si>
    <t>Abdelmalek Essaadi University of Tetouan; Kedge Business School</t>
  </si>
  <si>
    <t>El Moussaoui, AE (corresponding author), Natl Sch Business Management, Tangier, Morocco.</t>
  </si>
  <si>
    <t>el.alaaeddine@gmail.com; b.benbba@uae.ac.ma; anicia.jaegler@kedgebs.com; elandaloussi.zineb.doc@gmail.com; el.lamiae@gmail.com</t>
  </si>
  <si>
    <t>jaegler, anicia/H-6965-2019</t>
  </si>
  <si>
    <t>El Moussaoui, Alaa Eddine/0000-0002-5749-7682; Elandaloussi, Zineb/0000-0002-4178-576X</t>
  </si>
  <si>
    <t>10.1109/LOGISTIQUA55056.2022.9938101</t>
  </si>
  <si>
    <t>WOS:000899744300014</t>
  </si>
  <si>
    <t>Chang, JP; Kadry, SN; Krishnamoorthy, S</t>
  </si>
  <si>
    <t>Chang, Jinping; Nimer Kadry, Seifedine; Krishnamoorthy, Sujatha</t>
  </si>
  <si>
    <t>Review and synthesis of Big Data analytics and computing for smart sustainable cities</t>
  </si>
  <si>
    <t>town and country planning; road traffic; data analysis; Big Data; Internet of Things; sustainable development; smart cities; traffic engineering computing; Big Data analytics; smart sustainable cities; urban areas; data analysis; vitality investment funds; smart city usage; IoT; sustainable management analysis; Internet of Things; adaptive heuristic mathematical model; traffic congestion; traffic police; carbon outflows</t>
  </si>
  <si>
    <t>FUTURE; FRAMEWORK</t>
  </si>
  <si>
    <t>There has been a great deal of movement around the idea of Smart City for quite a while. Urban areas are being distinguished as future shrewd urban areas. Hypothetically, at any rate, brilliant urban areas can on a very basic level transform ourselves at numerous levels, the execution of the smart city idea around the globe has been sporadic, the best-case scenario because of a few reasons. Whatever the stage the smart city usage is at internationally, big data, information and the Internet of things (IoT) can drive the execution. Huge information and the IoT are getting down to business with other programming and equipment to lead the vision of a smart city to realisation. Big information can help diminish outflows and cut down contamination. In this study, the adaptive heuristic mathematical model based on traffic congestion has been proposed. Sensors fitted in the streets will gauge the complete traffic at various occasions of multi-day and the all-out emissions. The information can be sent to a focal unit which will organise with the traffic police using sustainable management techniques. Traffic can be overseen or redirected along different, less blocked territories to lessen carbon outflows in a specific territory. Sustainable management analysis has been done based on numerical simulations.</t>
  </si>
  <si>
    <t>[Chang, Jinping] Beijing Union Univ, Coll Management, Dept E Commerce, Beijing 100101, Peoples R China; [Nimer Kadry, Seifedine] Beirut Arab Univ, Beirut 11072809, Lebanon; [Krishnamoorthy, Sujatha] Wenzhou Kean Univ, Wenzhou 325027, Zhejiang, Peoples R China</t>
  </si>
  <si>
    <t>Beijing Union University; Beirut Arab University; Wenzhou-Kean University</t>
  </si>
  <si>
    <t>Chang, JP (corresponding author), Beijing Union Univ, Coll Management, Dept E Commerce, Beijing 100101, Peoples R China.</t>
  </si>
  <si>
    <t>gltjinping@buu.edu.cn</t>
  </si>
  <si>
    <t>Kadry, Seifedine/C-7437-2011; krishnamoorthy, sujatha/Z-5953-2019</t>
  </si>
  <si>
    <t>10.1049/iet-its.2020.0006</t>
  </si>
  <si>
    <t>OU9YV</t>
  </si>
  <si>
    <t>WOS:000591879700003</t>
  </si>
  <si>
    <t>Valença, G; Moura, F; de Sá, AM</t>
  </si>
  <si>
    <t>Valenca, Gabriel; Moura, Filipe; de Sa, Ana Morais</t>
  </si>
  <si>
    <t>Main challenges and opportunities to dynamic road space allocation: From static to dynamic urban designs</t>
  </si>
  <si>
    <t>JOURNAL OF URBAN MOBILITY</t>
  </si>
  <si>
    <t>Dynamic road space allocation; Big data; Smart cities; Intelligent transportation systems; Information and communication technology; Urban planning</t>
  </si>
  <si>
    <t>MOBILITY PATTERNS; TRAVEL DEMAND; SMART CITIES; SOCIAL MEDIA; BUS LANES; BIG; INTERMITTENT; NETWORK; STREETS; CITY</t>
  </si>
  <si>
    <t>Urban planning has focused on reallocating road space from automobile to more sustainable transport modes in many cities worldwide. Mostly in urban areas, road space (from facade to facade) is highly disputed by different urban activities and functions. Nonetheless, there are varying demand periods during the day in which road space is underutilized due to its static design. Underutilized spaces could be used for other mobility or access purposes to improve efficiency. Sensing road space, using big data and transport demand management tools, may characterize different demand patterns, adapt the road space dynamically and, ultimately, promote efficiency in using a scarce resource, such as urban road space. This approach also reinforces short-term flexibility in urban planning, allowing for better responses to unpredictable events. This paper defines the concept of dynamic road space allocation by discussing the previous literature on dynamic allocation of space. We propose a methodological framework and discuss the technological solutions as well as the many challenges of implementing dynamic road space allocation.</t>
  </si>
  <si>
    <t>[Valenca, Gabriel; Moura, Filipe] Univ Lisbon, CERIS, Inst Super Tecn, Ave Rovisco Pais 1, P-1049001 Lisbon, Portugal; [de Sa, Ana Morais] Univ Lisbon, CiTUA, Inst Super Tecn, Ave Rovisco Pais 1, P-1049001 Lisbon, Portugal</t>
  </si>
  <si>
    <t>Valença, G (corresponding author), Univ Lisbon, CERIS, Inst Super Tecn, Ave Rovisco Pais 1, P-1049001 Lisbon, Portugal.</t>
  </si>
  <si>
    <t>gabrielvalenca@tecnico.ulisboa.pt; fmoura@tecnico.ulisboa.pt; ana.morais.sa@tecnico.ulisboa.pt</t>
  </si>
  <si>
    <t>Moura, Filipe/AGF-2175-2022; Costa Valença, Gabriel/ABE-1823-2020; Valença, Gabriel/ABE-1823-2020; Moura, Filipe/I-8085-2012</t>
  </si>
  <si>
    <t>Costa Valença, Gabriel/0000-0002-3684-3005; Morais de Sá, Ana/0000-0003-0591-9369; Moura, Filipe/0000-0001-7749-8490</t>
  </si>
  <si>
    <t>Doctoral Training Network</t>
  </si>
  <si>
    <t>Gabriel Valenca acknowledges the support by the Doctoral Training Network associated to the EIT Urban Mobility. The authors thank the three anonymous reviewers that have contributed to improve the paper.</t>
  </si>
  <si>
    <t>2667-0917</t>
  </si>
  <si>
    <t>J URBAN MOBIL</t>
  </si>
  <si>
    <t>J. Urban Mobil.</t>
  </si>
  <si>
    <t>10.1016/j.urbmob.2021.100008</t>
  </si>
  <si>
    <t>Geography; Regional &amp; Urban Planning; Transportation</t>
  </si>
  <si>
    <t>Geography; Public Administration; Transportation</t>
  </si>
  <si>
    <t>X8WR0</t>
  </si>
  <si>
    <t>WOS:001101194100006</t>
  </si>
  <si>
    <t>Paddeu, D; Parkhurst, G; Fancello, G; Fadda, P; Ricci, M</t>
  </si>
  <si>
    <t>Paddeu, Daniela; Parkhurst, Graham; Fancello, Gianfranco; Fadda, Paolo; Ricci, Miriam</t>
  </si>
  <si>
    <t>MULTI-STAKEHOLDER COLLABORATION IN URBAN FREIGHT CONSOLIDATION SCHEMES: DRIVERS AND BARRIERS TO IMPLEMENTATION</t>
  </si>
  <si>
    <t>sharing resources; sustainable urban freight transport; urban freight consolidation centre; city logistics; case study</t>
  </si>
  <si>
    <t>CITY LOGISTICS; TRANSPORTATION; DELIVERY; ECONOMY; CENTERS; GOODS</t>
  </si>
  <si>
    <t>Due to the motivations of climate change, the health impacts of poor air quality, and the importance of cities for economic growth, transport policy at all levels of governance places emphasis on reducing and managing urban traffic and congestion. Whilst the majority of urban traffic is created by personal travel, freight vehicles make a relatively large contribution per vehicle to congestion, pollution and severe accidents. The European Commission (EC 2011) estimates that 6% of all EU transport carbon emissions are from urban freight. For these reasons, a well-structured portfolio of measures and policies oriented towards more sustainable and efficient management of supply chain activities carried out in urban areas is needed, in order to reduce negative externalities related to urban mobility and improve economic performance. In recent years, there has been enthusiasm amongst commentators that shared-resource economic models can both create new commercial opportunities and address policy problems, including in the transport sector. Within the city logistics subsector, this new model is exemplified by the emergence of Urban freight Consolidation Centres (UCCs). UCCs replace multiple 'last-mile' delivery movements, many of which involving small consignments, by a common receiving point (the consolidation centre), normally on the periphery of a city, with the final part of the delivery being shared by the consignments in a small freight vehicle. Such arrangements can represent a good compromise between the needs of city centre businesses and their customers on the one hand (i.e. high availability of a range of goods) and local and global sustainability objectives on the other. At the same time, by sharing logistics facilities and delivery vehicles, UCCs offer added-value services to both urban economic actors, such as retailers, and network logistics providers. However, UCCs add to the complexity of logistics chains, requiring additional contracts, communications and movement stages. These arrangements also introduce additional actors within the supply of delivery services, notably local authorities present as promoters and funders, rather than simply as regulators, companies specialised in the UCC operation, and companies, which provide specialist technologies, such as electric delivery vehicles. UCCs therefore also represent an example of multi-stakeholder collaboration. Drawing on the results of a 2013 survey in Bristol (United Kingdom) and a further survey carried out in 2015 in Cagliari (Italy), the present paper will provide an in-depth comparison of the differences in the perceptions of urban freight users and stakeholders towards UCCs. Retailers involved in the survey carried out in Bristol showed high satisfaction with the delivery service provided by the UCC. Different topic areas (e.g. timeliness, reliability, safety) are examined through analyses of both qualitative and quantitative data. The survey carried out in Cagliari investigated the inclination of potential users to join a UCC scheme. The comparison between the two cities considers factors such as the nature of business holding (e.g. SME versus multiple retailers), operational practices (e.g. pattern of deliveries) and operating subsector (e.g. food versus no food). An analysis on the barriers to the implementation of UCCs in Bristol and in Cagliari is provided at the end of the paper.</t>
  </si>
  <si>
    <t>[Paddeu, Daniela; Fancello, Gianfranco; Fadda, Paolo] Univ Cagliari, Dept Civil Environm &amp; Architectural Engn, Cagliari, Italy; [Parkhurst, Graham; Ricci, Miriam] Univ West England, Dept Geog &amp; Environm Management, Bristol, Avon, England</t>
  </si>
  <si>
    <t>University of Cagliari; University of West England</t>
  </si>
  <si>
    <t>Paddeu, Daniela/ABD-8188-2020; Parkhurst, Graham/ITT-8495-2023</t>
  </si>
  <si>
    <t>Fadda, Paolo/0000-0002-3872-3904;</t>
  </si>
  <si>
    <t>Bath and North East Somerset Council; DHL; European Commission through the CIVITAS VIVALDI project; Autonomous Region of Sardinia; European Commission through the CIVITAS PLUS RENAISSANCE project</t>
  </si>
  <si>
    <t>Bath and North East Somerset Council; DHL; European Commission through the CIVITAS VIVALDI project; Autonomous Region of Sardinia(Regione Sardegna); European Commission through the CIVITAS PLUS RENAISSANCE project</t>
  </si>
  <si>
    <t>The authors would like to thank Bristol City Council. Bath and North East Somerset Council and DHL for supporting this research project and acknowledge the support given by the European Commission to the operation and evaluation of the BBFCC through the CIVITAS VIVALDI and CIVITAS PLUS RENAISSANCE projects. They would also thank the Autonomous Region of Sardinia, which funded the survey carried out in Cagliari within the programme Legge Regionale 7 Agosto 2007, N. 7: Promozione Della Ricerca Scientifica e Dell'innovazione Tecnologica in Sardegna.</t>
  </si>
  <si>
    <t>10.3846/transport.2018.6593</t>
  </si>
  <si>
    <t>HE2CO</t>
  </si>
  <si>
    <t>WOS:000453082600006</t>
  </si>
  <si>
    <t>Salabun, W; Palczewski, K; Watróbski, J</t>
  </si>
  <si>
    <t>Salabun, Wojciech; Palczewski, Krzysztof; Watrobski, Jaroslaw</t>
  </si>
  <si>
    <t>Multicriteria Approach to Sustainable Transport Evaluation under Incomplete Knowledge: Electric Bikes Case Study</t>
  </si>
  <si>
    <t>sustainability; city transport; decision-making; multi-criteria decision analysis; rank reversal; fuzzy logic; incomplete knowledge</t>
  </si>
  <si>
    <t>URBAN TRANSPORT; CITY LOGISTICS; SYSTEMS; CYCLES; CITIES</t>
  </si>
  <si>
    <t>The problem of sustainable city transport is a growing field of study, and will be addressed in this paper. With the rising significance of present transportation systems' negative externalities on the environment, such as the unavoidable increase of air pollution levels, cities seek sustainable means of transport and reduction of combustion cars' utilization. Moreover, improvements in the area of renewable energy sources have led to rising trends in sustainability, driving the usage and production of electric vehicles. Currently, there is an increasing tendency of looking for more sustainable transport solutions, especially in highly congested urban areas. It seems that in that case, electric bicycles can be a good option, as they yield more benefits in comparison to cars, especially combustion cars. In this paper, we identify an assessment model for the selection of the best electric bicycle for sustainable city transport by using incomplete knowledge. For this purpose, the Characteristic Objects METhod (COMET) is used. The COMET method, proven effective in the assessment of sustainable challenges, is a modern approach, utterly free of the rank reversal phenomenon. The evaluated model considers investigated multiple criteria and is independent of chosen alternatives in the criteria domain. Hence, it can be easily modified and extended for diverse sets of decisional variants. Moreover, the presented approach allows assessing alternatives under conditions of incomplete knowledge, where some data are presented as possible interval numbers.</t>
  </si>
  <si>
    <t>[Salabun, Wojciech; Palczewski, Krzysztof] West Pomeranian Univ Technol Szczecin, Fac Comp Sci &amp; Informat Technol, Dept Artificial Intelligence Methods &amp; Appl Math, Ul Zolnierska 49, PL-71210 Szczecin, Poland; [Watrobski, Jaroslaw] Univ Szczecin, Fac Econ &amp; Management, Dept Informat Syst Engn, Mickiewicza 64, PL-71101 Szczecin, Poland</t>
  </si>
  <si>
    <t>West Pomeranian University of Technology; University of Szczecin</t>
  </si>
  <si>
    <t>Salabun, W (corresponding author), West Pomeranian Univ Technol Szczecin, Fac Comp Sci &amp; Informat Technol, Dept Artificial Intelligence Methods &amp; Appl Math, Ul Zolnierska 49, PL-71210 Szczecin, Poland.</t>
  </si>
  <si>
    <t>wojciech.salabun@zut.edu.pl; krzysztof.palczewski@zut.edu.pl; jaroslaw.watrobski@usz.edu.pl</t>
  </si>
  <si>
    <t>; Sałabun, Wojciech/H-2883-2016; Wątróbski, Jarosław/ABI-7844-2020</t>
  </si>
  <si>
    <t>Palczewski, Krzysztof/0000-0001-5035-1923; Sałabun, Wojciech/0000-0001-7076-2519; Wątróki, Jarosław/0000-0002-4415-9414</t>
  </si>
  <si>
    <t>National Science Centre [2016/23/N/HS4/01931]; Regional Excellence Initiative [001/RID/2018/19]</t>
  </si>
  <si>
    <t>National Science Centre(National Science Centre, Poland); Regional Excellence Initiative</t>
  </si>
  <si>
    <t>The work was supported by the National Science Centre, Decision No. 2016/23/N/HS4/01931 (WS), and by the project financed within the framework of the program of the Minister of Science and Higher Education under the name Regional Excellence Initiative in the years 2019-2022, project number 001/RID/2018/19, the amount of financing PLN 10.684.000,00 (JW).</t>
  </si>
  <si>
    <t>10.3390/su11123314</t>
  </si>
  <si>
    <t>IG4DG</t>
  </si>
  <si>
    <t>WOS:000473753700084</t>
  </si>
  <si>
    <t>He, ZY; Haasis, HD</t>
  </si>
  <si>
    <t>He, Zhangyuan; Haasis, Hans-Dietrich</t>
  </si>
  <si>
    <t>Integration of Urban Freight Innovations: Sustainable Inner-Urban Intermodal Transportation in the Retail/Postal Industry</t>
  </si>
  <si>
    <t>urban freight innovations; GE multifactorial analysis; intermodal transportation; sustainability</t>
  </si>
  <si>
    <t>LAST-MILE DELIVERY; EX-ANTE EVALUATION; CITY LOGISTICS; ELECTRIC VEHICLES; CARGO BIKES; E-COMMERCE; PARCEL LOCKERS; MOBILE DEPOTS; NETWORK; COST</t>
  </si>
  <si>
    <t>Urban population growth has permanently increased the commodity demands and freight flow within urban areas. The retail/postal industry is intent on finding appropriate internal approaches and a new business model to respond to the adverse impacts generated by urban freight activities. Usage of emerging transport modes is an efficient solution for these industries. Nevertheless, considerable research has paid less attention to the implementation status of distribution innovations, as well as to their suitability and application restrictions. Concurrently, a comprehensive consideration of various distribution innovations that operate together as a system is lacking. To this end, this paper adopted a literature review method and GE multifactorial analysis. Specifically, this paper reviewed the related articles that were published in the past six years (2013-2018) to define the concept of distribution innovations. In addition, we adopted the approach of GE multifactorial analysis to analyze the application status of distribution innovations from the perspective of academic research and company implementation. Following the suitability assessment and application of restriction analysis, we proposed the concept of sustainable inner-urban intermodal transport (SIUIT) for the retail/postal industry. This paper contributes to the sustainable urban freight literature by exploring possible future research directions of SIUIT.</t>
  </si>
  <si>
    <t>[He, Zhangyuan; Haasis, Hans-Dietrich] Univ Bremen, Maritime Business &amp; Logist, D-28359 Bremen, Germany; [He, Zhangyuan] Univ Bremen, Int Grad Sch Dynam Logist, D-28359 Bremen, Germany</t>
  </si>
  <si>
    <t>University of Bremen; University of Bremen</t>
  </si>
  <si>
    <t>He, ZY (corresponding author), Univ Bremen, Maritime Business &amp; Logist, D-28359 Bremen, Germany.;He, ZY (corresponding author), Univ Bremen, Int Grad Sch Dynam Logist, D-28359 Bremen, Germany.</t>
  </si>
  <si>
    <t>zhe@uni-bremen.de; haasis@uni-bremen.de</t>
  </si>
  <si>
    <t>He, Zhangyuan/O-3032-2019; He, Zhangyuan/F-5625-2019</t>
  </si>
  <si>
    <t>He, Zhangyuan/0000-0003-2070-1819; Haasis, Hans-Dietrich/0000-0003-3857-1047</t>
  </si>
  <si>
    <t>Staats- und Universitaetsbibliothek Bremen (SuUB), Germany</t>
  </si>
  <si>
    <t>The publication of this paper was supported by Staats- und Universitaetsbibliothek Bremen (SuUB), Germany.</t>
  </si>
  <si>
    <t>MAR 22</t>
  </si>
  <si>
    <t>10.3390/su11061749</t>
  </si>
  <si>
    <t>HT1UQ</t>
  </si>
  <si>
    <t>WOS:000464350400016</t>
  </si>
  <si>
    <t>Baggag, A; Abbar, S; Sharma, A; Zanouda, T; Al-Homaid, A; Mohan, A; Srivastava, J</t>
  </si>
  <si>
    <t>Baggag, Abdelkader; Abbar, Sofiane; Sharma, Ankit; Zanouda, Tahar; Al-Homaid, Abdulaziz; Mohan, Abhiraj; Srivastava, Jaideep</t>
  </si>
  <si>
    <t>Learning Spatiotemporal Latent Factors of Traffic via Regularized Tensor Factorization: Imputing Missing Values and Forecasting</t>
  </si>
  <si>
    <t>IEEE TRANSACTIONS ON KNOWLEDGE AND DATA ENGINEERING</t>
  </si>
  <si>
    <t>Roads; Tensile stress; Forecasting; Sensors; Urban areas; Junctions; Real-time systems; Tensor decomposition; regularization; traffic monitoring; traffic forecasting</t>
  </si>
  <si>
    <t>Intelligent transportation systems are a key component in smart cities, and the estimation and prediction of the spatiotemporal traffic state is critical to capture the dynamics of traffic congestion, i.e., its generation, propagation and mitigation, in order to increase operational efficiency and improve livability within smart cities. And while spatiotemporal data related to traffic is becoming common place due to the wide availability of cheap sensors and the rapid deployment of IoT platforms, the data still suffer some challenges related to sparsity, incompleteness, and noise which makes the traffic analytics difficult. In this article, we investigate the problem of missing data or noisy information in the context of real-time monitoring and forecasting of traffic congestion for road networks in a city. The road network is represented as a directed graph in which nodes are junctions (intersections) and edges are road segments. We assume that the city has deployed high-fidelity sensors for speed reading in a subset of edges; and the objective is to infer the speed readings for the remaining edges in the network; and to estimate the missing values in the segments for which sensors have stopped generating data due to technical problems (e.g., battery, network, etc.). We propose a tensor representation for the series of road network snapshots, and develop a regularized factorization method to estimate the missing values, while learning the latent factors of the network. The regularizer, which incorporates spatial properties of the road network, improves the quality of the results. The learned factors, with a graph-based temporal dependency, are then used in an autoregressive algorithm to predict the future state of the road network with a large horizon. Extensive numerical experiments with real traffic data from the cities of Doha (Qatar) and Aarhus (Denmark) demonstrate that the proposed approach is appropriate for imputing the missing data and predicting the traffic state. It is accurate and efficient and can easily be applied to other traffic datasets.</t>
  </si>
  <si>
    <t>[Baggag, Abdelkader; Abbar, Sofiane; Al-Homaid, Abdulaziz] Hamad Bin Khalifa Univ, Qatar Comp Res Inst, Doha, Qatar; [Sharma, Ankit; Mohan, Abhiraj; Srivastava, Jaideep] Univ Minnesota, Dept Comp Sci, Minneapolis, MN 55455 USA; [Zanouda, Tahar] Ericsson, Stockholm, Sweden</t>
  </si>
  <si>
    <t>Qatar Foundation (QF); Hamad Bin Khalifa University-Qatar; Qatar Computing Research Institute; University of Minnesota System; University of Minnesota Twin Cities; Ericsson</t>
  </si>
  <si>
    <t>Baggag, A (corresponding author), Hamad Bin Khalifa Univ, Qatar Comp Res Inst, Doha, Qatar.</t>
  </si>
  <si>
    <t>abaggag@hbku.edu.qa; sabbar@hbku.edu.qa; sharm170@umn.edu; zanouda@gmail.com; abalhomaid@hbku.edu.qa; mohan056@umn.edu; srivasta@umn.edu</t>
  </si>
  <si>
    <t>Al-Homaid, Abdulaziz/0000-0003-2699-4368; Sharma, Ankit/0000-0002-1853-2035; Srivastava, Jaideep/0000-0001-9385-7545</t>
  </si>
  <si>
    <t>1041-4347</t>
  </si>
  <si>
    <t>1558-2191</t>
  </si>
  <si>
    <t>IEEE T KNOWL DATA EN</t>
  </si>
  <si>
    <t>IEEE Trans. Knowl. Data Eng.</t>
  </si>
  <si>
    <t>10.1109/TKDE.2019.2954868</t>
  </si>
  <si>
    <t>Computer Science, Artificial Intelligence; Computer Science, Information Systems; Engineering, Electrical &amp; Electronic</t>
  </si>
  <si>
    <t>SA8XU</t>
  </si>
  <si>
    <t>WOS:000649587600018</t>
  </si>
  <si>
    <t>Sechilariu, M; Molines, N; Richard, G; Martell-Flores, H; Locment, F; Baert, J</t>
  </si>
  <si>
    <t>Sechilariu, Manuela; Molines, Nathalie; Richard, Gabrielle; Martell-Flores, Hipolito; Locment, Fabrice; Baert, Jerome</t>
  </si>
  <si>
    <t>Electromobility framework study: infrastructure and urban planning for EV charging station empowered by PV-based microgrid</t>
  </si>
  <si>
    <t>IET ELECTRICAL SYSTEMS IN TRANSPORTATION</t>
  </si>
  <si>
    <t>battery powered vehicles; town and country planning; power grids; photovoltaic power systems; sustainable development; distributed power generation; electric vehicle charging; power markets; power generation economics; energy management systems; power distribution economics; carbon; smart cities; urban planning; EV charging station; PV-based microgrid; electric vehicles market; carbon-free urban mobility; renewable energy production; optimised model; energy management; smart cities; intelligent infrastructure; photovoltaic-based microgrid; public power distribution network; users demand; IIREVs implantation; electromobility framework study; urban microgrid; sustainable development; multidisciplinary research position; power grid; technical-economic-environmental evaluation methodology; C</t>
  </si>
  <si>
    <t>ELECTRIC VEHICLES</t>
  </si>
  <si>
    <t>The growth of electric vehicles (EVs) market is an important step towards achieving carbon-free urban mobility. The coupling with renewable energy production according to an optimised model of energy management within an urban microgrid responds to tomorrow's challenges of networks and smart cities. This study aims to define an intelligent infrastructure dedicated to the recharge of EVs (IIREVs) in an urban area as a charging station empowered by photovoltaic (PV)-based microgrid. This system can facilitate interactions between the IIREVs, the public power distribution network, the users of EVs, and the surrounding building. The study provides key elements to encourage the stakeholders to develop IIREVs within societal expectations, urban planning, and in adequacy with the sustainable development goals. In addition, the study highlights multidisciplinary research position that demonstrates the need of a systemic approach to remain centred on users demand and needs, to asses efficiency at various scales of IIREVs, associated services, and power grid. By using a multidisciplinary framework leading to a technical-economic-environmental evaluation methodology for IIREVs and presenting a study case, the main result of this study focuses on requirements and feasibility of IIREVs implantation within the best fitting urban areas.</t>
  </si>
  <si>
    <t>[Sechilariu, Manuela; Molines, Nathalie; Martell-Flores, Hipolito; Locment, Fabrice] Univ Technol Compiegne, Sorbonne Univ, AVENUES EA 7284, Rue Dr Schweitzer, F-60203 Compiegne, France; [Richard, Gabrielle; Baert, Jerome] SYSTRA Urban Rail Publ Transport Civil Engn, 72 Rue Henry Farman, F-75015 Paris, France</t>
  </si>
  <si>
    <t>Universite de Technologie de Compiegne; Sorbonne Universite</t>
  </si>
  <si>
    <t>Sechilariu, M (corresponding author), Univ Technol Compiegne, Sorbonne Univ, AVENUES EA 7284, Rue Dr Schweitzer, F-60203 Compiegne, France.</t>
  </si>
  <si>
    <t>manuela.sechilariu@utc.fr</t>
  </si>
  <si>
    <t>SECHILARIU, Manuela/B-9693-2013; SECHILARIU, Manuela/B-9693-2013</t>
  </si>
  <si>
    <t>SECHILARIU, Manuela/0000-0002-7358-4671; MARTELL FLORES, Hipolito/0000-0003-4898-6764; Molines, Nathalie/0000-0002-8128-4505; SECHILARIU, Manuela/0000-0002-7358-4671</t>
  </si>
  <si>
    <t>ADEME France [1766C0006]</t>
  </si>
  <si>
    <t>ADEME France</t>
  </si>
  <si>
    <t>This study has been achieved thanks to the funding of ADEME France in the context of the call for projects APRED 2017 (project MOBEL_CITY convention #1766C0006). (C) 2018 IEEE. Reprinted, with permission, from Sechilariu, M. Baert, J. Locment, F.: 'Smart microgrid and urban planning for better electromobility. '. 2017 IEEE Vehicle Power and Propulsion Conf., Belfort, France, December 2017</t>
  </si>
  <si>
    <t>2042-9738</t>
  </si>
  <si>
    <t>2042-9746</t>
  </si>
  <si>
    <t>IET ELECTR SYST TRAN</t>
  </si>
  <si>
    <t>IET Electr. Syst. Transp.</t>
  </si>
  <si>
    <t>10.1049/iet-est.2019.0032</t>
  </si>
  <si>
    <t>JZ3DX</t>
  </si>
  <si>
    <t>WOS:000504983700004</t>
  </si>
  <si>
    <t>Laso, J; García-Herrero, I; Margallo, M; Bala, A; Fullana-i-Palmer, P; Irabien, A; Aldaco, R</t>
  </si>
  <si>
    <t>Laso, Jara; Garcia-Herrero, Isabel; Margallo, Maria; Bala, Alba; Fullana-i-Palmer, Pere; Irabien, Angel; Aldaco, Ruben</t>
  </si>
  <si>
    <t>LCA-Based Comparison of Two Organic Fraction Municipal Solid Waste Collection Systems in Historical Centres in Spain</t>
  </si>
  <si>
    <t>anaerobic digestion; biowaste; life cycle assessment; smart city; waste collection</t>
  </si>
  <si>
    <t>LIFE-CYCLE ASSESSMENT; FOOD WASTE; ENVIRONMENTAL SUSTAINABILITY; MANAGEMENT-SYSTEM; URBAN AREAS; IMPACT; ISLAND</t>
  </si>
  <si>
    <t>Municipal solid waste (MSW) collection is an important issue in the development and management of smart cities, having a significant influence on environmental sustainability. Door-to-door and pneumatic collection are two systems that represent a way of arranging waste collection in city ' s historic areas in Spain where conventional street-side container collection is not feasible. Since door-to-door collection generates significant direct greenhouse gas emissions from trucks, pneumatic collection emerges as an alternative to the trucking system. While this technology apparently reduces local direct air emissions, it suffers from a large energy demand derived from vacuum production for waste suction. The introduction of new normative frameworks regarding the selective collection of the biodegradable fraction makes necessary a comprehensive analysis to assess the influence of this fraction collection and its subsequent recycling by anaerobic digestion. As a novelty, this work compares both conventional door-to-door and pneumatic collection systems from a life cycle approach focusing on the biodegradable waste. Results indicate that, in spite of the fact electricity production and consumption have a significant influence on the results, the energy savings from the recycling of the organic fraction are higher than the energy requirements. Therefore, the pneumatic collection could be an environmentally-friendly option for MSW management under a circular economy approach in Spanish city ' s historic areas, since wastes could be a material or energy source opportunity.</t>
  </si>
  <si>
    <t>[Laso, Jara; Garcia-Herrero, Isabel; Margallo, Maria; Irabien, Angel; Aldaco, Ruben] Univ Cantabria, Dept Chem &amp; Biomol Engn, Avda Castros S-N, E-39005 Santander, Spain; [Bala, Alba; Fullana-i-Palmer, Pere] Univ Pompeu Fabra, UNESCO Chair Life Cycle &amp; Climate Change ESCI UPF, Pg Pujades 1, Barcelona 08003, Spain</t>
  </si>
  <si>
    <t>Universidad de Cantabria; Pompeu Fabra University</t>
  </si>
  <si>
    <t>Laso, J (corresponding author), Univ Cantabria, Dept Chem &amp; Biomol Engn, Avda Castros S-N, E-39005 Santander, Spain.</t>
  </si>
  <si>
    <t>jara.laso@unican.es; isabel.garciaherrero@unican.es; maria.margallo@unican.es; alba.bala@esci.upf.edu; pere.fullana@esci.upf.edu; irabien@unican.es; ruben.aldaco@unican.es</t>
  </si>
  <si>
    <t>Laso, Jara/C-8108-2019; Irabien, Angel/I-4395-2014; Bala Gala, Alba/J-8625-2017; Gala, Alba/J-8625-2017; ALDACO GARCIA, RUBEN/F-2314-2016; Aldaco, Rubén/F-2314-2016; Irabien, Angel/I-4395-2014; Laso Cortabitarte, Jara/C-8108-2019; Fullana-i-Palmer, Pere/J-6174-2013</t>
  </si>
  <si>
    <t>Irabien, Angel/0000-0002-2411-4163; Bala Gala, Alba/0000-0002-5501-1140; ALDACO GARCIA, RUBEN/0000-0001-6216-7031; Irabien, Angel/0000-0002-2411-4163; Laso Cortabitarte, Jara/0000-0003-4442-6786; Fullana-i-Palmer, Pere/0000-0003-0013-5098</t>
  </si>
  <si>
    <t>Ministry of Economy and Competitiveness of the Government of Spain [CTM2016-76176-C2-1-R]</t>
  </si>
  <si>
    <t>Ministry of Economy and Competitiveness of the Government of Spain(Spanish Government)</t>
  </si>
  <si>
    <t>This work has been made under the financial support of the Project Ceres-Procom: Food production and consumption strategies for climate change mitigation (CTM2016-76176-C2-1-R) (AEI/FEDER, UE) financed by the Ministry of Economy and Competitiveness of the Government of Spain.</t>
  </si>
  <si>
    <t>10.3390/en12071407</t>
  </si>
  <si>
    <t>HU8SS</t>
  </si>
  <si>
    <t>WOS:000465561400224</t>
  </si>
  <si>
    <t>Cassiano, DR; Bertoncini, BV; de Oliveira, LK</t>
  </si>
  <si>
    <t>Cassiano, Demostenis Ramos; Bertoncini, Bruno Vieira; de Oliveira, Leise Kelli</t>
  </si>
  <si>
    <t>A Conceptual Model Based on the Activity System and Transportation System for Sustainable Urban Freight Transport</t>
  </si>
  <si>
    <t>sustainable urban freight transport; last-mile delivery; urban activity system; transport system; sustainable city; stakeholders</t>
  </si>
  <si>
    <t>CITY LOGISTICS; CONSOLIDATION CENTER; STAKEHOLDERS PERCEPTIONS; ELECTRIC VEHICLES; BUSINESS MODELS; CARGO CYCLES; FRAMEWORK; DELIVERY; POLICY; IMPACT</t>
  </si>
  <si>
    <t>Urban freight transport (UFT) is simultaneously responsible for maintaining the urban lifestyle and the negative externalities impacting urban areas, necessitating strategies that promote sustainable urban freight transport (SUFT). In addition, the stakeholders and geographic factors involved in UFT impose specific concerns in the planning and operation stages of SUFT. Therefore, this paper proposes a model addressing sustainable last-mile delivery considering the relationship between the activity system, transportation system, and stakeholders involved in UFT. Based on the literature review, we identified UFT planning procedures to achieve SUFT. In a cyclical process, these procedures were considered on the proposed model, integrating freight transport planning with urban planning to develop SUFT and, consequently, sustainable cities.</t>
  </si>
  <si>
    <t>[Cassiano, Demostenis Ramos; Bertoncini, Bruno Vieira] Univ Fed Ceara, Transport Traff &amp; Environm Res Grp, Postgrad Program Transport Engn, BR-60455760 Fortaleza, Ceara, Brazil; [de Oliveira, Leise Kelli] Univ Fed Minas Gerais, Dept Transportat &amp; Geotech Engn, BR-31270010 Belo Horizonte, MG, Brazil</t>
  </si>
  <si>
    <t>Universidade Federal do Ceara; Universidade Federal de Minas Gerais</t>
  </si>
  <si>
    <t>Cassiano, DR (corresponding author), Univ Fed Ceara, Transport Traff &amp; Environm Res Grp, Postgrad Program Transport Engn, BR-60455760 Fortaleza, Ceara, Brazil.</t>
  </si>
  <si>
    <t>cassiano@det.ufc.br; bruviber@det.ufc.br; leise@etg.ufmg.br</t>
  </si>
  <si>
    <t>Oliveira, Leise Kelli/Y-3946-2018; Bertoncini, Bruno/F-1763-2017; Bertoncini, Bruno/F-1763-2017</t>
  </si>
  <si>
    <t>Cassiano, Demostenis/0000-0002-4354-3836; Bertoncini, Bruno/0000-0002-1434-1960; Oliveira, Leise Kelli de/0000-0002-4756-4183; Bertoncini, Bruno/0000-0002-1434-1960</t>
  </si>
  <si>
    <t>Coordenacao de Aperfeicoamento de Pessoal de Nivel Superior [306629/2018-6]; Conselho Nacional de Desenvolvimento Cientifico e Tecnologico [430082/2018-5, 303171/2020-0]; Universidade Federal do Ceara; Universidade Federal de Minas Gerais</t>
  </si>
  <si>
    <t>Coordenacao de Aperfeicoamento de Pessoal de Nivel Superior(Coordenacao de Aperfeicoamento de Pessoal de Nivel Superior (CAPES)); Conselho Nacional de Desenvolvimento Cientifico e Tecnologico(Conselho Nacional de Desenvolvimento Cientifico e Tecnologico (CNPQ)); Universidade Federal do Ceara; Universidade Federal de Minas Gerais</t>
  </si>
  <si>
    <t>This research was funded by Coordenacao de Aperfeicoamento de Pessoal de Nivel Superior, grant number 306629/2018-6; Conselho Nacional de Desenvolvimento Cientifico e Tecnologico, grant number 430082/2018-5; Conselho Nacional de Desenvolvimento Cientifico e Tecnologico, grant number 303171/2020-0, and the APC was funded by Universidade Federal do Ceara and Universidade Federal de Minas Gerais.</t>
  </si>
  <si>
    <t>10.3390/su13105642</t>
  </si>
  <si>
    <t>ST5QU</t>
  </si>
  <si>
    <t>WOS:000662498500001</t>
  </si>
  <si>
    <t>Kim, J; Moon, H; Jung, H</t>
  </si>
  <si>
    <t>Kim, Junsu; Moon, Hongbin; Jung, Hosang</t>
  </si>
  <si>
    <t>Drone-Based Parcel Delivery Using the Rooftops of City Buildings: Model and Solution</t>
  </si>
  <si>
    <t>urban logistics; smart cities; drone; parcel delivery</t>
  </si>
  <si>
    <t>TRAVELING SALESMAN PROBLEM; VEHICLE-ROUTING PROBLEMS; TRUCK-DRONE; OPTIMIZATION; NETWORK</t>
  </si>
  <si>
    <t>In general, the demand for delivery cannot be fulfilled efficiently due to the excessive traffic in dense urban areas. Therefore, many innovative concepts for intelligent transportation of freight have recently been developed. One of these concepts relies on drone-based parcel delivery using rooftops of city buildings. To apply drone logistics system in cities, the operation design should be adequately prepared. In this regard, a mixed integer programming model for drone operation planning and a heuristic based on block stacking are newly proposed to provide solutions. Additionally, numerical experiments with three different problem sizes are conducted to check the feasibility of the proposed model and to assess the performance of the proposed heuristic. The experimental results show that the proposed model seems to be viable and that the developed heuristic provides very good operation plans in terms of the optimality gap and the computation time.</t>
  </si>
  <si>
    <t>[Kim, Junsu; Moon, Hongbin; Jung, Hosang] Inha Univ, Asia Pacific Sch Logist, Incheon 22212, South Korea</t>
  </si>
  <si>
    <t>Inha University</t>
  </si>
  <si>
    <t>Jung, H (corresponding author), Inha Univ, Asia Pacific Sch Logist, Incheon 22212, South Korea.</t>
  </si>
  <si>
    <t>jskim0305@inha.edu; mhv7539@inha.edu; hjung@inha.ac.kr</t>
  </si>
  <si>
    <t>Kim, Junsu/MIN-5864-2025</t>
  </si>
  <si>
    <t>Jung, Hosang/0000-0003-4163-2728</t>
  </si>
  <si>
    <t>Basic Science Research Program through the National Research Foundation of Korea - Ministry of Education [NRF-2017R1D1A1B03032560]; Inha University Research Grant [60630-1]</t>
  </si>
  <si>
    <t>Basic Science Research Program through the National Research Foundation of Korea - Ministry of Education; Inha University Research Grant</t>
  </si>
  <si>
    <t>This research was supported by Basic Science Research Program through the National Research Foundation of Korea, funded by the Ministry of Education (NRF-2017R1D1A1B03032560). This work was also supported by the Inha University Research Grant (60630-1).</t>
  </si>
  <si>
    <t>10.3390/app10124362</t>
  </si>
  <si>
    <t>MT1OV</t>
  </si>
  <si>
    <t>WOS:000554738500001</t>
  </si>
  <si>
    <t>López, C; Ruiz-Benitez, R; Vargas-Machuca, C</t>
  </si>
  <si>
    <t>Lopez, Cristina; Ruiz-Benitez, Rocio; Vargas-Machuca, Carmen</t>
  </si>
  <si>
    <t>On the Environmental and Social Sustainability of Technological Innovations in Urban Bus Transport: The EU Case</t>
  </si>
  <si>
    <t>city logistics; technological innovations; environmental sustainability; social sustainability; urban bus transport; IPA; AHP</t>
  </si>
  <si>
    <t>SUPPLY CHAIN; STRATEGIC APPROACH; SYSTEM DEVELOPMENT; GREEN TECHNOLOGY; MANAGEMENT; MODEL; PART; CITY; REQUIREMENTS; ALTERNATIVES</t>
  </si>
  <si>
    <t>Logistics in urban areas are currently suffering a radical transformation due to increasing population concentration and the massive use of cars as the preferred transport mode. These issues have resulted in higher pollution levels in urban environments and traffic congestion, impacting the world globally. Facilitating the use of sustainable transport modes is widely regarded as a necessity to cope with these adverse effects on citizens' life quality. Hence, some regions, such as the European Union, are encouraging bus transport firms to make their business models more environmentally and socially sustainable. The aim of this research is thus to explore how technological innovations adopted by urban bus companies can improve cities' sustainability. With this in mind, a combined Importance Performance Analysis (IPA)-Analytic Hierarchy Process (AHP) method was applied. In this way, their environmental and social sustainability effects were separately represented through hierarchical structures. Subsequently, the importance and performance ratings of technological innovations in each sustainability dimension were estimated, and thus two IPA grids were generated. These grids support managers in the establishment of more effective action plans to improve logistics sustainability in cities. The findings also provide guidance to governments on the technological innovations that should be promoted in future urban mobility plans.</t>
  </si>
  <si>
    <t>[Lopez, Cristina; Ruiz-Benitez, Rocio] Univ Pablo Olavide, Dept Management &amp; Mkt, Carretera Utrera,Km 1, Seville 41013, Spain; [Vargas-Machuca, Carmen] Univ Pablo Olavide, Fac Business, Carretera Utrera,Km 1, Seville 41013, Spain</t>
  </si>
  <si>
    <t>Universidad Pablo de Olavide; Universidad Pablo de Olavide</t>
  </si>
  <si>
    <t>López, C (corresponding author), Univ Pablo Olavide, Dept Management &amp; Mkt, Carretera Utrera,Km 1, Seville 41013, Spain.</t>
  </si>
  <si>
    <t>clopvar@upo.es; rruiben@upo.es; carvamasa@gmail.com</t>
  </si>
  <si>
    <t>López Vargas, Cristina/F-7438-2016; Ruiz-Benitez, Rocio/AAZ-3948-2020</t>
  </si>
  <si>
    <t>López Vargas, Cristina/0000-0002-5112-2994;</t>
  </si>
  <si>
    <t>Ministry of Industry, Economy and Competitivity of the Spanish Government (FEDER funds) [ECO2016-78493-R]</t>
  </si>
  <si>
    <t>Ministry of Industry, Economy and Competitivity of the Spanish Government (FEDER funds)</t>
  </si>
  <si>
    <t>This project is supported by the Ministry of Industry, Economy and Competitivity of the Spanish Government (Grant ECO2016-78493-R with FEDER funds).</t>
  </si>
  <si>
    <t>MAR 1</t>
  </si>
  <si>
    <t>10.3390/su11051413</t>
  </si>
  <si>
    <t>HQ8GA</t>
  </si>
  <si>
    <t>WOS:000462661000197</t>
  </si>
  <si>
    <t>Brettmo, A; Browne, M</t>
  </si>
  <si>
    <t>Brettmo, Alena; Browne, Michael</t>
  </si>
  <si>
    <t>Business Improvement Districts as important influencers for changing to sustainable urban freight</t>
  </si>
  <si>
    <t>Freight; Business Improvement District; Sustainability; Collaboration</t>
  </si>
  <si>
    <t>UK GOVERNMENTS PROPOSALS; PURCHASING BEHAVIOR; CITY LOGISTICS; GOVERNANCE; ENGLAND; REVITALIZATION; MANAGEMENT; POLICIES; BIDS</t>
  </si>
  <si>
    <t>This paper explores the ways in which Business Improvement Districts (BIDs) can promote initiatives that lead to more sustainable urban goods movements in urban areas. The qualitative research was conducted by studying eight BIDs in three cities and in three countries - all the BIDs studied had considered or taken actions related to urban freight and sustainability. The results show that BIDs in different countries have similarities and differences in their organisational structure and functions, the main services provided and readiness to promote initiatives related to urban freight improvements. We identified that differences in their accomplishments relate to their motivation, awareness of the scope to influence urban freight and the extent of their collaboration with local and city authorities concerning urban freight initiatives. In general, we suggest that BIDs have the potential to act as important influencers in urban freight as they (i) unite the receivers and encourage them to address joint operations that bring economic and environmental benefits (ii) give the receivers the possibility to implement changes through the power of collective action (iii) facilitate the dialogue and collaboration with local and city authorities. As a result, we suggest that the measures directed to BIDs on improving urban freight can have much more significant return on time and funds invested than if invested in a single businesses and organisations. Our recommendation to BIDs that would like to reach higher level of accomplishments is to ensure stakeholder engagement including engaging and collaboration with local authorities and to demonstrate their willingness to take a lead.</t>
  </si>
  <si>
    <t>[Brettmo, Alena; Browne, Michael] Univ Gothenburg, Sch Business Econ &amp; Law, Dept Business Adm, Vasagatan 1, S-40530 Gothenburg, Sweden</t>
  </si>
  <si>
    <t>University of Gothenburg</t>
  </si>
  <si>
    <t>Brettmo, A (corresponding author), Univ Gothenburg, Sch Business Econ &amp; Law, Dept Business Adm, Vasagatan 1, S-40530 Gothenburg, Sweden.</t>
  </si>
  <si>
    <t>alena.brettmo@handels.gu.se; michael.browne@handels.gu.se</t>
  </si>
  <si>
    <t>; Browne, Michael/R-3596-2016; Brettmo, Alena/NNG-8395-2025</t>
  </si>
  <si>
    <t>Brettmo, Alena/0000-0002-1383-8086; Browne, Michael/0000-0003-1900-5189;</t>
  </si>
  <si>
    <t>Volvo Research and Educational Foundations (VREF); Urban Freight Platform (University of Gothenburg and Chalmers); Logistics and Transport Society (Logistik och Transport Stiftelsen LTS)</t>
  </si>
  <si>
    <t>This research was supported by the Volvo Research and Educational Foundations (VREF) urban freight initiative that has provided funding to the Centre of Excellence for Sustainable Urban Freight Systems (CoE-SUFS) led by Rensselaer Polytechnic Institute and the Urban Freight Platform (University of Gothenburg and Chalmers). This research was also supported by Logistics and Transport Society (Logistik och Transport Stiftelsen LTS) that has supported the logistics doctoral programme at University of Gothenburg, Sweden. Special gratitude for consultations to Julien Allen from Westminster university, Jeff Wojtovicz and Jose Holguin-Veras from Rensselaer Polytechnic Institute, the management teams of BIDs: the Fitzrovia Partnership, The Northbank, New West End Company, Grand Central Partnership, Soho Broadway Initiative, Times Square Alliance, East Midtown Partnership, Innerstaden, Svenska Stadskarnor.</t>
  </si>
  <si>
    <t>10.1016/j.cities.2019.102558</t>
  </si>
  <si>
    <t>KG6TM</t>
  </si>
  <si>
    <t>WOS:000510082600051</t>
  </si>
  <si>
    <t>Mohammadian, HD; Rezaie, F</t>
  </si>
  <si>
    <t>Mohammadian, Hamid Doost; Rezaie, Fatemeh</t>
  </si>
  <si>
    <t>i-Sustainability Plus Theory as an Innovative Path towards Sustainable World Founded on Blue-Green Ubiquitous Cities (Case Studies: Denmark and South Korea)</t>
  </si>
  <si>
    <t>INVENTIONS</t>
  </si>
  <si>
    <t>sustainability; ubiquitous; smartness; innovation; blue-green infrastructure; sustainable innovative world; quality of life; livability</t>
  </si>
  <si>
    <t>Nowadays, the new concept of urban living is required as a path to struggle with urbanization challenges in order to maintain the world and make cities better settings for living through creating high quality of life and liveability. To achieve such areas, developing sustainability, urban planning based on Information Technology, Information Communication Technology infrastructure, and innovative management play important roles. So, authors try to find out new concepts of urban life concerned with these indicators through sustainability, innovation, ubiquitous, and smartness to create a sustainable and modern world through smart cities. Based on authors' researches, Blue-Green infrastructure based on environmentally friendly, green strategies, sustainable water management, and ubiquitous services focusing on digitalization and high technologies are required to make a modern world. Fundamentally, innovation management in technology, business and marketing has important roles in designing such areas by keeping up with growing demands and low resources of energies. In this research, i-Sustainability Plus is introduced as a theory to create Blue-Green Ubiquitous cities as modern sustainable and liveable urban areas. Such areas could make the world a better place for living through sustainable development and improving quality of human life.</t>
  </si>
  <si>
    <t>[Mohammadian, Hamid Doost] Univ Appl Sci FHM, Management Dept, D-33602 Bielefeld, Germany; [Rezaie, Fatemeh] Ind Management Inst, Management Dept, Tehran, Iran</t>
  </si>
  <si>
    <t>Mohammadian, HD (corresponding author), Univ Appl Sci FHM, Management Dept, D-33602 Bielefeld, Germany.</t>
  </si>
  <si>
    <t>Doost@fh-mittlestand.de; baharrezaie70@gmail.com</t>
  </si>
  <si>
    <t>Mattiello, Hamid/O-8190-2019</t>
  </si>
  <si>
    <t>Mattiello, Hamid/0000-0003-2253-1614</t>
  </si>
  <si>
    <t>2411-5134</t>
  </si>
  <si>
    <t>INVENTIONS-BASEL</t>
  </si>
  <si>
    <t>Inventions</t>
  </si>
  <si>
    <t>10.3390/inventions5020014</t>
  </si>
  <si>
    <t>UU7KG</t>
  </si>
  <si>
    <t>WOS:000698973600001</t>
  </si>
  <si>
    <t>de Oliveira, CM; Bandeira, RAD; Goes, GV; Gonçalves, DNS; D'Agosto, MD</t>
  </si>
  <si>
    <t>de Oliveira, Cintia Machado; De Mello Bandeira, Renata Albergaria; Goes, George Vasconcelos; Schmitz Goncalves, Daniel Neves; D'Agosto, Marcio De Almeida</t>
  </si>
  <si>
    <t>Sustainable Vehicles-Based Alternatives in Last Mile Distribution of Urban Freight Transport: A Systematic Literature Review</t>
  </si>
  <si>
    <t>last mile; urban freight distribution; vehicle; city logistics</t>
  </si>
  <si>
    <t>CITY LOGISTICS; ELECTRIC VEHICLES; MOVEMENTS; NETWORKS; PATTERNS; IMPACT; GOODS</t>
  </si>
  <si>
    <t>The advent of new technologies in last mile deliveries is about to cause a disruption in the traditional business model applied in urban cargo transportation, thus presenting innumerous research opportunities in this field of knowledge. In this context, identifying new operation models and vehicles that could be applied for last mile deliveries in urban areas becomes crucial. Therefore, this paper aims to identify, through a systematic literature review, the main types of vehicles addressed in the literature that could be used in the last mile of urban freight distribution in order to increase the sustainability of this type of operation. The results indicate a trend for the implementation of smaller and lighter vehicles for last mile deliveries in urban areas: 47% of the studies suggest, among other alternatives, the use of bicycles and tricycles; while 53% of the articles support the use of light commercial vehicles. Another trend observed in this type of distribution, indicated in 64% of the studies, is the shift from conventional (fossil fuels) to alternative sources of energy (electricity).</t>
  </si>
  <si>
    <t>[de Oliveira, Cintia Machado; De Mello Bandeira, Renata Albergaria; Goes, George Vasconcelos; Schmitz Goncalves, Daniel Neves; D'Agosto, Marcio De Almeida] Univ Fed Rio de Janeiro, COPPE, Program Transportat Engn, Ctr Technol, Bldg H Room 117, BR-999074 Rio de Janeiro, RJ, Brazil; [de Oliveira, Cintia Machado] Fed Ctr Technol Educ Celso Suckow da Fonseca, BR-999074 Rio De Janeiro, Brazil; [De Mello Bandeira, Renata Albergaria] Mil Inst Engn, Praca Gen Tiburcio 80, BR-999074 Rio De Janeiro, Brazil</t>
  </si>
  <si>
    <t>Bandeira, RAD; Goes, GV (corresponding author), Univ Fed Rio de Janeiro, COPPE, Program Transportat Engn, Ctr Technol, Bldg H Room 117, BR-999074 Rio de Janeiro, RJ, Brazil.;Bandeira, RAD (corresponding author), Mil Inst Engn, Praca Gen Tiburcio 80, BR-999074 Rio De Janeiro, Brazil.</t>
  </si>
  <si>
    <t>cintia.machado.oliveira.1@gmail.com; re.albergaria@gmail.com; ggoes@pet.coppe.ufrj.br; daniel.schmitz.jf@gmail.com; dagosto@pet.coppe.ufrj.br</t>
  </si>
  <si>
    <t>; Goes, George/AAG-3289-2020; Gonçalves, Daniel/F-6567-2019; Goes, George/D-5271-2019</t>
  </si>
  <si>
    <t>N S Gonçalves, Daniel/0000-0002-5947-6068; Goes, George/0000-0003-3099-2664</t>
  </si>
  <si>
    <t>10.3390/su9081324</t>
  </si>
  <si>
    <t>FF3YT</t>
  </si>
  <si>
    <t>WOS:000408861800039</t>
  </si>
  <si>
    <t>Lindholm, M; Behrends, S</t>
  </si>
  <si>
    <t>Lindholm, Maria; Behrends, Sonke</t>
  </si>
  <si>
    <t>Challenges in urban freight transport planning - a review in the Baltic Sea Region</t>
  </si>
  <si>
    <t>Case study; City logistics; Integrated planning; Urban freight transport; Sustainable transport; Transport planning</t>
  </si>
  <si>
    <t>INTEGRATION; CITIES</t>
  </si>
  <si>
    <t>Freight transport in urban areas is still not well understood and there is no methodology aimed at the analysis and planning of such areas. To achieve urban sustainability, new models for the management of urban freight movements are needed, in which local authorities play a pro-active role. The aim of this paper is to contribute to lay the groundwork for designing strategies to overcome the challenges involved in sustainable urban freight transport. This paper is based on a multiple-case study analysing the current state of urban freight transport and current planning practices in cities around the Baltic Sea. While the cities differ in size, economy, and political and cultural frameworks, the transport sector plays a strong role in all cities. In-depth freight interviews with public and private stakeholders were conducted and complemented with several holistic interview sessions and document analysis. Potentials and shortcomings in urban freight transport planning are presented and the results show that freight transport is increasingly important for regional competitiveness while freight traffic is a growing threat for urban sustainability. In turn, the urban context is a barrier for efficient freight operations. However, both local authorities and transport operators neglect the problems that arise from freight in urban areas. An overall awareness is needed to understand that a deeper integration of freight transport and urban sustainability strategies can be beneficial for both the efficiency of freight transport networks and for local sustainability. City authorities need more logistics competence to facilitate the required integration between private and public actors. (C) 2012 Elsevier Ltd. All rights reserved.</t>
  </si>
  <si>
    <t>[Lindholm, Maria; Behrends, Sonke] Chalmers, Div Logist &amp; Transportat, S-41296 Gothenburg, Sweden</t>
  </si>
  <si>
    <t>Chalmers University of Technology</t>
  </si>
  <si>
    <t>Lindholm, M (corresponding author), Chalmers, Div Logist &amp; Transportat, S-41296 Gothenburg, Sweden.</t>
  </si>
  <si>
    <t>maria.lindholm@chalmers.se; behrends@chalmers.se</t>
  </si>
  <si>
    <t>; Behrends, Sönke/A-2551-2010</t>
  </si>
  <si>
    <t>von Wieding, Sönke/0000-0002-3130-3165;</t>
  </si>
  <si>
    <t>10.1016/j.jtrangeo.2012.01.001</t>
  </si>
  <si>
    <t>952KX</t>
  </si>
  <si>
    <t>WOS:000304792500014</t>
  </si>
  <si>
    <t>Velickovic, M; Stojanovic, D; Nikolicic, S; Maslaric, M</t>
  </si>
  <si>
    <t>Velickovic, Marko; Stojanovic, Durdica; Nikolicic, Svetlana; Maslaric, Marinko</t>
  </si>
  <si>
    <t>DIFFERENT URBAN CONSOLIDATION CENTRE SCENARIOS: IMPACT ON EXTERNAL COSTS OF LAST-MILE DELIVERIES</t>
  </si>
  <si>
    <t>urban consolidation centres; transport externalities; urban freight delivery; city logistics; medium-sized cities; Novi Sad; Serbia</t>
  </si>
  <si>
    <t>FREIGHT-TRANSPORTATION SYSTEMS; GOODS; CITY; LOCATION</t>
  </si>
  <si>
    <t>The identification and mitigation of negative externalities from goods deliveries in urban areas are important aspects of sustainable urban development. Previous studies have shown that urban freight consolidation increases the load factor of Delivery Vehicles (DVs), reducing the vehicle-kilometres driven and thus reducing negative freight transport externalities in urban areas. The objective of this paper is to explore the possible impact of the number of Urban Consolidation Centres (UCCs) on the external costs of last-mile deliveries in freight transport and to determine the possible contribution of such consolidation scenarios to external cost mitigation. Therefore, several consolidation scenarios are considered assuming different numbers of UCCs in operation. A new consolidation scheme is proposed with more than one UCC to serve a given city area. Input data are obtained from a roadside questionnaire survey with a sample of 1617 drivers at 9 access roads to an urban area as part of the NOvi Sad TRAnsport Model (NOSTRAM) study. Externalities are calculated using the IMPACT methodology and discussed for different urban freight consolidation options. The best option is identified, and the results indicate that properly planned, organised and managed urban freight consolidation can significantly reduce transport externalities. The main research results showed that all of the proposed consolidation options increase the total driving distance in an urban area. However, some consolidation options significantly reduce the driving distance of less manageable vehicles in last-mile deliveries (long-haul heavy- and light-duty vehicles). Consequently, the external costs ranged from 2108.3 to 5420.5 EUR for the consolidation option, whereas the current state externalities are 2791.4 EUR. Thus, more small UCCs may provide better results than the central centre even in medium-sized cities.</t>
  </si>
  <si>
    <t>[Velickovic, Marko; Stojanovic, Durdica; Nikolicic, Svetlana; Maslaric, Marinko] Univ Novi Sad, Fac Tech Sci, Dept Traff Engn, Novi Sad, Serbia</t>
  </si>
  <si>
    <t>University of Novi Sad</t>
  </si>
  <si>
    <t>Velickovic, M (corresponding author), Univ Novi Sad, Fac Tech Sci, Dept Traff Engn, Novi Sad, Serbia.</t>
  </si>
  <si>
    <t>marvel@uns.ac.rs</t>
  </si>
  <si>
    <t>; Veličković, Marko/GYU-6341-2022; maslaric, marinko/HJY-5996-2023</t>
  </si>
  <si>
    <t>Velickovic, Marko/0000-0001-5969-6821; Maslaric, Marinko/0000-0002-4696-5188; Stojanović, Đurđica/0000-0001-8693-5314;</t>
  </si>
  <si>
    <t>Ministry of Education, Science and Technological Development of the Republic of Serbia [TR36030]</t>
  </si>
  <si>
    <t>Ministry of Education, Science and Technological Development of the Republic of Serbia</t>
  </si>
  <si>
    <t>This work was supported by the Ministry of Education, Science and Technological Development of the Republic of Serbia [Grant No. TR36030].</t>
  </si>
  <si>
    <t>10.3846/16484142.2017.1350995</t>
  </si>
  <si>
    <t>WOS:000453082600008</t>
  </si>
  <si>
    <t>Ma, F; Yang, ZJ; Zhao, SM; Yuen, KF; He, HN; Sun, QP; Lai, PL; Shang, Z</t>
  </si>
  <si>
    <t>Ma, Fei; Yang, Zhijie; Zhao, Shumei; Yuen, Kum Fai; He, Haonan; Sun, Qipeng; Lai, Polin; Shang, Zhen</t>
  </si>
  <si>
    <t>Assessing the Development Level of Logistics for Sustainable Cities in Urban Agglomeration Based on a Multi-Layer Complex Network</t>
  </si>
  <si>
    <t>SYSTEMS</t>
  </si>
  <si>
    <t>multi-layer network; logistics network; multi-dimensional analysis; developmental evaluation</t>
  </si>
  <si>
    <t>WORLD CITY NETWORK; CHINESE CITIES; IDENTIFICATION; TRANSPORT; FRAMEWORK; NODES; CARGO; BELT</t>
  </si>
  <si>
    <t>Evaluating the development level of urban logistics can significantly inform policies for the sustainable development of each city in an urban agglomeration. This study analyzed the logistics development of 11 cities in the Guanzhong Plain urban agglomeration (GPUA) of China. Compared to traditional urban logistics evaluation methods considering individual attributes, this study constructed a multi-layer complex logistics network of urban agglomerations (MCLNUA) based on complex network theory, which takes into account the multiple connections between cities. The development levels of logistics in these cities were evaluated from a multi-dimensional perspective of point-line-surface, (the point represents the node characteristic index of the city, the line represents the strength and direction of urban logistics connections between cities, and the surface represents the cohesive subgroup of cities). An urban spatial hierarchy and corresponding spatial development plan for urban logistics were also developed. The results show that there are significant differences in logistics levels between different cities. The spatial structure of the overall network connections shows the pattern of being strong in the south and weak in the north, and strong in the east and weak in the west. There are differences in the strength of connections between cohesive subgroups. The research provides a reference for the sustainable development of regional logistics in other urban agglomerations.</t>
  </si>
  <si>
    <t>[Ma, Fei; Yang, Zhijie; Zhao, Shumei; He, Haonan; Sun, Qipeng; Shang, Zhen] Changan Univ, Sch Econ &amp; Management, Xian 710064, Peoples R China; [Yuen, Kum Fai] Nanyang Technol Univ, Sch Civil &amp; Environm Engn, Singapore 639798, Singapore; [Lai, Polin] Chung Ang Univ, Dept Int Logist, Seoul 06974, South Korea</t>
  </si>
  <si>
    <t>Chang'an University; Nanyang Technological University; Chung Ang University</t>
  </si>
  <si>
    <t>Yang, ZJ (corresponding author), Changan Univ, Sch Econ &amp; Management, Xian 710064, Peoples R China.</t>
  </si>
  <si>
    <t>2022123041@chd.edu.cn</t>
  </si>
  <si>
    <t>Yuen, Kum Fai/K-2994-2019; Ma, Fei/HLX-8785-2023; Yuen, Kum Fai/B-8244-2015; LAI, Po-Lin/KHW-2665-2024; HE, HAONAN/GQZ-2330-2022</t>
  </si>
  <si>
    <t>Lai, Po-Lin/0000-0001-5940-864X; Yuen, Kum Fai/0000-0002-9199-6661; He, Haonan/0000-0002-1789-6259</t>
  </si>
  <si>
    <t>National Social Science Foundation of China [18BGL258]; Natural Science Basic Research Program of Shaanxi [2022JM423]; Scientific Research Plan Project of Shaanxi Provincial Department of Education [21JP007]; Social Science Fund Major Project of Xi'an [22GL89]</t>
  </si>
  <si>
    <t>National Social Science Foundation of China(National Office of Philosophy and Social Sciences); Natural Science Basic Research Program of Shaanxi; Scientific Research Plan Project of Shaanxi Provincial Department of Education; Social Science Fund Major Project of Xi'an</t>
  </si>
  <si>
    <t>This research was supported by the National Social Science Foundation of China [grant number 18BGL258], Natural Science Basic Research Program of Shaanxi [grant number 2022JM423], Scientific Research Plan Project of Shaanxi Provincial Department of Education [grant number 21JP007], Social Science Fund Major Project of Xi'an [grant number 22GL89].</t>
  </si>
  <si>
    <t>2079-8954</t>
  </si>
  <si>
    <t>SYSTEMS-BASEL</t>
  </si>
  <si>
    <t>Systems-Basel</t>
  </si>
  <si>
    <t>10.3390/systems10050171</t>
  </si>
  <si>
    <t>5P8MR</t>
  </si>
  <si>
    <t>WOS:000873399200001</t>
  </si>
  <si>
    <t>Aditjandra, PT; Galatioto, F; Bell, MC; Zunder, TH</t>
  </si>
  <si>
    <t>Aditjandra, Paulus T.; Galatioto, Fabio; Bell, Margaret C.; Zunder, Thomas H.</t>
  </si>
  <si>
    <t>Evaluating the impacts of urban freight traffic: application of micro-simulation at a large establishment</t>
  </si>
  <si>
    <t>EUROPEAN JOURNAL OF TRANSPORT AND INFRASTRUCTURE RESEARCH</t>
  </si>
  <si>
    <t>city logistics; freight traffic; environmental impact; receiver-led initiative; transport policy</t>
  </si>
  <si>
    <t>GOODS TRANSPORT; CITY LOGISTICS; MOVEMENT; ISSUES; FRAMEWORK; DELIVERY</t>
  </si>
  <si>
    <t>Heavy Goods Vehicles, HGV, and Light Goods Vehicles, LGV, are a significant contributor to air pollution problems in urban areas. This paper quantifies the contribution to the environment of the deliveries to a single, large city employer addressing a research gap in the literature. Analysis of data from comprehensive surveys carried out over two years demonstrated that freight delivery traffic generated by an urban establishment with multiple properties in a compact urban setting, is characterised by a high proportion of LGV consistent with recent national and international trends. Also, despite freight traffic is only 10% of local traffic, more than 50% serves the single establishment, suggesting a different approach to policy making driven by the employer should be explored. The modelling results showed, relatively, the largest contribution to total emissions comes from HGVs in the AM peak, 13.8%, 43.7%, 9.2% for CO2, NOx and PM respectively. LGV contribute less, with 5.5%, 3.8%, 6% for CO2, NOx and PM respectively but more responsible for local congestion due to their numbers. This research is the first known study of its type and with the unique combination of measurement and traffic microsimulation allowed consideration of more effective traffic management strategies as well as providing evidence to support a consolidation centre for deliveries outside the city with fewer electric or low emissions last mile vehicles reducing substantially the environmental impact. The research outputs are relevant to many other similar cases in UK and Europe. The paper contributes to the ongoing development of research and policy looking to achieve sustainable urban logistics through receiver and purchasing led initiatives.</t>
  </si>
  <si>
    <t>[Aditjandra, Paulus T.; Zunder, Thomas H.] Newcastle Univ, NewRail Newcastle Ctr Railway Res, Sch Mech &amp; Syst Engn, Newcastle Upon Tyne NE1 7RU, Tyne &amp; Wear, England; [Galatioto, Fabio; Bell, Margaret C.] Newcastle Univ, Transport Operat Res Grp, Sch Civil Engn &amp; Geosci, Newcastle Upon Tyne NE1 7RU, Tyne &amp; Wear, England</t>
  </si>
  <si>
    <t>Newcastle University - UK; Newcastle University - UK</t>
  </si>
  <si>
    <t>Aditjandra, PT (corresponding author), Stephenson Bldg,Kensington Terrace, Newcastle Upon Tyne NE1 7RU, Tyne &amp; Wear, England.</t>
  </si>
  <si>
    <t>paulus.aditjandra@ncl.ac.uk; fabio.galatioto@ncl.ac.uk; margaret.bell@ncl.ac.uk; tom.zunder@ncl.ac.uk</t>
  </si>
  <si>
    <t>Aditjana, Paulus/H-2100-2015; Bell, Margaret/C-5037-2016; Zunder, Thomas/C-5211-2013; Aditjandra, Paulus/H-2100-2015; Zunder, Thomas/C-5211-2013</t>
  </si>
  <si>
    <t>Aditjana, Paulus/0000-0002-7338-8902; Bell, Margaret/0000-0001-8822-8437; Zunder, Thomas/0000-0002-1865-6548; Zunder, Thomas/0000-0002-1865-6548</t>
  </si>
  <si>
    <t>EU; UK Engineering Physical Sciences Research Council (EPSRC) Self Conserving Urban Environments 'SECURE' project</t>
  </si>
  <si>
    <t>EU(European Union (EU)); UK Engineering Physical Sciences Research Council (EPSRC) Self Conserving Urban Environments 'SECURE' project(UK Research &amp; Innovation (UKRI)Engineering &amp; Physical Sciences Research Council (EPSRC))</t>
  </si>
  <si>
    <t>We wish to acknowledge the help of Bruce Carnaby, Clare Woroniuk and Ross Jackson for the data gathering traffic survey, and the EU Seventh Framework Programme (FP7) Smart Urban Freight Solutions 'Smartfusion' project and UK Engineering Physical Sciences Research Council (EPSRC) Self Conserving Urban Environments 'SECURE' project for financing the data collection and modelling respectively. Thanks also goes to Jesus Gonzalez-Feliu for his support supplying literature materials to improve the quality of the literature review.</t>
  </si>
  <si>
    <t>EDITORIAL BOARD EJTIR</t>
  </si>
  <si>
    <t>JAFFALAAN 5</t>
  </si>
  <si>
    <t>SECTION TRANSPORT POLICY-TLO, JAFFALAAN 5, JAFFALAAN 5, 2628 BX, NETHERLANDS</t>
  </si>
  <si>
    <t>1567-7133</t>
  </si>
  <si>
    <t>1567-7141</t>
  </si>
  <si>
    <t>EUR J TRANSP INFRAST</t>
  </si>
  <si>
    <t>Eur. J. Transport. Infrastruct. Res.</t>
  </si>
  <si>
    <t>JAN 4</t>
  </si>
  <si>
    <t>CZ1YL</t>
  </si>
  <si>
    <t>WOS:000366901900002</t>
  </si>
  <si>
    <t>Ballis, H; Dimitriou, L</t>
  </si>
  <si>
    <t>Ballis, Haris; Dimitriou, Loukas</t>
  </si>
  <si>
    <t>EVALUATION OF REINFORCEMENT LEARNING TRAFFIC SIGNALLING STRATEGIES FOR ALTERNATIVE OBJECTIVES: IMPLEMENTATION IN THE NETWORK OF NICOSIA, CYPRUS</t>
  </si>
  <si>
    <t>TRANSPORT AND TELECOMMUNICATION JOURNAL</t>
  </si>
  <si>
    <t>Reinforcement learning; Traffic signal control; Traffic management; Air quality; Large-scale micro-simulation</t>
  </si>
  <si>
    <t>Smart Cities promise to their residents, quick journeys in a clean and sustainable environment. Despite, the benefits accrued by the introduction of traffic management solutions (e.g. improved travel times, maximisation of throughput, etc.), these solutions usually fall short on assessing the environmental impact around the implementation areas. However, environmental performance corresponds to a primary goal of contemporary mobility planning and therefore, solutions guaranteeing environmental sustainability are significant. This study presents an advanced Artificial Intelligence-based (AI) signal control framework, able to incorporate environmental considerations into the core of signal optimisation processes. More specifically, a highly flexible Reinforcement Learning (RL) algorithm has been developed towards the identification of efficient but -more importantly- environmentally friendly signal control strategies. The methodology is deployed on a large-scale micro-simulation environment able to realistically represent urban traffic conditions. Alternative signal control strategies are designed, applied, and evaluated against their achieved traffic efficiency and environmental footprint. Based on the results obtained from the application of the methodology on a core part of the road urban network of Nicosia, Cyprus the best strategy achieved a 4.8% increase of the network throughput, 17.7% decrease of the average queue length and a remarkable 34.2% decrease of delay while considerably reduced the CO emissions by 8.1%. The encouraging results showcase ability of RL-based traffic signal controlling to ensure improved air-quality conditions for the residents of dense urban areas.</t>
  </si>
  <si>
    <t>[Ballis, Haris; Dimitriou, Loukas] Univ Cyprus, Nicosia, Cyprus</t>
  </si>
  <si>
    <t>University of Cyprus</t>
  </si>
  <si>
    <t>Ballis, H (corresponding author), Univ Cyprus, Nicosia, Cyprus.</t>
  </si>
  <si>
    <t>Ballis, Haris/0000-0003-2417-5270</t>
  </si>
  <si>
    <t>SCIENDO</t>
  </si>
  <si>
    <t>WARSAW</t>
  </si>
  <si>
    <t>BOGUMILA ZUGA 32A, WARSAW, MAZOVIA, POLAND</t>
  </si>
  <si>
    <t>1407-6160</t>
  </si>
  <si>
    <t>1407-6179</t>
  </si>
  <si>
    <t>TRANSP TELECOMMUN J</t>
  </si>
  <si>
    <t>Transp. Telecommun. J.</t>
  </si>
  <si>
    <t>10.2478/ttj-2020-0024</t>
  </si>
  <si>
    <t>OZ3YI</t>
  </si>
  <si>
    <t>WOS:000594865400006</t>
  </si>
  <si>
    <t>Pardini, K; Rodrigues, JJPC; Hassan, SA; Kumar, N; Furtado, V</t>
  </si>
  <si>
    <t>Pardini, Kellow; Rodrigues, Joel J. P. C.; Hassan, Syed Ali; Kumar, Neeraj; Furtado, Vasco</t>
  </si>
  <si>
    <t>Smart Waste Bin: A New Approach for Waste Management in Large Urban Centers</t>
  </si>
  <si>
    <t>Internet of Things; Smart Cities; Smart Waste Bin; Solid Waste Management; Waste Disposal System</t>
  </si>
  <si>
    <t>SOLID-WASTE</t>
  </si>
  <si>
    <t>Solid waste management is a significant worldwide problem, mainly for municipalities located within large urban areas. Efficient waste management is an essential requisite for a clean and safe environment, and keep cities away from the harm caused by the mismanagement of solid waste produced in urban centers. There are many technologies for managing waste collection as well as recycling, but among the studied related works, none addresses the citizen's perspective, focusing only on the collection performed by the landowners. This paper proposes an integrated system combining identification through ultrasonic sensors and load cell sensors, location by Global Positioning System (CPS), and communication through Global System of Mobile Communications (GSM) / General Packet Radio Service (GPRS). In other words, everything to provide citizens with a better disposal methodology for waste generated in their homes, besides being easily integrated with the municipal collection service to assist in efficient collection scheduling by promoting optimized routes. The solution is demonstrated, validated, and is ready for use.</t>
  </si>
  <si>
    <t>[Pardini, Kellow; Rodrigues, Joel J. P. C.] Natl Inst Telecommun Inatel, Santa Rita Do Sapucai, MG, Brazil; [Rodrigues, Joel J. P. C.] Inst Telecomunicacoes, Lisbon, Portugal; [Rodrigues, Joel J. P. C.; Furtado, Vasco] Univ Fortaleza UNIFOR, Fortaleza, Ceara, Brazil; [Hassan, Syed Ali] NUST, Islamabad, Pakistan; [Kumar, Neeraj] Thapar Univ, Comp Sci &amp; Engn Dept, Patiala, Punjab, India</t>
  </si>
  <si>
    <t>Instituto Nacional de Telecomunicacoes (INATEL); Instituto de Telecomunicacoes; Universidade Fortaleza; National University of Sciences &amp; Technology - Pakistan; Thapar Institute of Engineering &amp; Technology</t>
  </si>
  <si>
    <t>Pardini, K (corresponding author), Natl Inst Telecommun Inatel, Santa Rita Do Sapucai, MG, Brazil.</t>
  </si>
  <si>
    <t>kellow.pardini@mtel.inatel.br; joeljr@ieee.org; ali.hassan@seecs.edu.pk; neeraj.kumar@thapar.edu; vasco@unifor.br</t>
  </si>
  <si>
    <t>Kumar, Neeraj/ABA-5200-2021; Rodrigues, Joel/A-8103-2013; Hassan, Syed/C-1413-2017; Hassan, Syed Ali/C-1413-2017; Furtado, Vasco/AAB-8318-2019</t>
  </si>
  <si>
    <t>Kumar, Neeraj/0000-0002-3020-3947; Hassan, Syed Ali/0000-0002-8572-7377; Roigues, Joel/0000-0001-8657-3800;</t>
  </si>
  <si>
    <t>Finatel through the Inatel Smart Campus Projetct; FCT - Fundacao para a Ciencia e a Tecnologia [UID/EEA/50008/2013]; Finep [01.14.0231.00]; Brazilian National Council for Research and Development (CNPq) [309335/2017-5]; Finatel through the Inatel Smart Campus project</t>
  </si>
  <si>
    <t>Finatel through the Inatel Smart Campus Projetct; FCT - Fundacao para a Ciencia e a Tecnologia(Fundacao para a Ciencia e a Tecnologia (FCT)); Finep(Financiadora de Inovacao e Pesquisa (Finep)); Brazilian National Council for Research and Development (CNPq)(Conselho Nacional de Desenvolvimento Cientifico e Tecnologico (CNPQ)); Finatel through the Inatel Smart Campus project</t>
  </si>
  <si>
    <t>This work has been supported by Finatel through the Inatel Smart Campus Projetct; by National Funding from the FCT - Fundacao para a Ciencia e a Tecnologia through the UID/EEA/50008/2013 Project; by Finep, with resources from Funttel, Grant No. 01.14.0231.00, under the Centro de Referencia em Radiocomunicacoes - CRR project of the Instituto Nacional de Telecomunicacoes (Inatel), Brazil; by Finatel through the Inatel Smart Campus project; and by Brazilian National Council for Research and Development (CNPq) via Grant No. 309335/2017-5.</t>
  </si>
  <si>
    <t>WOS:000468872400430</t>
  </si>
  <si>
    <t>Durajczyk, P; Drop, N</t>
  </si>
  <si>
    <t>Durajczyk, Piotr; Drop, Natalia</t>
  </si>
  <si>
    <t>Possibilities of Using Inland Navigation to Improve Efficiency of Urban and Interurban Freight Transport with the Use of the River Information Services (RIS) System-Case Study</t>
  </si>
  <si>
    <t>urban freight transport; city logistics; inland waterways; inland navigation; RIS system; management</t>
  </si>
  <si>
    <t>HINTERLAND; WATERWAY; NETWORK; CITIES; TRENDS; PORT</t>
  </si>
  <si>
    <t>Inland navigation is hardly ever used to transport cargo in cities. In most urban areas, it is performed almost exclusively via road transport, with the virtual exclusion of rail and inland transport. Research and implementation projects in several European cities have shown that employing inland navigation is a viable alternative for road transport in urban areas. The research involved a case study of transporting the same number of 40-foot containers by inland waterway and road and then comparing the results in terms of transport time, transport costs, and carbon dioxide emissions between two metropolitan areas in Poland. The article shows that River Information Services (RIS) system can contribute to improving freight transport efficiency not only on longer routes, but also in urban and inter-urban conditions. The findings were that inland shipping is much cheaper and more environmentally friendly, but transport takes much longer and is not always possible due to insufficient waterway infrastructure. The paper can be used as a road map to proceed with new approach to planning urban and inter-urban logistics, with the use of inland navigation supported by the RIS system. The study delivers evidence that the main benefits of using RIS for urban logistics are: optimization of the cargo route, improved supervision and control of cargo transport, optimization of inter-branch transport, optimization of the use of fleet, more efficient use of technical infrastructure of waterways, combination of many recipients/senders into one transport, and reduction of administrative barriers.</t>
  </si>
  <si>
    <t>[Durajczyk, Piotr; Drop, Natalia] Maritime Univ Szczecin, Dept Maritime Econ &amp; Transport Syst, PL-70500 Szczecin, Poland</t>
  </si>
  <si>
    <t>Drop, N (corresponding author), Maritime Univ Szczecin, Dept Maritime Econ &amp; Transport Syst, PL-70500 Szczecin, Poland.</t>
  </si>
  <si>
    <t>p.durajczyk@am.szczecin.pl; n.drop@am.szczecin.pl</t>
  </si>
  <si>
    <t>op, Natalia/0000-0002-6148-7815; Durajczyk, Piotr/0000-0003-1447-973X</t>
  </si>
  <si>
    <t>Vice Rector for Science of the Maritime University of Szczecin [1/S/RB/21]</t>
  </si>
  <si>
    <t>Vice Rector for Science of the Maritime University of Szczecin</t>
  </si>
  <si>
    <t>FundingThe research was funded by the Vice Rector for Science of the Maritime University of Szczecin, grant number 1/S/RB/21.</t>
  </si>
  <si>
    <t>10.3390/en14217086</t>
  </si>
  <si>
    <t>WX3XS</t>
  </si>
  <si>
    <t>WOS:000718533400001</t>
  </si>
  <si>
    <t>Yadav, D; Choksi, M; Zaveri, MA</t>
  </si>
  <si>
    <t>Yadav, Deepika; Choksi, Meghavi; Zaveri, Mukesh A.</t>
  </si>
  <si>
    <t>Supervised Learning based Greenery region detection using Unnamed Aerial Vehicle for Smart City Application</t>
  </si>
  <si>
    <t>2019 10TH INTERNATIONAL CONFERENCE ON COMPUTING, COMMUNICATION AND NETWORKING TECHNOLOGIES (ICCCNT)</t>
  </si>
  <si>
    <t>International Conference on Computing Communication and Network Technologies</t>
  </si>
  <si>
    <t>10th International Conference on Computing, Communication and Networking Technologies (ICCCNT)</t>
  </si>
  <si>
    <t>JUL 06-08, 2019</t>
  </si>
  <si>
    <t>IIT Kanpur, Kanpur, INDIA</t>
  </si>
  <si>
    <t>IIT Kanpur</t>
  </si>
  <si>
    <t>Unmanned Aerial Vehicles; greenery region; Smart Cities; Supervised Learning</t>
  </si>
  <si>
    <t>TREE CROWN DETECTION; INDIVIDUAL TREE; DELINEATION; INTEGRATION; IMAGE</t>
  </si>
  <si>
    <t>In the urban areas, pollution and over-population are one of the major concern for smart city development. Trees in an urban area are extremely important as they provide shelter, removes air pollutants, reduces water runoff and also provides aesthetic benefits. For environmental planning and management, it is necessary to maintain trees and plants in the city, so accordingly various efforts are taken by the government to regrow plant over a needed area. Unnamed Aerial Vehicle (UAV) based Remote sensing technology can efficiently handle the management and monitoring of green resources with the help of operational methods. But most of the algorithms developed using UAV are for specific spices of trees. The proposed algorithm performs real time data collection using UAV, in which UAV act as an IoT node. The paper presents an efficient algorithm for the detection of green areas and it works for almost all kind of trees.</t>
  </si>
  <si>
    <t>[Yadav, Deepika; Choksi, Meghavi; Zaveri, Mukesh A.] Sardar Vallabhbhai Natl Inst Technol, Comp Engn Dept, Surat 395007, India</t>
  </si>
  <si>
    <t>National Institute of Technology (NIT System); Sardar Vallabhbhai National Institute of Technology</t>
  </si>
  <si>
    <t>Yadav, D (corresponding author), Sardar Vallabhbhai Natl Inst Technol, Comp Engn Dept, Surat 395007, India.</t>
  </si>
  <si>
    <t>deepika.yadav241193@gmail.com; meghavichoksi@gmail.com; mazaveri@coed.svnit.ac.in</t>
  </si>
  <si>
    <t>Yadav, Deepika/MSZ-4736-2025; Zaveri, Mukesh/A-5271-2014</t>
  </si>
  <si>
    <t>Ministry of Electronics and Information Technology (MeitY); Ministry of Human Resource Development (MHRD), Government of India [13(4)/2016-CCBT]</t>
  </si>
  <si>
    <t>Ministry of Electronics and Information Technology (MeitY)(Ministry of Electronics and Information Technology (MEITY), Government of India); Ministry of Human Resource Development (MHRD), Government of India(Ministry of Human Resource Development (MHRD), Government of India)</t>
  </si>
  <si>
    <t>This work is supported by the Ministry of Electronics and Information Technology (MeitY), funded by Ministry of Human Resource Development (MHRD), Government of India (Grant No. 13(4)/2016-CC&amp;BT).</t>
  </si>
  <si>
    <t>2162-7665</t>
  </si>
  <si>
    <t>978-1-5386-5906-9</t>
  </si>
  <si>
    <t>INT CONF COMPUT</t>
  </si>
  <si>
    <t>Computer Science, Hardware &amp; Architecture; Telecommunications</t>
  </si>
  <si>
    <t>BO7WM</t>
  </si>
  <si>
    <t>WOS:000525828100128</t>
  </si>
  <si>
    <t>Mrazovic, P; Eravci, B; Larriba-Pey, JL; Ferhatosmanoglu, H; Matskin, M</t>
  </si>
  <si>
    <t>Mrazovic, Petar; Eravci, Bahaeddin; Larriba-Pey, Josep L.; Ferhatosmanoglu, Hakan; Matskin, Mihhail</t>
  </si>
  <si>
    <t>Understanding and Predicting Trends in Urban Freight Transport</t>
  </si>
  <si>
    <t>2017 18TH IEEE INTERNATIONAL CONFERENCE ON MOBILE DATA MANAGEMENT (IEEE MDM 2017)</t>
  </si>
  <si>
    <t>IEEE International Conference on Mobile Data Management</t>
  </si>
  <si>
    <t>18th IEEE International Conference on Mobile Data Management (MDM)</t>
  </si>
  <si>
    <t>MAY 29-JUN 01, 2017</t>
  </si>
  <si>
    <t>Daejeon, SOUTH KOREA</t>
  </si>
  <si>
    <t>urban freight transport; smart mobility; smart cities; parking availability prediction</t>
  </si>
  <si>
    <t>Among different components of urban mobility, urban freight transport is usually considered as the least sustainable. Limited traffic infrastructures and increasing demands in dense urban regions lead to frequent delivery runs with smaller freight vehicles. This increases the traffic in urban areas and has negative impacts upon the quality of life in urban populations. Data driven optimizations are essential to better utilize existing urban transport infrastructures and to reduce the negative effects of freight deliveries for the cities. However, there is limited work and data driven research on urban delivery areas and freight transportation networks. In this paper, we collect and analyse data on urban freight deliveries and parking areas towards an optimized urban freight transportation system. Using a new check-in based mobile parking system for freight vehicles, we aim to understand and optimize freight distribution processes. We explore the relationship between areas' availability patterns and underlying traffic behaviour in order to understand the trends in urban freight transport. By applying the detected patterns we predict the availabilities of loading/unloading areas, and thus open up new possibilities for delivery route planning and better managing of freight transport infrastructures.</t>
  </si>
  <si>
    <t>[Mrazovic, Petar; Matskin, Mihhail] Royal Inst Technol, Dept Software &amp; Comp Syst, Stockholm, Sweden; [Eravci, Bahaeddin; Ferhatosmanoglu, Hakan] Bilkent Univ, Dept Comp Engn, Ankara, Turkey; [Mrazovic, Petar; Larriba-Pey, Josep L.] Univ Politecn Cataluna, Dept Comp Architecture, Barcelona, Spain; [Ferhatosmanoglu, Hakan] Max Planck Inst Informat, Saarbrucken, Germany</t>
  </si>
  <si>
    <t>Royal Institute of Technology; Ihsan Dogramaci Bilkent University; Universitat Politecnica de Catalunya; Max Planck Society</t>
  </si>
  <si>
    <t>Mrazovic, P (corresponding author), Royal Inst Technol, Dept Software &amp; Comp Syst, Stockholm, Sweden.;Mrazovic, P (corresponding author), Univ Politecn Cataluna, Dept Comp Architecture, Barcelona, Spain.</t>
  </si>
  <si>
    <t>mrazovic@kth.se; beravci@gmail.com; larri@ac.upc.edu; hakan@cs.bilkent.edu.tr; misha@kth.se</t>
  </si>
  <si>
    <t>; Eravcı, Bahaeddin/IZE-3743-2023</t>
  </si>
  <si>
    <t>Ferhatosmanoglu, Hakan/0000-0002-5181-4712; ERAVCI, Bahaeddin/0000-0002-9006-917X;</t>
  </si>
  <si>
    <t>1551-6245</t>
  </si>
  <si>
    <t>978-1-5386-3932-0</t>
  </si>
  <si>
    <t>IEEE INT CONF MOB DA</t>
  </si>
  <si>
    <t>10.1109/MDM.2017.26</t>
  </si>
  <si>
    <t>BJ5GW</t>
  </si>
  <si>
    <t>WOS:000425916300015</t>
  </si>
  <si>
    <t>Kijewska, K; Johansen, BG; Iwan, S</t>
  </si>
  <si>
    <t>Kijewska, Kinga; Johansen, Bjorn Gjerde; Iwan, Stanislaw</t>
  </si>
  <si>
    <t>Analysis of freight transport demand at Szczecin and Oslo area</t>
  </si>
  <si>
    <t>city logistics; goods delivering system; urban freight transport; transport management</t>
  </si>
  <si>
    <t>The main problem arising in the process of management of the transport and distribution of goods in urban areas is the lack of data regarding deliveries, in particular with regard to the structure of demand as well as the classification of vehicles, their routes, changes in demand for transport, etc. The paper introduces the results of analysis of the goods distribution within the city centre of Szczecin and Oslo, covering a significant number of companies, retail and service entities, entities of the HoReCa sector, schools, universities, and public administration. The studies are part of research carried out under the project GRASS (GReen And Sustainable freight transport Systems in cities). The studies presented in this paper were carried out in two stages. The first stage of work included carrying out initial research allowing for an assessment of the current status in the analysed areas of Szczecin and Oslo. In the second stage of the survey results were updated with data on the increase in demand for delivery in the Christmas period. Moreover, the survey was conducted in the shopping centres located in the designated area of the city. This enabled to determine the seasonal increase in demand for freight deliveries. (C) 2016 The Authors. Published by Elsevier B.V.</t>
  </si>
  <si>
    <t>[Kijewska, Kinga; Iwan, Stanislaw] Maritime Univ Szczecin, Fac Econ &amp; Transport Engn, Ul Poboznego 11, PL-70507 Szczecin, Poland; [Johansen, Bjorn Gjerde] Inst Transport Econ, Gaustadalleen 21, N-0349 Oslo, Norway</t>
  </si>
  <si>
    <t>Kijewska, K (corresponding author), Maritime Univ Szczecin, Fac Econ &amp; Transport Engn, Ul Poboznego 11, PL-70507 Szczecin, Poland.</t>
  </si>
  <si>
    <t>k.kijewska@am.szczecin.pl</t>
  </si>
  <si>
    <t>Kijewska, Kinga/AGE-9889-2022; Iwan, Stanisław/AEO-7695-2022</t>
  </si>
  <si>
    <t>Kijewska, Kinga/0000-0003-4980-9372; Iwan, Stanisław/0000-0002-5480-5475</t>
  </si>
  <si>
    <t>10.1016/j.trpro.2016.05.408</t>
  </si>
  <si>
    <t>WOS:000383251002104</t>
  </si>
  <si>
    <t>Law, KH; Lynch, JP</t>
  </si>
  <si>
    <t>Law, Kincho H.; Lynch, Jerome P.</t>
  </si>
  <si>
    <t>Smart City: Technologies and Challenges</t>
  </si>
  <si>
    <t>IT PROFESSIONAL</t>
  </si>
  <si>
    <t>Smart cities; Smart buildings; Intelligent sensors; Urban areas; Economics; Public infrastructure; Investment; Energy management; Sustainable development; Information and communication technology</t>
  </si>
  <si>
    <t>To address the grand challenges brought about by urbanization, smart city has become a ubiquitous concept for sustaining urban and economic growthwhile addressing the environmental and social issues created by that growth. While numerous articles and reports have been written about smart cities, a universal definition of what constitutes a smart city has yet to emerge with widespread consensus. A common theme to most definitions is the utilization of information and communication technologies (ICT) as an enabler to support city development, enhance urban services, and increase stakeholder access to information. Using this theme as a defining element, smart cities are quickly emerging around the world with city-wide investments in ICT to drive technological innovation, to support the development of new industries, to spur a stronger economy, to maintain a sustainable environment, and to enhance the quality of life of citizens.</t>
  </si>
  <si>
    <t>[Law, Kincho H.] Stanford Univ, Stanford, CA 94305 USA; [Lynch, Jerome P.] Univ Michigan, Ann Arbor, MI 48109 USA</t>
  </si>
  <si>
    <t>Stanford University; University of Michigan System; University of Michigan</t>
  </si>
  <si>
    <t>Law, KH (corresponding author), Stanford Univ, Stanford, CA 94305 USA.</t>
  </si>
  <si>
    <t>Lynch, Jerome/LXU-9024-2024</t>
  </si>
  <si>
    <t>1520-9202</t>
  </si>
  <si>
    <t>1941-045X</t>
  </si>
  <si>
    <t>IT PROF</t>
  </si>
  <si>
    <t>IT Prof.</t>
  </si>
  <si>
    <t>NOV-DEC</t>
  </si>
  <si>
    <t>10.1109/MITP.2019.2935405</t>
  </si>
  <si>
    <t>Computer Science, Information Systems; Computer Science, Software Engineering; Telecommunications</t>
  </si>
  <si>
    <t>JO3AQ</t>
  </si>
  <si>
    <t>WOS:000497454100008</t>
  </si>
  <si>
    <t>Wang, ZY; Thulasiraman, P</t>
  </si>
  <si>
    <t>Wu, W; Wang, L; Ji, C; Chen, N; Sun, Q; Song, X; Wang, X</t>
  </si>
  <si>
    <t>Wang, Ziyue; Thulasiraman, Parimala</t>
  </si>
  <si>
    <t>Foreseeing Congestion using LSTM on Urban Traffic Flow Clusters</t>
  </si>
  <si>
    <t>2019 6TH INTERNATIONAL CONFERENCE ON SYSTEMS AND INFORMATICS, ICSAI</t>
  </si>
  <si>
    <t>6th International Conference on Systems and Informatics</t>
  </si>
  <si>
    <t>NOV 02-04, 2019</t>
  </si>
  <si>
    <t>PREDICTION; NETWORK; MULTIVARIATE; MODELS</t>
  </si>
  <si>
    <t>Currently, Intelligent Transportation Systems (ITS), is revolutionizing the transportation industry. ITS incorporates advanced Internet of Things (IoT) technologies to implement Smart City. These technologies produce tremendous amount of real time data from diverse sources that can be used to solve transportation problems. In this paper, we focus on one such problem, traffic congestion in urban areas. A road segment affected by traffic affects the surrounding road segments. This is obvious. However, over a period of time, other roads not necessarily close in proximity to the congested road segment may also be affected. The congestion is not stationary. It is dynamic and it spreads. We address this issue by first formulating a similarity function using ideas from network theory. Using this similarity function, we then cluster the road points affected by traffic using affinity propagation clustering, a distributed message passing algorithm. Finally, we predict the effect of traffic on this cluster using long -short term memory neural network model. We evaluate and show the feasibility of our proposed clustering and prediction algorithm during peak and non -peak hours on open source traffic data set.</t>
  </si>
  <si>
    <t>[Wang, Ziyue; Thulasiraman, Parimala] Univ Manitoba, Dept Comp Sci, Winnipeg, MB, Canada</t>
  </si>
  <si>
    <t>University of Manitoba</t>
  </si>
  <si>
    <t>Wang, ZY (corresponding author), Univ Manitoba, Dept Comp Sci, Winnipeg, MB, Canada.</t>
  </si>
  <si>
    <t>wangz315@myumanitoba.ca; thulasir@cs.umanitoba.ca</t>
  </si>
  <si>
    <t>University of Manitoba Research Grants Program; Faculty of Science Research Innovation and Commercialization Grant; Natural Sciences and Engineering Research Council of Canada</t>
  </si>
  <si>
    <t>University of Manitoba Research Grants Program; Faculty of Science Research Innovation and Commercialization Grant; Natural Sciences and Engineering Research Council of Canada(Natural Sciences and Engineering Research Council of Canada (NSERC)CGIAR)</t>
  </si>
  <si>
    <t>The second author thanks the University of Manitoba Research Grants Program, the Faculty of Science Research Innovation and Commercialization Grant and The Natural Sciences and Engineering Research Council of Canada for their support in conducting this research.</t>
  </si>
  <si>
    <t>978-1-7281-5257-8; 978-1-7281-5256-1</t>
  </si>
  <si>
    <t>BY3XC</t>
  </si>
  <si>
    <t>WOS:001435004500139</t>
  </si>
  <si>
    <t>Tu, M; Zou, Q; Chen, ZR</t>
  </si>
  <si>
    <t>Tu, Min; Zou, Qi; Chen, Zhuorui</t>
  </si>
  <si>
    <t>Research on Location Characteristics of Logistics Industry in Wuhan Based on Spatial Syntax and POI</t>
  </si>
  <si>
    <t>2019 5TH INTERNATIONAL CONFERENCE ON TRANSPORTATION INFORMATION AND SAFETY (ICTIS 2019)</t>
  </si>
  <si>
    <t>5th International Conference on Transportation Information and Safety (ICTIS)</t>
  </si>
  <si>
    <t>JUL 14-17, 2019</t>
  </si>
  <si>
    <t>Liverpool, ENGLAND</t>
  </si>
  <si>
    <t>logistics; location; spatial syntax; POI big data; Wuhan</t>
  </si>
  <si>
    <t>Urban road structure is an important factor affecting the distribution of urban logistics industry. As the core carrier and organization subject of logistics space, logistics nodes and logistics enterprises have important significance for optimizing the spatial layout of urban logistics and rational allocation of logistics resources. Based on the Baidu Point of Interest (POI) platform, this paper collect massive data of logistics nodes, logistics enterprises and logistics facilities in Wuhan, study the spatial accessibility and logistics of road networks and the agglomeration characteristics of logistics industry by using spatial syntax model and GIS nuclear density method, and the relationship between them is illustrated by bivariate analysis. The results show that: (1) The overall distribution of the logistics industry is characterized by a spatial pattern of Chinese character North-shaped distribution along the banks of the Yangtze River, and different types of POIs are presented in different layouts and hierarchical levels. Among them, the logistics nodes are concentrated in the city center, the logistics facilities are around City ring line, and logistics enterprises match the industrial layout. (2) The roads in the central city, the urban ring road and the external traffic circle have good permeability, and can quickly realize the space connection, so it corresponds to the area where the logistics industry is highly concentrated.</t>
  </si>
  <si>
    <t>[Tu, Min; Zou, Qi; Chen, Zhuorui] Wuhan Univ Technol, Sch Transportat, Wuhan, Peoples R China</t>
  </si>
  <si>
    <t>Wuhan University of Technology</t>
  </si>
  <si>
    <t>Tu, M (corresponding author), Wuhan Univ Technol, Sch Transportat, Wuhan, Peoples R China.</t>
  </si>
  <si>
    <t>tumin0929@sina.com; zouqi1028@qq.com; 494621548@qq.com</t>
  </si>
  <si>
    <t>National Science Fundation for Young Scientists of China [41101106]</t>
  </si>
  <si>
    <t>National Science Fundation for Young Scientists of China</t>
  </si>
  <si>
    <t>In this paper, the research was supported by the National Science Fundation for Young Scientists of China Study on the Location Differentiation of China's Port FDI and Its Impact on Port Market Structure (Project No. 41101106).</t>
  </si>
  <si>
    <t>978-1-7281-0489-8</t>
  </si>
  <si>
    <t>10.1109/ictis.2019.8883755</t>
  </si>
  <si>
    <t>BQ7AT</t>
  </si>
  <si>
    <t>WOS:000614113600214</t>
  </si>
  <si>
    <t>Hasnaoui, MD; Bouziane, A; Ouazar, D; Alaoui, M; Boudaoud, Y; Hadine, A</t>
  </si>
  <si>
    <t>Driss Hasnaoui, Moulay; Bouziane, Ahmed; Ouazar, Driss; Alaoui, Mohamed; Boudaoud, Youness; Hadine, Achraf</t>
  </si>
  <si>
    <t>Modeling the impact of the rainwater harvesting on flood mitigation in the Bouskoura basin and its prospects adaptation to climate change</t>
  </si>
  <si>
    <t>HOUILLE BLANCHE-REVUE INTERNATIONALE DE L EAU</t>
  </si>
  <si>
    <t>Storm water Harvesting; In situ Integrated Water Resources Management; Homogeneous Hydrological Unit; Sustainable Development of Watersheds; Smart Spaces</t>
  </si>
  <si>
    <t>To face the challenges of urbanization and climate change in Morocco, within the initiative of the Department of Water, we started working recently on the development of rainwater harvesting (RWH). The Bouskoura basin is the pilot site selected, because an integrated water resources management (IWRM) approach may be considered due to rapid urbanization and industrialization, and hosting wide facilities such as airport, highway, many expanding urban areas promotion and including 64% of rural areas. Hydrological modeling was carried out through HEC-HMS model for the reconstitution of theoretical natural hydrograph because of the lack of hydrological measurements and STORM model to study the integrated effect of the water harvesting facilities on the socio-economic and environmental aspects of the basin and its relationships with its environment. Continuous simulations are made based on data from climate models re analysis because of the lack of ground measured climate data. Modeling was used to measure the impact of storm-water on the environment in general and on the hydrological cycle in particular including mitigation of flood magnitudes, the substantial drinking water costs reduction, the impact obtained from watering green spaces, the artificial recharge of the aquifer and the reduction of greenhouse effect gas emissions. We need to put emphasis on the fact that these in situ IWRM developed in this case, can lead to creation of smart spaces from smart projects through smart cities to smart watersheds. The results are promising and show that flood mitigation for the Bouskoura basin is 46% of the peak flow. The other advantages are of useful importance in domestic use, infiltration to the aquifer, etc. The impacts for each unit such as airport, roads, administrative or industrial buildings are measured in this case. We can conclude that if more space is urbanized more the impact is important. The information carried out will provide in the future a decision support system to monitor sustainable urbanization development in the basin.</t>
  </si>
  <si>
    <t>[Driss Hasnaoui, Moulay; Alaoui, Mohamed] Minist Energie Mines Eau &amp; Environm Charge Eau, Minist Delegue, Rabat, Morocco; [Bouziane, Ahmed; Ouazar, Driss; Boudaoud, Youness; Hadine, Achraf] Univ Mohammed 5, Ecole Mohammadia Ingenieurs, Lab Anal Syst Hydraul, Rabat, Morocco</t>
  </si>
  <si>
    <t>Hasnaoui, MD (corresponding author), Minist Energie Mines Eau &amp; Environm Charge Eau, Minist Delegue, Rue Hassan Ben Chekroun, Rabat, Morocco.</t>
  </si>
  <si>
    <t>hasnaouimd@gmail.com; ouazard@gmail.com</t>
  </si>
  <si>
    <t>EDP SCIENCES S A</t>
  </si>
  <si>
    <t>LES ULIS CEDEX A</t>
  </si>
  <si>
    <t>17, AVE DU HOGGAR, PA COURTABOEUF, BP 112, F-91944 LES ULIS CEDEX A, FRANCE</t>
  </si>
  <si>
    <t>0018-6368</t>
  </si>
  <si>
    <t>1958-5551</t>
  </si>
  <si>
    <t>HOUILLE BLANCHE</t>
  </si>
  <si>
    <t>Houille Blanche-Rev. Int.</t>
  </si>
  <si>
    <t>10.1051/lhb/2015007</t>
  </si>
  <si>
    <t>CD4CJ</t>
  </si>
  <si>
    <t>WOS:000351029900009</t>
  </si>
  <si>
    <t>Kijewska, K</t>
  </si>
  <si>
    <t>Kijewska, Kinga</t>
  </si>
  <si>
    <t>Analysis of the Christmas period impact on the freight transport demand in Szczecin</t>
  </si>
  <si>
    <t>The main problem arising in the process of management of the transport and distribution of goods in urban areas is the lack of data regarding deliveries, in particular with regard to the structure of demand as well as the classification of vehicles, their routes, changes in demand for transport, etc. The aim of the research presented in the paper is to fill this gap in Szczecin (Poland). The studies are part of research carried out under the project GRASS (GReen And Sustainable freight transport Systems in cities). The paper introduces the results of second stage analysis of the goods distribution within the city centre of Szczecin, covering a significant number of companies, retail and service entities, entities of the HoReCa sector, schools, universities, and public administration. The studies presented in this paper of the survey results illustrate the impact of Christmas period on the increasing demand for delivery in Szczecin example.. Moreover, the survey was conducted in the shopping centres located in the designated area of the city. This enabled to determine the seasonal increase in demand for freight deliveries. (C) 2016 The Authors. Published by Elsevier B.V.</t>
  </si>
  <si>
    <t>[Kijewska, Kinga] Maritime Univ Szczecin, Fac Econ &amp; Transport Engn, Ul Poboznego 11, PL-70507 Szczecin, Poland</t>
  </si>
  <si>
    <t>; Kijewska, Kinga/AGE-9889-2022</t>
  </si>
  <si>
    <t>Kijewska, Kinga/0000-0003-4980-9372;</t>
  </si>
  <si>
    <t>10.1016/j.trpro.2016.11.018</t>
  </si>
  <si>
    <t>WOS:000390612800017</t>
  </si>
  <si>
    <t>Kos, B</t>
  </si>
  <si>
    <t>Kos, Barbara</t>
  </si>
  <si>
    <t>GLOBAL TRENDS IN INTELLIGENT DEVELOPMENT OF URBANIZED AREAS</t>
  </si>
  <si>
    <t>smart city; smart mobility; sustainable city; metropolis; smart living</t>
  </si>
  <si>
    <t>CITIES; CITY; INDICATORS; IMPACTS; WORLD</t>
  </si>
  <si>
    <t>Contemporary urban areas are usually multi-million cities, agglomerations and metropolises, whose development was determined by historical, spatial, economic, social and political factors. The concentration of economic and social activities in these areas causes many negative effects influencing the conditions and quality of life of residents. Existing problems, development opportunities and expectations of the residents are different in different cities. Constant urban population growth requires preparation of proper development plans and responsible management of these areas. There are also new cities which are built from scratch (so-called greenfield development), that are expected to guarantee residents a high quality of life. Intelligent urban development is based on the concept of a smart city as a modern city of the future, assuming sustainable urban development based on innovative technologies. The aim of intelligent technologies used in the cities is to improve their functionality and to support the residents and provide them with comfortable, economic and safe lives. The smart city concept is the subject of broad deliberations in the literature and there are many different definitions that emphasize technical, social, institutional and environmental aspects. Six essential components that make up a smart city are often listed: smart governance, smart economy, smart mobility, smart environment, smart people, smart living. Different phases of intelligent cities development are also described. The aim of the article is to present global demographic, technological and innovative trends in the development of urban areas in the aspect of smart cities of the future.</t>
  </si>
  <si>
    <t>[Kos, Barbara] Univ Econ Katowice, 1 Maja 50, PL-40287 Katowice, Poland</t>
  </si>
  <si>
    <t>University of Economics in Katowice</t>
  </si>
  <si>
    <t>Kos, B (corresponding author), Univ Econ Katowice, 1 Maja 50, PL-40287 Katowice, Poland.</t>
  </si>
  <si>
    <t>barbara.kos@ue.katowice.pl</t>
  </si>
  <si>
    <t>Kos, Barbara/0000-0001-5814-5454</t>
  </si>
  <si>
    <t>WOS:000681676300280</t>
  </si>
  <si>
    <t>Kornec, R; Wereda, W</t>
  </si>
  <si>
    <t>Bratianu, C; Zbuchea, A; Vitelar, A</t>
  </si>
  <si>
    <t>Kornec, Radoslaw; Wereda, Wioletta</t>
  </si>
  <si>
    <t>INTELLIGENT MOBILITY IN SHAPING URBAN SUSTAINABILITY</t>
  </si>
  <si>
    <t>STRATEGICA: CHALLENGING THE STATUS QUO IN MANAGEMENT AND ECONOMICS</t>
  </si>
  <si>
    <t>Strategica</t>
  </si>
  <si>
    <t>6th International Academic Conference on Strategica - Challenging the Status Quo in Management and Economics</t>
  </si>
  <si>
    <t>OCT 11-12, 2018</t>
  </si>
  <si>
    <t>Bucharest, ROMANIA</t>
  </si>
  <si>
    <t>intelligent mobility; sustainable development; smart city; management of intelligent assets</t>
  </si>
  <si>
    <t>The policy for sustainable development for years has been a challenge for local authorities, enterprises operating within agglomerations or urban residents, in the area of ever-higher environmental standards. This is mainly due to the fact that the ongoing process of urbanization of the world, although it is a symbol of social evolution, raises numerous challenges related to intensive energy consumption, overloaded transport networks, water and air pollution, waste and a drop in the quality of life. The implementation of new technologies is currently perceived as a key factor in reducing greenhouse gas emissions, pollution or improving the efficiency of cities. These technologies must be smart, slim, integrated, cost-effective. They should play an important role not only in the field of environmental sustainability but also with regard to the well-being of citizens and financial stability. One of the key areas shaping smart cities, where contemporary technologies should be implemented, is transport. The effective transport operates in well-developed areas. This is one of the aspects of the functioning of urban areas, which is also an element and condition for economic growth.</t>
  </si>
  <si>
    <t>[Kornec, Radoslaw] Siedlce Univ Nat Sci &amp; Humanities, Zytnia 17-19 St, PL-08110 Siedlce, Poland; [Wereda, Wioletta] Mil Univ Technol Warsaw, Sylwestra Kaliskiego 2, PL-01476 Warsaw, Poland</t>
  </si>
  <si>
    <t>Wereda, W (corresponding author), Mil Univ Technol Warsaw, Sylwestra Kaliskiego 2, PL-01476 Warsaw, Poland.</t>
  </si>
  <si>
    <t>weredawioletta@tlen.pl</t>
  </si>
  <si>
    <t>Kornec, Radoslaw/R-1901-2017; Wereda, Wioletta/S-4342-2018</t>
  </si>
  <si>
    <t>TRITONIC PUBL HOUSE</t>
  </si>
  <si>
    <t>BUCHAREST</t>
  </si>
  <si>
    <t>5, COACAZELOR ST, SECTOR 2, BUCHAREST, 022651, ROMANIA</t>
  </si>
  <si>
    <t>2392-702X</t>
  </si>
  <si>
    <t>978-606-749-365-8</t>
  </si>
  <si>
    <t>STRATEGICA</t>
  </si>
  <si>
    <t>Development Studies; Economics; Management</t>
  </si>
  <si>
    <t>Development Studies; Business &amp; Economics</t>
  </si>
  <si>
    <t>BN4KG</t>
  </si>
  <si>
    <t>WOS:000482078200101</t>
  </si>
  <si>
    <t>Ishimwe Ngabo, C; El Beqqali, O</t>
  </si>
  <si>
    <t>Ishimwe Ngabo, Christophe; El Beqqali, Omar</t>
  </si>
  <si>
    <t>3D Tilt Sensing by Using Accelerometer-based Wireless Sensor Networks</t>
  </si>
  <si>
    <t>2018 INTERNATIONAL CONFERENCE ON INTELLIGENT SYSTEMS AND COMPUTER VISION (ISCV2018)</t>
  </si>
  <si>
    <t>International Conference on Intelligent Systems and Computer Vision (ISCV)</t>
  </si>
  <si>
    <t>APR 02-04, 2018</t>
  </si>
  <si>
    <t>Fac Sci Dhar Mahraz, Fez, MOROCCO</t>
  </si>
  <si>
    <t>Fac Sci Dhar Mahraz</t>
  </si>
  <si>
    <t>Wireless Sensor Networks; Accelerometer; Smart Cities; Tilt Sensing; Real-time Monitoring; Urban Management</t>
  </si>
  <si>
    <t>Real-time tilt sensing in urban areas can provide crucial information regarding the instant evolution of sensitive assets of the city to better safeguard the sites sustainability and security of people. In this paper, we proposed a novel approach based on the accelerometer sensor to recognize tilt angle between the vertical plan (the light poles along the road, the transmission tower, crossing bridges, etc.) and the ground. Indeed, we used the tri-axial accelerometer embedded in a Wireless Sensor Network (WSN) platform manufactured by Libellium, named Waspmote Starter Kit. The collected data are sent from one sensor node to another until the gateway and then to the processing center. Our recognition method uses the calculation and mapping of the values sensed by an accelerometer to a corresponding angle. The z-component corresponding to the gravity allows recognizing the real-time tilt of the horizontal plane while the x and y-components indicate in which side the plan is bent. This approach is applied to the smart city to provide an effective solution for real-time electric transmission pole monitoring. A computer program processes the angle results of the mapping and plots the 3D scene on the monitoring screen reproducing the behaviour of electric pole remotely located. The experimental results of our approach are satisfactory because the average error that can be committed by comparing the calculated and measured angle is about 1.0 degrees.</t>
  </si>
  <si>
    <t>[Ishimwe Ngabo, Christophe; El Beqqali, Omar] Sidi Mohamed Ben Abdellah Univ, FSDM Fez, Dept Comp Sci, Fes, Morocco; [Ishimwe Ngabo, Christophe; El Beqqali, Omar] Sidi Mohamed Ben Abdellah Univ, FSDM Fez, GRMS2I LIIAN, Fes, Morocco</t>
  </si>
  <si>
    <t>Sidi Mohamed Ben Abdellah University of Fez; Sidi Mohamed Ben Abdellah University of Fez</t>
  </si>
  <si>
    <t>Ishimwe Ngabo, C (corresponding author), Sidi Mohamed Ben Abdellah Univ, FSDM Fez, Dept Comp Sci, Fes, Morocco.;Ishimwe Ngabo, C (corresponding author), Sidi Mohamed Ben Abdellah Univ, FSDM Fez, GRMS2I LIIAN, Fes, Morocco.</t>
  </si>
  <si>
    <t>christophe.ngabo@usmba.ac.ma; omar.elbeqqali@usmba.ac.ma</t>
  </si>
  <si>
    <t>978-1-5386-4396-9</t>
  </si>
  <si>
    <t>BK3MZ</t>
  </si>
  <si>
    <t>WOS:000435239200005</t>
  </si>
  <si>
    <t>Björklund, M; Abrahamsson, M; Johansson, H</t>
  </si>
  <si>
    <t>Bjorklund, Maria; Abrahamsson, Mats; Johansson, Henrik</t>
  </si>
  <si>
    <t>Critical factors for viable business models for urban consolidation centres</t>
  </si>
  <si>
    <t>Urban logistics; Business models; Critical factors; Urban consolidation centres</t>
  </si>
  <si>
    <t>FREIGHT; RETAIL</t>
  </si>
  <si>
    <t>Although urban consolidation centres (UCC) worldwide have improved urban freight distribution and reduced externalities, other UCC initiatives have not materialised due to problems such as for example, business model limitations. All the same, researchers have rarely described business model components relevant to city logistics. In response, the purpose of this article is to analyse critical factors for viable business models of city logistics initiatives involving UCCs. Following an extensive literature review and multiple-case study of five initiatives with UCCs, we identified seven critical factors of viable city logistics business models: the ability to scale up and down the UCC solution; an ability to continuously develop and adapt to a dynamic environment; the important entrepreneurial role of the initiator as well; the acknowledgment of society; ability to innovate new services; logistics and supply chain management competence; and the ability to take full advantage of advanced IT. All seven factors describe continuously redeveloped business models seeking to seize new and unexpected opportunities, yet also indicate that city logistics systems require local authorities and municipalities to act as initiators, enablers, and customers. The models also underscore differences between purely commercial and purely municipal city logistics initiatives. (C) 2017 Elsevier Ltd. All rights reserved.</t>
  </si>
  <si>
    <t>[Bjorklund, Maria; Abrahamsson, Mats; Johansson, Henrik] Dept Management &amp; Engn, Div Logist &amp; Qual Management, S-58183 Linkoping, Sweden</t>
  </si>
  <si>
    <t>Björklund, M (corresponding author), Dept Management &amp; Engn, Div Logist &amp; Qual Management, S-58183 Linkoping, Sweden.</t>
  </si>
  <si>
    <t>maria.bjorklund@liu.se; abrahamsson@liu.se; henrilthjohansson@liu.se</t>
  </si>
  <si>
    <t>Gillström, Henrik/0000-0001-6575-715X</t>
  </si>
  <si>
    <t>VINNOVA, Sweden's Innovation Agency</t>
  </si>
  <si>
    <t>VINNOVA, Sweden's Innovation Agency(Vinnova)</t>
  </si>
  <si>
    <t>We thank VINNOVA, Sweden's Innovation Agency, for financing the project Business Models for City Logistics, in which this paper is a part.</t>
  </si>
  <si>
    <t>10.1016/j.retrec.2017.09.009</t>
  </si>
  <si>
    <t>FT2WP</t>
  </si>
  <si>
    <t>WOS:000423007000005</t>
  </si>
  <si>
    <t>Iwan, S</t>
  </si>
  <si>
    <t>Tanger Ltd</t>
  </si>
  <si>
    <t>Iwan, Stanislaw</t>
  </si>
  <si>
    <t>BUILDING A CONSENSUS BETWEEN THE NEEDS OF URBAN FREIGHT TRANSPORT STAKEHOLDERS</t>
  </si>
  <si>
    <t>CLC 2013: CARPATHIAN LOGISTICS CONGRESS - CONGRESS PROCEEDINGS</t>
  </si>
  <si>
    <t>Carpathian Logistics Congress (CLC)</t>
  </si>
  <si>
    <t>DEC 09-11, 2013</t>
  </si>
  <si>
    <t>Cracow, POLAND</t>
  </si>
  <si>
    <t>City logistics; urban freight transport management; stakeholders needs; sustainable transport; environmentally friendly transport</t>
  </si>
  <si>
    <t>In view of the fast growth of cities combined with the growing needs of city dwellers, the problem of efficient functioning of goods transport and distribution in urban areas is gaining more and more importance. This in turn leads to significant problems with transport coordination and achieving its highest possible efficiency (having taken into account efficient use of loading space, limiting the fleet operation costs, ensuring fast deliveries, etc.). The major effector of a successful implementation of good practices in the area of urban freight transport is involving the stakeholders in each and every stage of the process, searching for a compromise in view of diverse problems and needs voiced by them. Active policy making on the part of the city authorities with regard to goods transport in urban areas contributes to activating various stakeholders groups and enables dynamic cooperation towards a consensus. According to that, the consensus between the needs of various urban freight transport stakeholders is the basis of proper management of freight transport flows in urban areas. Reaching a high usability level of any adapted solutions is determined by complementary synergistic measures underlying the possibly full implementation of the resultant bundle of goals of the stakeholders. This paper is focused on the process of the stakeholders' consensus building. The author's tools are introduced here as the support in selection and engagement of stakeholders.</t>
  </si>
  <si>
    <t>Maritime Univ Szczecin, Fac Transport Engn &amp; Econ, Szczecin, Poland</t>
  </si>
  <si>
    <t>Iwan, S (corresponding author), Maritime Univ Szczecin, Fac Transport Engn &amp; Econ, Szczecin, Poland.</t>
  </si>
  <si>
    <t>s.iwan@am.szczecin.pl</t>
  </si>
  <si>
    <t>Iwan, Stanisław/AEO-7695-2022</t>
  </si>
  <si>
    <t>TANGER LTD</t>
  </si>
  <si>
    <t>SLEZSKA</t>
  </si>
  <si>
    <t>KELTICKOVA 62, SLEZSKA, OSTRAVA 710 00, CZECH REPUBLIC</t>
  </si>
  <si>
    <t>978-80-87294-50-5</t>
  </si>
  <si>
    <t>BD8CT</t>
  </si>
  <si>
    <t>WOS:000363813400031</t>
  </si>
  <si>
    <t>Wang, XX; Zhang, F; Shang, Y</t>
  </si>
  <si>
    <t>Wang, Xiaoxia; Zhang, Fan; Shang, Yue</t>
  </si>
  <si>
    <t>Urban Freight Service Capacity Integrated Display System</t>
  </si>
  <si>
    <t>PROCEEDINGS 2013 INTERNATIONAL CONFERENCE ON MECHATRONIC SCIENCES, ELECTRIC ENGINEERING AND COMPUTER (MEC)</t>
  </si>
  <si>
    <t>International Conference on Mechatronic Sciences, Electric Engineering and Computer (MEC)</t>
  </si>
  <si>
    <t>DEC 20-22, 2013</t>
  </si>
  <si>
    <t>Shenyang, PEOPLES R CHINA</t>
  </si>
  <si>
    <t>urban freight; service capacity; display system; UML; JFreeChart</t>
  </si>
  <si>
    <t>Urban Logistics Information Platform (LIP) provides all kinds of logistics information. However, LIP hardly integrates any form of historical or real-time urban traffic information. Hence the regulatory authority could not carry out the agile regulation on urban freight transport. This paper designed a general Urban Freight Service Capacity Integrated Display System (UFSC-IDS) by UML and JFreeChart and illustrated with Beijing, and accordingly proposed the Urban Freight Service Capacity Dynamic Coordination System (UFSC-DCS) based on Matlab Java Builder. The UFSC-DCS effectively supported the transportation agencies dynamically regulate permits of freight trucks access municipal areas to make full use of the road network capacity as well as meet the urban freight demand.</t>
  </si>
  <si>
    <t>[Wang, Xiaoxia; Zhang, Fan; Shang, Yue] Beijing Jiaotong Univ, Sch Traff &amp; Transportat, Beijing 100044, Peoples R China</t>
  </si>
  <si>
    <t>Wang, XX (corresponding author), Beijing Jiaotong Univ, Sch Traff &amp; Transportat, Beijing 100044, Peoples R China.</t>
  </si>
  <si>
    <t>978-1-4799-2565-0</t>
  </si>
  <si>
    <t>BE0RD</t>
  </si>
  <si>
    <t>WOS:000366663001146</t>
  </si>
  <si>
    <t>Zhang, J; Su, L</t>
  </si>
  <si>
    <t>Zhou, B</t>
  </si>
  <si>
    <t>Zhang, Jing; Su, Lei</t>
  </si>
  <si>
    <t>Research on the Logistics Indicators in the Low-Carbon Urban</t>
  </si>
  <si>
    <t>PROCEEDINGS OF THE 2012 INTERNATIONAL CONFERENCE ON MANAGEMENT INNOVATION AND PUBLIC POLICY (ICMIPP 2012), VOLS 1-6</t>
  </si>
  <si>
    <t>International Conference on Management Innovation and Public Policy (ICMIPP)</t>
  </si>
  <si>
    <t>JAN 07-08, 2012</t>
  </si>
  <si>
    <t>Chongqing, PEOPLES R CHINA</t>
  </si>
  <si>
    <t>low-carbon urban; city logistics system; index system; green evaluation; CO2 emission</t>
  </si>
  <si>
    <t>Low-carbon city is a new model for the urban sustainable development. This paper concentrates characteristics in the development of low-carbon urban logistics, combined with the China's CO2 Reduction Plan and the low-carbon policies. Based on the existing analysis of various indicators, the paper builds a new system under urban logistics indicators, in order to scientifically measure and evaluate the urban green logistics management level.</t>
  </si>
  <si>
    <t>[Zhang, Jing; Su, Lei] Beijing Jiaotong Univ, Sch Econ &amp; Management, Beijing, Peoples R China</t>
  </si>
  <si>
    <t>jzhang@bjtu.edu.cn; 11120663@bjtu.edu.cn</t>
  </si>
  <si>
    <t>SCI RES PUBL, INC-SRP</t>
  </si>
  <si>
    <t>IRVIN</t>
  </si>
  <si>
    <t>5005 PASEO SEGOVIA, IRVIN, CA 92603-3334 USA</t>
  </si>
  <si>
    <t>978-1-61896-012-2</t>
  </si>
  <si>
    <t>Economics; Management; Public Administration</t>
  </si>
  <si>
    <t>BBY61</t>
  </si>
  <si>
    <t>WOS:000308816302078</t>
  </si>
  <si>
    <t>Huang, JY; Ji, SW</t>
  </si>
  <si>
    <t>Zhang, H; Zhao, R; Zhang, H</t>
  </si>
  <si>
    <t>Huang Jingyun; Ji Shouwen</t>
  </si>
  <si>
    <t>Study on Association Relation between Urban Economy Growth and Logistics Development</t>
  </si>
  <si>
    <t>LOGISTICS RESEARCH AND PRACTICE IN CHINA</t>
  </si>
  <si>
    <t>International Conference on Logistics Engineering and Supply Chain</t>
  </si>
  <si>
    <t>AUG 20-22, 2008</t>
  </si>
  <si>
    <t>Changsha, PEOPLES R CHINA</t>
  </si>
  <si>
    <t>Urban economy; Logistics; Association; Principal component analysis</t>
  </si>
  <si>
    <t>Modem logistics system is needed to provide potent logistics support service in whole route, while urban economy develops fast. A linear association relation is existed close between urban logistics and urban economy. In the paper, based on the qualitative analysis between urban economy growth and urban logistics development, a index system and an evaluation model, methods are set up to evaluate the association relation between urban logistics and urban economy. And then take Beijing for example to make real example analysis. Finally, some proposes are presented about how to promote urban economy and logistics develop in phase.</t>
  </si>
  <si>
    <t>[Huang Jingyun; Ji Shouwen] Beijing Jiaotong Univ, Sch Transportat, Beijing 100044, Peoples R China</t>
  </si>
  <si>
    <t>hjyyun@gmail.com</t>
  </si>
  <si>
    <t>978-0-646-49787-7</t>
  </si>
  <si>
    <t>Business; Business, Finance; Computer Science, Information Systems; Economics; Management; Operations Research &amp; Management Science; Transportation Science &amp; Technology</t>
  </si>
  <si>
    <t>Business &amp; Economics; Computer Science; Operations Research &amp; Management Science; Transportation</t>
  </si>
  <si>
    <t>BIQ55</t>
  </si>
  <si>
    <t>WOS:000262060100111</t>
  </si>
  <si>
    <t>Cagliano, AC; Carlin, A; Mangano, G; Rafele, C</t>
  </si>
  <si>
    <t>Cagliano, Anna Corinna; Carlin, Antonio; Mangano, Giulio; Rafele, Carlo</t>
  </si>
  <si>
    <t>Analyzing the diffusion of eco-friendly vans for urban freight distribution</t>
  </si>
  <si>
    <t>INTERNATIONAL JOURNAL OF LOGISTICS MANAGEMENT</t>
  </si>
  <si>
    <t>System dynamics; Sensitivity analysis; City logistics; Diffusion model; Electric and hybrid commercial vehicles</t>
  </si>
  <si>
    <t>BATTERY ELECTRIC VEHICLES; CITY LOGISTICS; SUPPLY CHAIN; MODEL; TRANSPORT; REDUCTION; ADOPTION; IMPACTS; SYSTEM; DELIVERIES</t>
  </si>
  <si>
    <t>Purpose - The purpose of this paper is to investigate the diffusion dynamics of electric and hybrid commercial vans and its enabling factors in the city logistics (CL) contexts. The case of parcel delivery in Torino, Italy, is considered. Attention is paid to the influence on the choice of low impact vehicles of not only public strategies but also operational aspects characterizing urban freight distribution systems. Design/methodology/approach - A System Dynamics model based on the Bass diffusion theory computes the number of adopters of low-emission vehicles together with the quantity of vans required and the associated economic savings. The model includes variables about freight demand, delivery frequency, van carrying capacity, routes, stops, distances traveled, and vehicle charging stations. A sensitivity analysis has been completed to identify the main diffusion levers. The focus is on advertising and other drivers, such as public contributions, taxes traditional polluting vehicles are subjected to, as well as on routing optimization strategies. Findings - Advertising programs, green image, and word-of-mouth drive market saturation, although in a long time period. In fact, low-impact vehicles do not offer any economic advantage over traditional ones requiring higher investment and operating costs. Public incentives to purchase both green vehicles and charging stations, together with carbon taxes and a congestion charge affecting polluting vehicles, are able to shorten the adoption time. In particular, public intervention reveals to be effective only when it unfolds through a number of measures that both facilitate the use of environmentally friendly vehicles and discourage the adoption of traditional commercial vans. Route optimization also hastens the complete market saturation. Research limitations/implications - This work fosters research about the mutual relationships between the diffusion of low-emission commercial vehicles and the operational and contextual CL factors. It provides a structured approach for investigating the feasibility of innovative good vehicles that might be part of assessments of CL measures and requirements. Finally, the model supports studies about the cooperation among stakeholders to identify effective commercial vehicle fleets. Practical implications - This study fosters collaboration among CL players by providing a roadmap to identify the key factors for the diffusion of environmentally friendly freight vehicles. It also enables freight carriers to assess the operational and economic feasibility of adopting low-impact vehicles. Finally, it might assist public authorities in capturing the effects of new urban transportation policies prior to their implementation. Originality/value - Most of the current CL literature defines policies and analyzes their effects. Also, there are several contributions on the diffusion of low emission cars. The present study is one of the first works on the diffusion of low-impact commercial vehicles in urban areas by considering the associated key operational factors. A further value is that the proposed model combines operational variables with economic and environmental issues.</t>
  </si>
  <si>
    <t>[Cagliano, Anna Corinna; Carlin, Antonio; Mangano, Giulio; Rafele, Carlo] Politecn Torino, Dept Management &amp; Prod Engn, Turin, Italy</t>
  </si>
  <si>
    <t>Cagliano, AC (corresponding author), Politecn Torino, Dept Management &amp; Prod Engn, Turin, Italy.</t>
  </si>
  <si>
    <t>anna.cagliano@polito.it</t>
  </si>
  <si>
    <t>; CARLIN, ANTONIO/LMP-3705-2024</t>
  </si>
  <si>
    <t>CAGLIANO, ANNA CORINNA/0000-0002-6283-1518;</t>
  </si>
  <si>
    <t>0957-4093</t>
  </si>
  <si>
    <t>1758-6550</t>
  </si>
  <si>
    <t>INT J LOGIST MANAG</t>
  </si>
  <si>
    <t>Int. J. Logist. Manag.</t>
  </si>
  <si>
    <t>10.1108/IJLM-05-2016-0123</t>
  </si>
  <si>
    <t>FL5GH</t>
  </si>
  <si>
    <t>WOS:000414260300013</t>
  </si>
  <si>
    <t>Akbarzadeh, O; Hamzehei, S; Attar, H; Amer, A; Fasihihour, N; Khosravi, MR; Solyman, AA</t>
  </si>
  <si>
    <t>Akbarzadeh, Omid; Hamzehei, Sahand; Attar, Hani; Amer, Ayman; Fasihihour, Nazanin; Khosravi, Mohammad R.; Solyman, Ahmed A.</t>
  </si>
  <si>
    <t>Heating-Cooling Monitoring and Power Consumption Forecasting Using LSTM for Energy-Efficient Smart Management of Buildings: A Computational Intelligence Solution for Smart Homes</t>
  </si>
  <si>
    <t>TSINGHUA SCIENCE AND TECHNOLOGY</t>
  </si>
  <si>
    <t>Energy consumption; Temperature distribution; Recurrent neural networks; Cooling; Computational modeling; Urban areas; Smart homes; design-builder; Besos; smart cities; smart building; neural network; Long Short-Term Memory (LSTM)</t>
  </si>
  <si>
    <t>MACHINE</t>
  </si>
  <si>
    <t>Energy management in smart homes is one of the most critical problems for the Quality of Life (QoL) and preserving energy resources. One of the relevant issues in this subject is environmental contamination, which threatens the world's future. Green computing-enabled Artificial Intelligence (AI) algorithms can provide impactful solutions to this topic. This research proposes using one of the Recurrent Neural Network (RNN) algorithms known as Long Short-Term Memory (LSTM) to comprehend how it is feasible to perform the cloud/fog/edge-enabled prediction of the building's energy. Four parameters of power electricity, power heating, power cooling, and total power in an office/home in cold-climate cities are considered as our features in the study. Based on the collected data, we evaluate the LSTM approach for forecasting parameters for the next year to predict energy consumption and online monitoring of the model's performance under various conditions. Towards implementing the AI predictive algorithm, several existing tools are studied. The results have been generated through simulations, and we find them promising for future applications.</t>
  </si>
  <si>
    <t>[Akbarzadeh, Omid; Hamzehei, Sahand; Fasihihour, Nazanin] Politecn Torino, Dept Elect &amp; Telecommun, I-10129 Turin, Italy; [Attar, Hani; Amer, Ayman] Zarqa Univ, Dept Energy Engn, Zarqa 13110, Jordan; [Khosravi, Mohammad R.] Weifang Univ Sci &amp; Technol, Shandong Prov Univ Lab Protected Hort, Weifang 262799, Peoples R China; [Solyman, Ahmed A.] Nisantasi Univ, Fac Engn &amp; Architecture, Dept Elect &amp; Elect Engn, TR-25370 Istanbul, Turkiye</t>
  </si>
  <si>
    <t>Polytechnic University of Turin; Zarqa University; Weifang University of Science &amp; Technology; Istanbul Nisantasi University</t>
  </si>
  <si>
    <t>Akbarzadeh, O (corresponding author), Politecn Torino, Dept Elect &amp; Telecommun, I-10129 Turin, Italy.</t>
  </si>
  <si>
    <t>omid.akbarzadeh@studenti.polito.it; sahand.hamzehei@studenti.polito.it; Hattar@zu.edu.jo; Aamer@zu.edu.jo; S258228@studenti.polito.it; m.khosravi@wfust.edu.cn; ahmed.solyman@nisantasi.edu.tr</t>
  </si>
  <si>
    <t>Khosravi, Mohamadreza/KOD-0343-2024; Akbarzadeh, Omid/AAX-3016-2021; Hamzehei, Sahand/HKW-8171-2023; Attar, Hani/ACM-2908-2022</t>
  </si>
  <si>
    <t>TSINGHUA UNIV PRESS</t>
  </si>
  <si>
    <t>B605D, XUE YAN BUILDING, BEIJING, 100084, PEOPLES R CHINA</t>
  </si>
  <si>
    <t>1007-0214</t>
  </si>
  <si>
    <t>1878-7606</t>
  </si>
  <si>
    <t>TSINGHUA SCI TECHNOL</t>
  </si>
  <si>
    <t>Tsinghua Sci. Technol.</t>
  </si>
  <si>
    <t>10.26599/TST.2023.9010008</t>
  </si>
  <si>
    <t>Computer Science, Information Systems; Computer Science, Software Engineering; Engineering, Electrical &amp; Electronic</t>
  </si>
  <si>
    <t>S9NJ3</t>
  </si>
  <si>
    <t>WOS:001074356700012</t>
  </si>
  <si>
    <t>Soudeep, S; Aurthy, MLN; Jim, JR; Mridha, MF; Kabir, MM</t>
  </si>
  <si>
    <t>Soudeep, Shahriar; Aurthy, Most. Lailun Nahar; Jim, Jamin Rahman; Mridha, M. F.; Kabir, Md Mohsin</t>
  </si>
  <si>
    <t>Enhancing road traffic flow in sustainable cities through transformer models: Advancements and challenges</t>
  </si>
  <si>
    <t>Predictive modeling; Transformer models; Sustainable cities; Traffic flow prediction; Urban planning; Traffic management</t>
  </si>
  <si>
    <t>PREDICTION; SYSTEM; IDENTIFICATION; INTELLIGENCE; NETWORKS; FUSION; GENES</t>
  </si>
  <si>
    <t>Efficient traffic flow is crucial for sustainable cities, as it directly impacts energy consumption, pollution levels, and overall quality of life. The integration of superficial intelligence, particularly transformer models, plays a significant role in enhancing the predictive capabilities for traffic management, thereby supporting sustainable urban development. In this survey, we explored the application of transformer models to predict and optimize traffic flow in sustainable cities. These models leverage advanced machine learning to capture intricate spatiotemporal patterns,thereby providing valuable insights for urban planners and traffic management centers. By systematically reviewing the literature, we emphasize the importance of transformer models in urban planning and sustainable resource use. Our study demonstrates how transformer models can learn complex spatiotemporal patterns from traffic data by incorporating both real-time and historical data to enhance prediction accuracy. This improved predictive capability aids the development of smart cities by reducing traffic congestion, facilitating smoother movement for city dwellers and tourists, and ultimately contributing to the sustainability goals of urban areas. This comprehensive review highlights the transformative potential of predictive modeling using transformer models, underscoring their critical role in optimizing urban infrastructure and promoting sustainable city development.</t>
  </si>
  <si>
    <t>[Soudeep, Shahriar; Aurthy, Most. Lailun Nahar; Jim, Jamin Rahman; Mridha, M. F.] Amer Int Univ Bangladesh, Dept Comp Sci, Dhaka 1229, Bangladesh; [Kabir, Md Mohsin] Univ Girona, Super Polytech Sch, Girona 17071, Spain</t>
  </si>
  <si>
    <t>American International University Bangladesh (AIUB); Universitat de Girona</t>
  </si>
  <si>
    <t>Mridha, MF (corresponding author), Amer Int Univ Bangladesh, Dept Comp Sci, Dhaka 1229, Bangladesh.</t>
  </si>
  <si>
    <t>s.shahriar32322323@gmail.com; lailunnaharaurthy21@gmail.com; jaminjim.aiub@gmail.com; firoz.mridha@aiub.edu; mdmkabi@gmail.com</t>
  </si>
  <si>
    <t>Mridha, M./ABB-8376-2021; Kabir, Md. Mohsin/HNB-9754-2023; Jim, Jamin/JZC-9516-2024</t>
  </si>
  <si>
    <t>Mridha, M F/0000-0001-5738-1631;</t>
  </si>
  <si>
    <t>10.1016/j.scs.2024.105882</t>
  </si>
  <si>
    <t>K4I5D</t>
  </si>
  <si>
    <t>WOS:001343528100001</t>
  </si>
  <si>
    <t>Melo, S; Macedo, J; Baptista, P</t>
  </si>
  <si>
    <t>Melo, Sandra; Macedo, Joaquim; Baptista, Patricia</t>
  </si>
  <si>
    <t>Guiding cities to pursue a smart mobility paradigm: An example from vehicle routing guidance and its traffic and operational effects</t>
  </si>
  <si>
    <t>City logistics; Re-routing; Smart cities; Smart mobility; Compliance rate</t>
  </si>
  <si>
    <t>INFORMATION; DRIVERS; INITIATIVES; SIMULATION; LOGISTICS; BEHAVIOR; MODEL</t>
  </si>
  <si>
    <t>The concept of 'smart cities' is rooted on the approach taken by cities to reconcile the three often conflicting objectives of economic efficiency, environmental quality and social equity. The expectation that smart cities may promote the adoption of scalable solutions that take advantage of information and communication technologies (ICT) to increase their effectiveness, reduce costs and to improve the quality of life is great among academia, business and governmental stakeholders. Traffic management systems in its multiple applications (including re-routing) are an example of ICT solutions that can expectably lead to the purpose pursued by 'smart cities'. This paper develops a performance evaluation of re-routing for passenger and commercial vehicles with a case study in the city of Lisbon, Portugal. The paper examines how the provision of guidance information to drivers affects traffic performance, operational costs and environmental conditions at different spatial references, namely route level and urban network level. The simulation results indicate that the re-routing can not only reduce travel times, but also enhance the efficiency of roads in the city network and as well the traffic performance at the route level of analysis. The improvement at local route levels (such as corridor/route) is more significant than at the city network level. For the urban network level, simulation results suggest that re-routing can bring variations in travel and delays that may reach 2% and 6%, respectively, when a 10% drivers' compliance rate is considered. Individual drivers are more likely to comply to deviate than urban logistics drivers and bus drivers. (C) 2017 Published by Elsevier Ltd.</t>
  </si>
  <si>
    <t>[Melo, Sandra] Univ Lisbon, Inst Super Tecn, IDMEC, LAETA, Av Rovisco Pais 1, P-1049001 Lisbon, Portugal; [Macedo, Joaquim] Univ Aveiro, Dept Engn Civil, RISCO, Campus Univ Santiago, P-3810193 Aveiro, Portugal; [Baptista, Patricia] Univ Lisbon, Inst Super Tecn, Ctr Innovat Technol &amp; Policy Res, IN, Av Rovisco Pais 1, P-1049001 Lisbon, Portugal</t>
  </si>
  <si>
    <t>Universidade de Lisboa; Universidade de Aveiro; Universidade de Lisboa</t>
  </si>
  <si>
    <t>Melo, S (corresponding author), Univ Lisbon, Inst Super Tecn, IDMEC, LAETA, Av Rovisco Pais 1, P-1049001 Lisbon, Portugal.</t>
  </si>
  <si>
    <t>sandra.melo@tecnico.ulisboa.pt; jmacedo@ua.pt; patricia.baptista@tecnico.ulisboa.pt</t>
  </si>
  <si>
    <t>Melo, Sandra/ABE-1000-2021; Baptista, Patricia/A-5356-2012; Macedo, Joaquim/AAA-6089-2020</t>
  </si>
  <si>
    <t>Baptista, Patricia/0000-0003-1559-9151; Macedo, Joaquim/0000-0001-9057-8057</t>
  </si>
  <si>
    <t>Fundacao para a Ciencia e Tecnologia [SFRH/BPD/79684/2011, SFRH/BPD/74080/2010]; Project SusCity [MITP-TB/C S/0026/2013]; FCT, through IDMEC, under LAETA [UID/EMS/50022/2013]; FCT through IN + Strategic Project [UID/EEA/50009/2013]; FP7 Project DOROTHY [319918]; Fundação para a Ciência e a Tecnologia [SFRH/BPD/74080/2010] Funding Source: FCT</t>
  </si>
  <si>
    <t>Fundacao para a Ciencia e Tecnologia(Fundacao para a Ciencia e a Tecnologia (FCT)); Project SusCity; FCT, through IDMEC, under LAETA(Fundacao para a Ciencia e a Tecnologia (FCT)); FCT through IN + Strategic Project; FP7 Project DOROTHY; Fundação para a Ciência e a Tecnologia</t>
  </si>
  <si>
    <t>The authors acknowledge Fundacao para a Ciencia e Tecnologia for Post-Doctoral financial support (SFRH/BPD/79684/2011 and SFRH/BPD/74080/2010). This work was also supported by Project SusCity (MITP-TB/C S/0026/2013) and FCT, through IDMEC, under LAETA, project UID/EMS/50022/2013, as well as through IN + Strategic Project UID/EEA/50009/2013. The authors would like to acknowledge FP7 Project DOROTHY (Grant agreement no. 319918), Camara Municipal de Lisboa and Ricardo Coimbra for their valuable data and cooperation.</t>
  </si>
  <si>
    <t>10.1016/j.retrec.2017.09.007</t>
  </si>
  <si>
    <t>FT2WR</t>
  </si>
  <si>
    <t>WOS:000423007200004</t>
  </si>
  <si>
    <t>Lu, P; Jia, YS; Zeng, WX; Wei, P</t>
  </si>
  <si>
    <t>Lu, P.; Jia, Y. S.; Zeng, W. X.; Wei, P.</t>
  </si>
  <si>
    <t>CDF-YOLOv8: City Recognition System Based on Improved YOLOv8</t>
  </si>
  <si>
    <t>Feature extraction; YOLO; Degradation; Noise measurement; Adaptation models; Accuracy; Smart cities; Meteorology; Image recognition; Urban areas; Traffic congestion; Noise image recognition; deep learning; YOLOv8; CPA-enhancer; DySample; FocalModulation</t>
  </si>
  <si>
    <t>To address challenges in urban traffic management, especially detection under low exposure conditions and image quality degradation caused by weather factors, this paper proposes an urban detection algorithm based on the YOLOv8 model. Initially, The idea introduced the Chain-of-Thought Prompt Adaptive Enhancer (CPA-enhancer) to enhance image processing capabilities to cope with unknown image quality degradation. Secondly, the lightweight and efficient dynamic module DySample replaces the original upsampling module, boosting the model's upsampling capability. Furthermore, YOLOv8's Spatial Pyramid Pooling Fast (SPPF) was replaced with FocalModulation to enhance feature processing, particularly for small objects. Finally, experimental results show that compared to the original model, our enhanced algorithm achieved significant improvements in the precision, recall, and map50, with values of 70%, 53%, and 0.6056 respectively. These improvements represent increases of 4.48%, 8.16%, and 8.12%. Our enhanced algorithm surpasses both YOLOv8 and YOLOv10 in recognizing urban traffic imaging degradation.</t>
  </si>
  <si>
    <t>[Lu, P.; Jia, Y. S.; Wei, P.] Tianjin Univ Technol, Maritime Coll, Tianjin 300384, Peoples R China; [Zeng, W. X.] Tianjin Univ Technol, Sch Elect Engn &amp; Automat, Tianjin 300384, Peoples R China</t>
  </si>
  <si>
    <t>Tianjin University of Technology; Tianjin University of Technology</t>
  </si>
  <si>
    <t>Wei, P (corresponding author), Tianjin Univ Technol, Maritime Coll, Tianjin 300384, Peoples R China.</t>
  </si>
  <si>
    <t>weipeng0925@sina.com</t>
  </si>
  <si>
    <t>; Lu, Ping/JQI-7946-2023</t>
  </si>
  <si>
    <t>Jia, Yushuo/0009-0008-5930-200X; Lu, Ping/0009-0008-6368-4872;</t>
  </si>
  <si>
    <t>10.1109/ACCESS.2024.3471690</t>
  </si>
  <si>
    <t>J5G5Q</t>
  </si>
  <si>
    <t>WOS:001337347300001</t>
  </si>
  <si>
    <t>Supianto, AA; Nasar, W; Aspen, DM; Hasan, A; Karlsen, AST; Torres, RD</t>
  </si>
  <si>
    <t>Afif Supianto, Ahmad; Nasar, Wajeeha; Margrethe Aspen, Dina; Hasan, Agus; Karlsen, Anniken Susanne T.; Torres, Ricardo Da Silva</t>
  </si>
  <si>
    <t>An Urban Digital Twin Framework for Reference and Planning</t>
  </si>
  <si>
    <t>Digital twins; Urban areas; Smart cities; Resilience; Logistics; Decision making; Bibliographies; Climate change; Analytical models; Sustainable development; Urban planning; Urban systems; digital twin; sustainable digital transformations</t>
  </si>
  <si>
    <t>HEALTH</t>
  </si>
  <si>
    <t>Urban management systems evolve from merely overseeing urban growth to comprehending interactions among cities' natural, physical, cyber, and social systems. Urban digital twins leverage emerging technologies and serve as platforms to support city transitions. However, a generic urban digital twin framework with essential building blocks leading to a sustainable urban digital transformation is lacking, as most urban digital twin implementations focus on specific application areas and usages. In addition, as urban digital twins are rather new developments, it is important to clarify their concept, definition, and characteristics, including their joint components and functions. This paper presents findings from a domain analysis based on a systematic literature review on urban digital twins, including investigating the concept, definition, and characteristics of urban digital twins and identifying joint components and functions as building blocks for developing a conceptual framework of urban digital twins for sustainable digital transformation. In total, we identified six main components that could be subdivided into 16 sub-components. Moreover, we identified four main features that could be subdivided into ten sub-features. A conceptual framework for urban digital twins is proposed based on those components and features. Two case studies were conducted to illustrate the framework's applicability. It is an overarching goal that the proposed framework will become a useful reference and decision-making tool for urban planners, designers, constructors, and others.</t>
  </si>
  <si>
    <t>[Afif Supianto, Ahmad; Nasar, Wajeeha; Hasan, Agus; Karlsen, Anniken Susanne T.; Torres, Ricardo Da Silva] Norwegian Univ Sci &amp; Technol, Dept ICT &amp; Nat Sci, N-6009 Alesund, Norway; [Margrethe Aspen, Dina] Norwegian Univ Sci &amp; Technol, Dept Int Business, N-6009 Alesund, Norway; [Torres, Ricardo Da Silva] Wageningen Univ &amp; Res, Artificial Intelligence Grp, NL-6708 PB Wageningen, Netherlands</t>
  </si>
  <si>
    <t>Norwegian University of Science &amp; Technology (NTNU); Norwegian University of Science &amp; Technology (NTNU); Wageningen University &amp; Research</t>
  </si>
  <si>
    <t>Torres, RD (corresponding author), Norwegian Univ Sci &amp; Technol, Dept ICT &amp; Nat Sci, N-6009 Alesund, Norway.;Torres, RD (corresponding author), Wageningen Univ &amp; Res, Artificial Intelligence Grp, NL-6708 PB Wageningen, Netherlands.</t>
  </si>
  <si>
    <t>ricardo.dasilvatorres@wur.nl</t>
  </si>
  <si>
    <t>Hasan, Agus/B-3230-2019; Karlsen, Anniken/MSW-5490-2025; Torres, Ricardo/C-4526-2012</t>
  </si>
  <si>
    <t>Hasan, Agus/0000-0003-1434-2696; Karlsen, Anniken/0000-0002-6322-156X; Nasar, Wajeeha/0000-0001-6132-1252; Torres, Ricardo/0000-0001-9772-263X</t>
  </si>
  <si>
    <t>NorDark project - NordForsk [105116]; Research Council of Norway [320627, 310056]</t>
  </si>
  <si>
    <t>NorDark project - NordForsk; Research Council of Norway(Research Council of Norway)</t>
  </si>
  <si>
    <t>This work was supported in part by the NorDark project, funded by NordForsk under Grant 105116; and in part by the Research Council of Norway through the Smart Plan Project under Grant 310056 and through the Project Twin Fjord under Grant 320627.</t>
  </si>
  <si>
    <t>10.1109/ACCESS.2024.3478379</t>
  </si>
  <si>
    <t>K0D3C</t>
  </si>
  <si>
    <t>WOS:001340671800001</t>
  </si>
  <si>
    <t>Sakai, T; Santo, K; Tanaka, S; Hyodo, T</t>
  </si>
  <si>
    <t>Sakai, Takanori; Santo, Kohei; Tanaka, Shinya; Hyodo, Tetsuro</t>
  </si>
  <si>
    <t>Locations of logistics facilities for e-commerce: a case of the Tokyo Metropolitan Area</t>
  </si>
  <si>
    <t>Logistics facility; Land use; City logistics; Location choice</t>
  </si>
  <si>
    <t>LAND-USE; DYNAMICS; IMPACTS; SPRAWL; PROXIMITY; INDUSTRY</t>
  </si>
  <si>
    <t>The rapid growth of the e-commerce market creates new dynamics in the logistics landscape, which has been evolving for decades in cities around the world. It is a challenge for businesses and planners to meet the high demand for logistics facilities for e-commerce order fulfillment and goods handling. In the Tokyo Metropolitan Area, mega-scale multi-tenant logistics facilities have been developed in both the port area near the urban center and the periphery of the city, while delivery service providers (DSPs) locate many last-mile delivery stations, varying in number depending on the urban density. We analyze the spatial distribution and location factors of both mega-scale multi-tenant facilities and last-mile delivery facilities in comparison with logistics facilities in general. We found that, due to the scarcity of land, newly developed multi-tenant facilities are more likely to be in less accessible places from the expressway network and the places where development has historically been limited. The result also indicates the heterogeneity of the distribution of DSPs' facilities, reflecting the heterogeneity in business strategies, which can be partially explained by the historical context.</t>
  </si>
  <si>
    <t>[Sakai, Takanori; Santo, Kohei; Tanaka, Shinya; Hyodo, Tetsuro] Tokyo Univ Marine Sci &amp; Technol, Dept Logist &amp; Informat Engn, 2-1-6 Etchujima Koto ku, Tokyo 1358533, Japan</t>
  </si>
  <si>
    <t>Sakai, T (corresponding author), Tokyo Univ Marine Sci &amp; Technol, Dept Logist &amp; Informat Engn, 2-1-6 Etchujima Koto ku, Tokyo 1358533, Japan.</t>
  </si>
  <si>
    <t>tsakai2@kaiyodai.ac.jp</t>
  </si>
  <si>
    <t>JSPS KAKENHI [21 K20445]</t>
  </si>
  <si>
    <t>JSPS KAKENHI(Ministry of Education, Culture, Sports, Science and Technology, Japan (MEXT)Japan Society for the Promotion of ScienceGrants-in-Aid for Scientific Research (KAKENHI))</t>
  </si>
  <si>
    <t>We would like to thank the Transport Planning Commission of the Tokyo Metropolitan Region for sharing the data for this research. This work was supported by JSPS KAKENHI Grant Number 21 K20445.</t>
  </si>
  <si>
    <t>10.1016/j.rtbm.2024.101174</t>
  </si>
  <si>
    <t>C2W5J</t>
  </si>
  <si>
    <t>WOS:001288009500001</t>
  </si>
  <si>
    <t>Supangkat, SH; Firmansyah, HS; Kinanda, R; Rizkia, I</t>
  </si>
  <si>
    <t>Supangkat, Suhono Harso; Firmansyah, Hendra Sandhi; Kinanda, Rezky; Rizkia, Irma</t>
  </si>
  <si>
    <t>Smarter World Living Lab as an Integrated Approach: Learning How to Improve Quality of Life</t>
  </si>
  <si>
    <t>Smart cities; Technological innovation; Sensors; Government; Sustainable development; Collaboration; Security; Urban areas; Urban planning; Public infrastructure; Living lab; smart city; integrated living lab; Bandung</t>
  </si>
  <si>
    <t>CITIES; CHALLENGES; SECURITY; PRIVACY; SYSTEM</t>
  </si>
  <si>
    <t>Implementing smart city projects, encompassing various solutions, addresses urban challenges like traffic, environment, and security. Despite common issues in their effectiveness, this study suggests a living lab approach for smart city development goals. It introduces DDG (Dago. Dipatiukur, and Ganesha) area as an integrated service area, detailing how economic, safety, security, and environmental issues are addressed through this holistic living lab strategy. This research aims to harmonize technological and non-technological innovation to enhance quality of life. It addresses Indonesia's technology gaps as a developing country and leverages its strengths in community-building at the societal level. Aligned with the living lab approach, the successful outcome of this research could pave the way for future technological innovations (e.g., new sensors, applications) and non-technological innovations (e.g., enhanced educational approaches). The living lab research area can be expanded or upgraded to a city scale in the future, requiring coordinated efforts among academics, society, government, etc., including technological feature enhancements. A successful DDG living lab enhances life quality in four stages: planning, construction, operation, and evaluation. Integrating tech and non-tech approaches, prioritizing innovation, community involvement, and literacy is crucial for digitalizing MSMEs, improving mobility safety, and efficient waste-based environmental management. This research successfully integrates technological and non-technological elements to enhance people's lives, utilizing simple sensors at the developmental stage. The cost-effective platform aligns with community-based educational or literacy activities, proving to be an economical approach that conserves government funding. Those responsible for policy can further develop this simple and cost-effective approach.</t>
  </si>
  <si>
    <t>[Supangkat, Suhono Harso; Firmansyah, Hendra Sandhi; Kinanda, Rezky; Rizkia, Irma] Bandung Inst Technol, Smart City &amp; Community Innovat Ctr, Bandung 40132, Indonesia; [Supangkat, Suhono Harso] Bandung Inst Technol, Sch Elect Engn &amp; Informat, Bandung 40132, Indonesia; [Firmansyah, Hendra Sandhi] STMIK JABAR, Bandung 40292, Indonesia; [Kinanda, Rezky] Univ Islamic Indragiri, Jember 29212, Indonesia; [Rizkia, Irma] Binus Online Learning, Tangerang 15143, Indonesia</t>
  </si>
  <si>
    <t>Institute Technology of Bandung; Institute Technology of Bandung</t>
  </si>
  <si>
    <t>Kinanda, R (corresponding author), Bandung Inst Technol, Smart City &amp; Community Innovat Ctr, Bandung 40132, Indonesia.;Kinanda, R (corresponding author), Univ Islamic Indragiri, Jember 29212, Indonesia.</t>
  </si>
  <si>
    <t>kinandarezky@gmail.com</t>
  </si>
  <si>
    <t>Rizkia, Irma/OOM-2131-2025</t>
  </si>
  <si>
    <t>Firmansyah, Hena Sandhi/0000-0002-9391-3831</t>
  </si>
  <si>
    <t>Program Talenta Unggul P/PP Managed by the Institute for Science and Technology Development (LPIT), Institute of Technology Bandung and by Indonesian Endowment Fund for Education (LPDP) on Behalf of Indonesia Ministry of Education, Culture, Research and Te</t>
  </si>
  <si>
    <t>10.1109/ACCESS.2024.3392849</t>
  </si>
  <si>
    <t>QF1L9</t>
  </si>
  <si>
    <t>WOS:001219371600001</t>
  </si>
  <si>
    <t>Syzdykbayeva, B; Raimbekov, Z; Baiburiev, R; Dulatbekova, Z</t>
  </si>
  <si>
    <t>Syzdykbayeva, Bakyt; Raimbekov, Zhanarys; Baiburiev, Ruslan; Dulatbekova, Zhanar</t>
  </si>
  <si>
    <t>Improving the Transport and Logistic Infrastructure of a City Using the Graph Theory Method: The Case of Astana, Kazakhstan</t>
  </si>
  <si>
    <t>urban logistics; city meso-district; transport and logistics infrastructure; passenger flow; tourist flow; city logistics infrastructure; logistics; graph theory; sustainability; accessibility</t>
  </si>
  <si>
    <t>LOCATION; GOODS; FACILITIES; EFFICIENCY; SYSTEM; MODEL</t>
  </si>
  <si>
    <t>The rapid growth of cities significantly impacts the development of transport and logistics infrastructure (TLI), creating substantial challenges for the transport network and quality of life. To enhance the efficiency and sustainability of TLI, various approaches, planning methods, and management strategies are employed at the city or agglomeration level. The objective of this study was to investigate, using graph theory and correlation analysis, the relationship between the polarity and logistic flow of the city's meso-districts. Based on these findings, recommendations for the development of the city's transport and logistics infrastructure were proposed. The logistic flow, influenced by social, economic, institutional, and environmental factors, plays a critical role in the planning and operation of transport and logistics infrastructure within each meso-district of the city. The determination of the polarity of meso-districts was conducted based on expert assessments by specialists, while the indicators of logistic flow were derived from the average values of statistical data for the period 2021-2023. The results demonstrated that a reduction in the polarity of meso-districts-characterized by multilateral connections between meso-districts and key indicators of logistic flows-can positively influence the quality and accessibility of the city's transport and logistic infrastructure. This approach enables the identification of the most problematic meso-districts within the city, the mapping of logistic flow directions, and the determination of strategic development pathways for the city's transport and logistics infrastructure (TLI). Furthermore, it was established that the polarity of the meso-district graph reflects the state of traffic congestion within the districts and its environmental impact. This correlation provides valuable insights into refining the planning and development of the city's TLI, ensuring a more sustainable and efficient urban transport system. This study contributed to the development of the city's transport and logistics infrastructure by proposing a comprehensive model that enhances the understanding and strengthens the interconnections between meso-districts and urban logistics. The findings hold significant implications for urban planning, as they highlight the necessity of a detailed consideration of the role of meso-districts, as well as targeted investments in transport and logistics infrastructure to ensure its sustainable development in the future.</t>
  </si>
  <si>
    <t>[Syzdykbayeva, Bakyt; Raimbekov, Zhanarys; Dulatbekova, Zhanar] LN Gumilyov Eurasian Natl Univ, Fac Econ, Astana 010000, Kazakhstan; [Baiburiev, Ruslan] Al Farabi Kazakh Natl Univ, Dept Recreat Geog &amp; Tourism, Alma Ata 050040, Kazakhstan</t>
  </si>
  <si>
    <t>L.N. Gumilyov Eurasian National University; Al-Farabi Kazakh National University</t>
  </si>
  <si>
    <t>Syzdykbayeva, B; Raimbekov, Z (corresponding author), LN Gumilyov Eurasian Natl Univ, Fac Econ, Astana 010000, Kazakhstan.</t>
  </si>
  <si>
    <t>bakyt_syzdykbaeva@mail.ru; zh.raimbekov@gmail.com; ruslan.baiburiev@kaznu.edu.kz; d_jann@mail.ru</t>
  </si>
  <si>
    <t>Raimbekov, Zhanarys/S-8219-2019; Baiburiyev, Ruslan/O-1545-2014; Raimbekov, Zhanarys/N-9229-2013; Baiburiyev, Ruslan/AAR-4839-2020</t>
  </si>
  <si>
    <t>Baiburiyev, Ruslan/0000-0001-8752-9190; Raimbekov, Zhanarys/0000-0002-4292-6966; Syzdykbayeva, Bakyt/0000-0001-9463-4933;</t>
  </si>
  <si>
    <t>Science Committee of the Ministry of Science and Higher Education of the Republic of Kazakhstan; [AP26195433]</t>
  </si>
  <si>
    <t>Science Committee of the Ministry of Science and Higher Education of the Republic of Kazakhstan(Government of the Republic of KazakhstanMinistry of Science &amp; Higher Education of the Republic of KazakhstanScience Committee of the Ministry of Science &amp; Higher Education of the Republic of Kazakhstan);</t>
  </si>
  <si>
    <t>This study is funded by the Science Committee of the Ministry of Science and Higher Education of the Republic of Kazakhstan (Grant No. AP26195433).</t>
  </si>
  <si>
    <t>MAR 12</t>
  </si>
  <si>
    <t>10.3390/su17062486</t>
  </si>
  <si>
    <t>0QW7K</t>
  </si>
  <si>
    <t>WOS:001453866100001</t>
  </si>
  <si>
    <t>Falanga, A; Henke, I; Cartenì, A</t>
  </si>
  <si>
    <t>Barolli, L</t>
  </si>
  <si>
    <t>Falanga, Antonella; Henke, Ilaria; Carteni, Armando</t>
  </si>
  <si>
    <t>Empowering Sustainable Mobility: Exploring MaaS as a Big Data Application in Transportation Planning</t>
  </si>
  <si>
    <t>ADVANCED INFORMATION NETWORKING AND APPLICATIONS, VOL 5, AINA 2024</t>
  </si>
  <si>
    <t>38th International Conference on Advanced Information Networking and Applications (AINA)</t>
  </si>
  <si>
    <t>APR 17-19, 2024</t>
  </si>
  <si>
    <t>Kitakyushu, JAPAN</t>
  </si>
  <si>
    <t>DATA ANALYTICS; MEDICINE; DISEASE</t>
  </si>
  <si>
    <t>In today's data-rich landscape, the term big data encompasses diverse information sources like mobile devices, sensors, and online transactions. Its utilization is crucial, offering substantial advantages across fields, enhancing comprehension, decision-making, efficiency, and fostering innovation. The 3Vs framework - velocity, volume and value - spotlights the rapid, vast, diverse, and valuable nature of these datasets, transforming industries globally, unlocking possibilities and driving innovation in various sectors. Within transportation, big data optimizes vehicle routing, traffic management, logistics, and sustainability. It supports public administration, smart city development, and urban planning by enabling precise decision-making through access to extensive data reservoirs, amplified by cloud computing and artificial intelligence. The study centers on the Naples' Mobility as a Service (MaaS) project, named MaaS4Naples, highlighting big data's crucial role within this sustainable mobility solution. This project proposes ad ad-hoc App integrating transport modes and ticketing in a unique useful personalized service.</t>
  </si>
  <si>
    <t>[Falanga, Antonella] Univ Campania Luigi Vanvitelli, Dept Engn, Aversa, Italy; [Henke, Ilaria] Univ Naples Federico II, Dept Civil Construct &amp; Environm Engn, Naples, Italy; [Carteni, Armando] Univ Campania Luigi Vanvitelli, Dept Architecture &amp; Ind Design, Aversa, Italy</t>
  </si>
  <si>
    <t>Universita della Campania Vanvitelli; University of Naples Federico II; Universita della Campania Vanvitelli</t>
  </si>
  <si>
    <t>Henke, I (corresponding author), Univ Naples Federico II, Dept Civil Construct &amp; Environm Engn, Naples, Italy.</t>
  </si>
  <si>
    <t>antonella.falanga@unicampania.it; ilaria.henke@unina.it; armando.carteni@unicampania.it</t>
  </si>
  <si>
    <t>Cartenì, Armando/E-9586-2012; Henke, Ilaria/AGA-8049-2022</t>
  </si>
  <si>
    <t>978-3-031-57930-1; 978-3-031-57931-8</t>
  </si>
  <si>
    <t>10.1007/978-3-031-57931-8_22</t>
  </si>
  <si>
    <t>BX2MO</t>
  </si>
  <si>
    <t>WOS:001264790600022</t>
  </si>
  <si>
    <t>Li, JB; Ranjan, R; Wang, YW; Huang, XH; James, P; Dustdar, S</t>
  </si>
  <si>
    <t>Li, Jiabao; Ranjan, Rajiv; Wang, Yuewei; Huang, Xiaohui; James, Philip; Dustdar, Schahram</t>
  </si>
  <si>
    <t>The Urban Space Information Platform: Opportunities and Challenges</t>
  </si>
  <si>
    <t>IEEE INTERNET COMPUTING</t>
  </si>
  <si>
    <t>Smart cities; Soft sensors; Data processing; Real-time systems; Security; Sustainable development; Resilience; Urban planning; Urban areas; Construction; Geospatial analysis</t>
  </si>
  <si>
    <t>SPATIAL DATA; SMART CITY; BIG DATA; SYSTEM</t>
  </si>
  <si>
    <t>Urban construction and development rely on the efficient use of geospatial information. The urban spatial information platform (USIP) serves as a centralized hub for managing and applying multisource urban data. However, the increasing volume and complexity of urban data pose significant challenges in management and processing. This article systematically reviews the theory and technology of USIP, analyzing its current status and future directions. We explore the diversity of data sources in urban scenarios and their characteristics. For data management, we review organization and storage technologies, and for data processing, we analyze architectures and mainstream methods. Furthermore, several practical applications of USIP and its impact on urban development are discussed. This study examines USIP's advancements from a full-chain perspective, encompassing data acquisition, technological implementation, and key applications, offering valuable insights for future research and practice.</t>
  </si>
  <si>
    <t>[Li, Jiabao] China Univ Geosci, Sch Comp Sci, Geosci Informat Engn, Wuhan 430074, Peoples R China; [Ranjan, Rajiv] Newcastle Univ, Sch Comp, Internet Things Res, Newcastle Upon Tyne NE1 7RU, England; [Wang, Yuewei; Huang, Xiaohui] China Univ Geosci, Sch Comp Sci, Wuhan 430074, Peoples R China; [James, Philip] Newcastle Univ, Sch Civil Engn, Urban Observ, Newcastle Upon Tyne NE1 7RU, England; [Dustdar, Schahram] TU Wien, Comp Sci, A-1040 Vienna, Austria; [James, Philip] TU Wien, Distributed Syst Grp, A-1040 Vienna, Austria; [Dustdar, Schahram] UPF ICREA, Barcelona 08018, Spain</t>
  </si>
  <si>
    <t>China University of Geosciences; Newcastle University - UK; China University of Geosciences; Newcastle University - UK; Technische Universitat Wien; Technische Universitat Wien</t>
  </si>
  <si>
    <t>Li, JB (corresponding author), China Univ Geosci, Sch Comp Sci, Geosci Informat Engn, Wuhan 430074, Peoples R China.</t>
  </si>
  <si>
    <t>wutonglbj@cug.edu.cn; rajranjan@ncl.ac.uk; yuewei.w@cug.edu.cn; xhhuang@cug.edu.cn; philip.james@ncl.ac.uk; dustdar@dsg.tuwien.ac.at</t>
  </si>
  <si>
    <t>Dustdar, Schahram/G-9877-2015; Wang, Yuewei/HZL-0800-2023; huang, xiaohui/KRP-2903-2024</t>
  </si>
  <si>
    <t>National Natural Science Foundation of China [U21A2013]</t>
  </si>
  <si>
    <t>National Natural Science Foundation of China(National Natural Science Foundation of China (NSFC))</t>
  </si>
  <si>
    <t>This work was supported by the National Natural Science Foundation of China under Grant U21A2013.</t>
  </si>
  <si>
    <t>1089-7801</t>
  </si>
  <si>
    <t>1941-0131</t>
  </si>
  <si>
    <t>IEEE INTERNET COMPUT</t>
  </si>
  <si>
    <t>IEEE Internet Comput.</t>
  </si>
  <si>
    <t>10.1109/MIC.2025.3527821</t>
  </si>
  <si>
    <t>Computer Science, Software Engineering</t>
  </si>
  <si>
    <t>7GB7H</t>
  </si>
  <si>
    <t>WOS:001570182800007</t>
  </si>
  <si>
    <t>Cesario, E; Lindia, P; Vinci, A</t>
  </si>
  <si>
    <t>Cesario, Eugenio; Lindia, Paolo; Vinci, Andrea</t>
  </si>
  <si>
    <t>Comparing Machine Learning-Based Crime Hotspots Versus Police Districts: What's the Best Approach for Crime Forecasting?</t>
  </si>
  <si>
    <t>Urban areas; Forecasting; Law enforcement; Clustering algorithms; Predictive models; Resource management; Public security; Prediction algorithms; Partitioning algorithms; Market research; Crime forecasting; multi-density clustering; crime hotspots; regression analysis; smart cities; crime data mining</t>
  </si>
  <si>
    <t>PREDICTIONS; VALIDATION</t>
  </si>
  <si>
    <t>Criminal activity poses a significant challenge in urban environments, impacting public safety, economic stability, and overall quality of life. As a result, the efficient allocation of public security resources based on spatio-temporal crime prediction models has become a critical concern for urban management. To this purpose, many crime forecasting approaches first split city territories into partitions based on crime rates and trends, with each partition reflecting criminal dynamics of its specific area. Then, crime forecasting models are extracted for each area, to monitor and predict how crime rates evolve over time within each partition. However, traditional spatial partitioning approaches, which divide cities into predefined police districts based on geographic and operational considerations, often fail to account for variations in crime patterns. In contrast, machine learning-based approaches could dynamically adapt to areas with differing crime frequencies and densities, making them particularly effective in cities characterized by diverse population distributions and crime activity levels. This study examines the impact of various partitioning techniques on crime forecasting performance, comparing the traditional static division of the city into police districts with machine learning approaches, specifically density clustering algorithms, for detecting crime hotspots. The experimental evaluation, conducted on two real-world case studies, i.e. Chicago and Los Angeles crime data, demonstrates the effectiveness of density-based clustering in identifying multi-density crime hotspots. Compared to traditional police district partitioning, these data-driven methods offer significant advantages in improving crime forecasting accuracy across urban environments.</t>
  </si>
  <si>
    <t>[Cesario, Eugenio] Univ Calabria, DICES Dept, I-87036 Arcavacata Di Rende, Italy; [Lindia, Paolo] Univ Calabria, DIMES Dept, I-87036 Arcavacata Di Rende, Italy; [Vinci, Andrea] Natl Res Council Italy, Inst High Performance Comp &amp; Networking, I-87036 Arcavacata Di Rende, Italy</t>
  </si>
  <si>
    <t>University of Calabria; University of Calabria; Consiglio Nazionale delle Ricerche (CNR); Istituto di Calcolo e Reti ad Alte Prestazioni (ICAR-CNR)</t>
  </si>
  <si>
    <t>Cesario, E (corresponding author), Univ Calabria, DICES Dept, I-87036 Arcavacata Di Rende, Italy.</t>
  </si>
  <si>
    <t>eugenio.cesario@unical.it</t>
  </si>
  <si>
    <t>; Cesario, Eugenio/AAP-9093-2020; Vinci, Andrea/J-1907-2017; Vinci, Anea/J-1907-2017</t>
  </si>
  <si>
    <t>Lindia, Paolo/0000-0002-7550-1331; Cesario, Eugenio/0000-0002-4987-0459; Vinci, Anea/0000-0002-1011-1885</t>
  </si>
  <si>
    <t>Piano Nazionale di Ripresa e Resilienza (PNRR) Italian Ministry of University and Research (MUR) Project [PE0000013-FAIR]; NextGenerationEU Program [CN00000013]; European Union-NextGenerationEU-National Recovery and Resilience Plan, PNRR-Project: SoBigData.it-Strengthening the Italian RI for Social Mining and Big Data Analytics [Prot. IR0000013, 3264]; Research Project INSIDER: INtelligent ServIce Deployment for advanced cloud-Edge integRation - MUR within the PRIN 2022 Program; European Union-Next Generation EU [2022WWSCRR, CUP H53D23003670006]</t>
  </si>
  <si>
    <t>Piano Nazionale di Ripresa e Resilienza (PNRR) Italian Ministry of University and Research (MUR) Project; NextGenerationEU Program; European Union-NextGenerationEU-National Recovery and Resilience Plan, PNRR-Project: SoBigData.it-Strengthening the Italian RI for Social Mining and Big Data Analytics; Research Project INSIDER: INtelligent ServIce Deployment for advanced cloud-Edge integRation - MUR within the PRIN 2022 Program; European Union-Next Generation EU</t>
  </si>
  <si>
    <t>This work was supported in part by the Piano Nazionale di Ripresa e Resilienza (PNRR) Italian Ministry of University and Research (MUR) Projectunder Grant PE0000013-FAIR; in part by the ICSC National Centre for HPC, Big Data, and Quantum Computingwith the NextGenerationEU Program under Grant CN00000013; in part by European Union-NextGenerationEU-National Recovery and Resilience Plan, PNRR-Project: SoBigData.it-Strengthening the Italian RI for Social Mining and Big Data Analyticsunder Grant Prot. IR0000013-n. 3264, 28/12/2021; and in part by the Research Project INSIDER: INtelligent ServIce Deployment for advanced cloud-Edge integRationgrant funded by MUR within the PRIN 2022 Program and European Union-Next Generation EU under Grant 2022WWSCRR and Grant CUP H53D23003670006.</t>
  </si>
  <si>
    <t>10.1109/ACCESS.2025.3592668</t>
  </si>
  <si>
    <t>5RH7T</t>
  </si>
  <si>
    <t>WOS:001542472500005</t>
  </si>
  <si>
    <t>Ngoc, HL</t>
  </si>
  <si>
    <t>Ngoc, Hieu Le</t>
  </si>
  <si>
    <t>Application of Drone Images Analysis to Predict the Damage of Streets in HCMC</t>
  </si>
  <si>
    <t>Urban areas; Image recognition; Smart cities; Predictive models; Maintenance; Deep learning; Artificial intelligence; Drones; Roads; Data models; Drone imagery analysis; street damage prediction; infrastructure management; vision recognition techniques; Ho Chi Minh City</t>
  </si>
  <si>
    <t>CLASSIFICATION; CITIES</t>
  </si>
  <si>
    <t>This study introduces a novel framework leveraging drone-based image analysis to improve urban street infrastructure management. With urbanization accelerating, effective street maintenance is critical for sustainable development. The study focuses on streets 6-8 meters wide and 1-20 years old, as defined by 22TCVN 4054-2005 standards. This study aims to develop an integrated analytical framework for urban street infrastructure management, combining drone-based image analysis, ML predictive modeling, and financial assessment. The purpose is to enhance decision-making for street maintenance and sustainability through the application of advanced technologies. The methodology involves three key phases: 1) collecting drone images of urban streets and developing a deep learning classifier to assess street conditions; 2) constructing a Markov model to predict street longevity and usage based on classified data; and 3) creating a financial model to estimate maintenance and reconstruction costs. These three models are designed to work in unison, forming a comprehensive system that transitions seamlessly through condition assessment, prediction, and cost estimation. Using around 1,000 street surface images collected from Ho Chi Minh City (HCMC) and 1000 images from RSXD, deep learning classifiers were trained to evaluate road conditions. Outputs are then fed into a Markov model for usage and lifespan predictions, alongside financial projections for maintenance or reconstruction. The findings reveal a critical disparity in performance: while the models achieved moderate success in assessing the damage severity level, they failed to generalize for the more complex task of classifying the specific damage type, where validation accuracies were low despite high training accuracies. The framework features a Markov model that effectively predicts street longevity, and a cost model aiding financial planning. The framework demonstrates robust performance metrics, validating its applicability in urban street management. This study's originality lies in its integration of advanced vision recognition, predictive modeling, and cost analysis for infrastructure planning. Limitations include a restricted geographical scope and reliance on specific street dimensions. Future research should extend the approach to broader contexts and refine the models for diverse urban conditions.</t>
  </si>
  <si>
    <t>[Ngoc, Hieu Le] Univ Econ Ho Chi Minh City, Inst Smart City &amp; Management ISCM, Ho Chi Minh City 70000, Vietnam; [Ngoc, Hieu Le] Ho Chi Minh City Univ Educ &amp; Technol, Fac Econ, Ho Chi Minh City 70000, Vietnam</t>
  </si>
  <si>
    <t>University of Economics Ho Chi Minh City</t>
  </si>
  <si>
    <t>Ngoc, HL (corresponding author), Univ Econ Ho Chi Minh City, Inst Smart City &amp; Management ISCM, Ho Chi Minh City 70000, Vietnam.;Ngoc, HL (corresponding author), Ho Chi Minh City Univ Educ &amp; Technol, Fac Econ, Ho Chi Minh City 70000, Vietnam.</t>
  </si>
  <si>
    <t>lnhieu@hcmute.edu.vn</t>
  </si>
  <si>
    <t>Le Ngoc, Hieu/AAD-9303-2019</t>
  </si>
  <si>
    <t>10.1109/ACCESS.2025.3610426</t>
  </si>
  <si>
    <t>7TD9B</t>
  </si>
  <si>
    <t>WOS:001579058900007</t>
  </si>
  <si>
    <t>Bazan-Guillen, A; Beis-Penedo, C; Cajaraville-Aboy, D; Barbecho-Bautista, P; Diaz-Redondo, RP; Llopis, LJD; Fernandez-Vilas, A; Igartua, MA; Fernandez-Veiga, M</t>
  </si>
  <si>
    <t>Bazan-Guillen, Alberto; Beis-Penedo, Carlos; Cajaraville-Aboy, Diego; Barbecho-Bautista, Pablo; Diaz-Redondo, Rebeca P.; de la Cruz Llopis, Luis J.; Fernandez-Vilas, Ana; Igartua, Monica Aguilar; Fernandez-Veiga, Manuel</t>
  </si>
  <si>
    <t>Realistic Urban Traffic Generator Using Decentralized Federated Learning for the SUMO Simulator</t>
  </si>
  <si>
    <t>IEEE OPEN JOURNAL OF THE COMMUNICATIONS SOCIETY</t>
  </si>
  <si>
    <t>Traffic control; Federated learning; Data privacy; Vehicle dynamics; Urban areas; Scalability; Data models; Training; Peer-to-peer computing; Computational modeling; SUMO traffic generation; smart cities; reinforcement learning; decentralized federated learning</t>
  </si>
  <si>
    <t>PREDICTION</t>
  </si>
  <si>
    <t>Realistic urban traffic simulation is essential for sustainable urban planning and the development of intelligent transportation systems. However, generating high-fidelity, time-varying traffic profiles that accurately reflect real-world conditions, especially in large-scale scenarios, remains a major challenge. Existing methods often suffer from limitations in accuracy, scalability, or raise privacy concerns due to centralized data processing. This work introduces DesRUTGe (Decentralized Realistic Urban Traffic Generator), a novel framework that integrates Deep Reinforcement Learning (DRL) agents with the SUMO simulator to generate realistic 24-hour traffic patterns. A key innovation of DesRUTGe is its use of Decentralized Federated Learning (DFL), wherein each traffic detector and its corresponding urban zone function as an independent learning node. These nodes train local DRL models using minimal historical data and collaboratively refine their performance by exchanging model parameters with selected peers (e.g., geographically adjacent zones), without requiring a central coordinator. Evaluated using real-world data from the city of Barcelona, DesRUTGe outperforms standard SUMO-based tools such as RouteSampler, as well as other centralized learning approaches, by delivering more accurate traffic pattern generation.</t>
  </si>
  <si>
    <t>[Bazan-Guillen, Alberto; de la Cruz Llopis, Luis J.] Univ Politecn Cataluna, Networking Engn Dept, Barcelona, Spain; [Beis-Penedo, Carlos; Cajaraville-Aboy, Diego; Diaz-Redondo, Rebeca P.; Fernandez-Vilas, Ana; Fernandez-Veiga, Manuel] Univ Vigo, Dept Telemat Engn, Vigo, Spain; [Barbecho-Bautista, Pablo] Univ Cuenca, Dept Electr Elect &amp; Telecomunicac, Cuenca 010101, Ecuador</t>
  </si>
  <si>
    <t>Universitat Politecnica de Catalunya; Universidade de Vigo; Universidad de Cuenca</t>
  </si>
  <si>
    <t>Bazan-Guillen, A (corresponding author), Univ Politecn Cataluna, Networking Engn Dept, Barcelona, Spain.</t>
  </si>
  <si>
    <t>alberto.bazan@upc.edu</t>
  </si>
  <si>
    <t>Aguilar Igartua, Mónica/L-2994-2014; Díaz Redondo, Rebeca P./L-3108-2014; Vilas, Ana/L-2055-2014; de la Cruz Llopis, Luis J/L-5033-2014; de la Cruz Llopis, Luis/L-5033-2014</t>
  </si>
  <si>
    <t>Aguilar Igartua, Mónica/0000-0002-6518-888X; Bazán Guillén, Alberto/0000-0001-8634-6907; Beis Penedo, Carlos/0009-0000-4177-1707; de la Cruz Llopis, Luis J/0000-0003-4171-8310;</t>
  </si>
  <si>
    <t>MICIU/AEI [PID2020-113795RB-C33, PID2023-148716OB-C31]; TRUFFLES: Trusted Framework for Federated Learning Systems, within the Strategic Cybersecurity Projects (INCIBE, Spain); Recovery, Transformation and Resilience Plan (European Union, Next Generation); Galician Regional Government [ED431B 2024/41]; Project Anonymization Technology for AI-Based Analytics of Mobility Data (MOBILYTICS) - MCIN/AEI [TED2021-129782B-I00]; European Union NextGenerationEU/PRTR; Project MultiMO: Datos MultiSectoriales para la Movilidad Obligada (European Union, NextGenerationEU) [TSI-100123-2024-60]; Generalitat de Catalunya under AGAUR [2021 SGR 01413]; Predoctoral Scholarship for the Training of Research Personnel Associated with the Generacion de Conocimiento Project [PRE2021-099830]</t>
  </si>
  <si>
    <t>MICIU/AEI; TRUFFLES: Trusted Framework for Federated Learning Systems, within the Strategic Cybersecurity Projects (INCIBE, Spain); Recovery, Transformation and Resilience Plan (European Union, Next Generation); Galician Regional Government; Project Anonymization Technology for AI-Based Analytics of Mobility Data (MOBILYTICS) - MCIN/AEI; European Union NextGenerationEU/PRTR(European Union (EU)); Project MultiMO: Datos MultiSectoriales para la Movilidad Obligada (European Union, NextGenerationEU); Generalitat de Catalunya under AGAUR; Predoctoral Scholarship for the Training of Research Personnel Associated with the Generacion de Conocimiento Project</t>
  </si>
  <si>
    <t>This work was supported in part by the MICIU/AEI/10.13039/501100011033 (COMPROMISE Project) under Grant PID2020-113795RB-C33; in part by the MCIU/AEI/10.13039/501100011033 (DISCOVERY Project) under Grant PID2023-148716OB-C31; in part by the TRUFFLES: Trusted Framework for Federated Learning Systems, within the Strategic Cybersecurity Projects (INCIBE, Spain); in part by the Recovery, Transformation and Resilience Plan (European Union, Next Generation); in part by the Galician Regional Government under Project ED431B 2024/41 (GPC); in part by the Project Anonymization Technology for AI-Based Analytics of Mobility Data (MOBILYTICS) funded by MCIN/AEI/10.13039/501100011033 under Grant TED2021-129782B-I00; in part by the European Union NextGenerationEU/PRTR; in part by the Project MultiMO: Datos MultiSectoriales para la Movilidad Obligada (European Union, NextGenerationEU) under Grant TSI-100123-2024-60; in part by the Generalitat de Catalunya under AGAUR Grant 2021 SGR 01413; and in part by the Predoctoral Scholarship for the Training of Research Personnel Associated with the Generacion de Conocimiento Project under Grant PRE2021-099830.</t>
  </si>
  <si>
    <t>2644-125X</t>
  </si>
  <si>
    <t>IEEE OPEN J COMM SOC</t>
  </si>
  <si>
    <t>IEEE Open J. Commun. Soc.</t>
  </si>
  <si>
    <t>10.1109/OJCOMS.2025.3597019</t>
  </si>
  <si>
    <t>6RL6C</t>
  </si>
  <si>
    <t>WOS:001560252300010</t>
  </si>
  <si>
    <t>Christensen, MSF</t>
  </si>
  <si>
    <t>Presser, M; Skarmeta, A; Krco, S; Vidal, AG</t>
  </si>
  <si>
    <t>Christensen, Mads S-F.</t>
  </si>
  <si>
    <t>Leveraging the Industrial Internet of Things (IIoT) for Real-Time CO2 Monitoring, Measurement and Visualization: Technologies, Applications and Future Directions</t>
  </si>
  <si>
    <t>GLOBAL INTERNET OF THINGS AND EDGE COMPUTING SUMMIT, GIECS 2024</t>
  </si>
  <si>
    <t>1st Global Internet of Things and Edge Computing Summit</t>
  </si>
  <si>
    <t>SEP 24-25, 2024</t>
  </si>
  <si>
    <t>Industrial Internet of Things (IIoT); CO2 Monitoring; Real-Time Data Processing; Carbon Footprint Monitoring; Air Quality; Security and Privacy in IIoT; Emission Management; Predictive Maintenance; Edge Computing; Machine Learning; Blockchain Technology; Smart Buildings; Smart Cities; Environmental Sustainability</t>
  </si>
  <si>
    <t>LOW-COST; SENSOR; CALIBRATION; STANDARDS; SECURITY; ARDUINO; SYSTEM; DEVICE</t>
  </si>
  <si>
    <t>Global CO2 emissions reduction requires industries to manage and understand their CO2 emission levels in real-time. This paper examines the Industrial Internet of Things (IIoT) for real-time monitoring, measurement, and visualization of reducing CO2 emissions in industrial and environmental domains. Methodology: The methodology consists of a literature reviewbased on peer-reviewed publications and use cases to explore the current state and practical implications. Furthermore, a technical analysis of IIoT systems, CO2 sensors, and data processing techniques is also identified. Results: IIoT systems can support CO2 emission monitoring and accuracy optimization in industrial domains by combining CO2 sensors, wireless communication, and data fusion techniques. In addition, machine learning and artificial intelligence can be used to reduce anomalies in CO2 sensor readings and predictive maintenance of systems. Challenges: Challenges include interoperability, data security and system scalability. To resolve these issues standardized communication protocols, data security methods and implementation barriers should be improved. Future Directions: To enhance data processing and security features, future work should focus on integrating edge computing, artificial intelligence, machine learning, and blockchain techniques. In addition, data visualizations and cost-effective solutions should also be in focus, to provide more adoptable IIoT systems in industrial domains. Conclusion: As IIoT systems and CO2 sensor technologies evolve, IIoT systems can contribute significantly to increasing global air quality and CO2 emission control in industry, agricultural, and urban areas.</t>
  </si>
  <si>
    <t>[Christensen, Mads S-F.] Aarhus Univ, BTECH, 7400 Herning, Aarhus, Denmark</t>
  </si>
  <si>
    <t>Aarhus University</t>
  </si>
  <si>
    <t>Christensen, MSF (corresponding author), Aarhus Univ, BTECH, 7400 Herning, Aarhus, Denmark.</t>
  </si>
  <si>
    <t>msfchrs@gmail.com</t>
  </si>
  <si>
    <t>978-3-031-78571-9; 978-3-031-78572-6</t>
  </si>
  <si>
    <t>10.1007/978-3-031-78572-6_3</t>
  </si>
  <si>
    <t>BY5ID</t>
  </si>
  <si>
    <t>WOS:001457327200003</t>
  </si>
  <si>
    <t>Silva, V; Amaral, A; Fontes, T</t>
  </si>
  <si>
    <t>Silva, Vasco; Amaral, Antonio; Fontes, Tania</t>
  </si>
  <si>
    <t>Sustainable Urban Last-Mile Logistics: A Systematic Literature Review</t>
  </si>
  <si>
    <t>systematic literature review; logistics; last-mile; parcel delivery; sustainability</t>
  </si>
  <si>
    <t>E-COMMERCE; CITY LOGISTICS; CONSOLIDATION; DELIVERY; TRANSPORTATION; IMPACT; COLLABORATION; PERCEPTIONS; GENERATION</t>
  </si>
  <si>
    <t>Globalisation, urbanisation and the recent COVID-19 pandemic has been raising the demand for logistic activities. This change is affecting the entire supply chain, especially the last-mile step. This step is considered the most expensive and ineffective part of the supply chain and a source of negative economic, environmental and social externalities. This article aims to characterise the sustainable urban last-mile logistics research field through a systematic literature review (N = 102). This wide and holistic review was organised into six thematic clusters that identified the main concepts addressed in the different areas of the last-mile research and the existence of 14 solutions, grouped into three types (vehicular, operational, and organisational solutions). The major findings are that there are no ideal last-mile solutions as their limitations should be further explored by considering the so-called triple bottom line of sustainability; the integration and combination of multiple last-mile alternative concepts; or by establishing collaboration schemes that minimise the stakeholders' conflicting interests.</t>
  </si>
  <si>
    <t>[Silva, Vasco; Amaral, Antonio; Fontes, Tania] INESC TEC Inst Syst &amp; Comp Engn Technol &amp; Sci, Rua Dr Roberto Frias, P-4200465 Porto, Portugal; [Silva, Vasco; Amaral, Antonio] Polytech Inst Porto, Sch Engn, Rua Dr Antonio Bernardino Almeida 431, P-4249015 Porto, Portugal</t>
  </si>
  <si>
    <t>INESC TEC; Universidade do Porto; Instituto Politecnico do Porto</t>
  </si>
  <si>
    <t>Silva, V; Fontes, T (corresponding author), INESC TEC Inst Syst &amp; Comp Engn Technol &amp; Sci, Rua Dr Roberto Frias, P-4200465 Porto, Portugal.;Silva, V (corresponding author), Polytech Inst Porto, Sch Engn, Rua Dr Antonio Bernardino Almeida 431, P-4249015 Porto, Portugal.</t>
  </si>
  <si>
    <t>vasco.n.silva@inesctec.pt; tania.d.fontes@inesctec.pt</t>
  </si>
  <si>
    <t>Fontes, Tânia/D-2414-2013; Fontes, Tânia/D-2414-2013; Amaral, António/ABH-4695-2020; Amaral, António/ABH-4695-2020</t>
  </si>
  <si>
    <t>Fontes, Tânia/0000-0001-5183-5321; Silva, Vasco/0000-0001-5207-9118; Fontes, Tânia/0000-0001-5183-5321; Amaral, António/0000-0002-7910-2418; Amaral, António/0000-0002-7910-2418</t>
  </si>
  <si>
    <t>National Funds through the FCT-Fundacao para a Ciencia e a Tecnologia (Portuguese Foundation for Science and Technology) within the e-LOG project [EXPL/ECI-TRA/0679/2021]; FCT [SFRH/BPD/109426/2015]</t>
  </si>
  <si>
    <t>National Funds through the FCT-Fundacao para a Ciencia e a Tecnologia (Portuguese Foundation for Science and Technology) within the e-LOG project; FCT(Fundacao para a Ciencia e a Tecnologia (FCT))</t>
  </si>
  <si>
    <t>This work is financed by National Funds through the FCT-Fundacao para a Ciencia e a Tecnologia (Portuguese Foundation for Science and Technology) within the e-LOG project (EXPL/ECI-TRA/0679/2021). Tania Fontes also thanks FCT for the Post-Doctoral scholarship SFRH/BPD/109426/2015.</t>
  </si>
  <si>
    <t>10.3390/su15032285</t>
  </si>
  <si>
    <t>8U0ZJ</t>
  </si>
  <si>
    <t>WOS:000929679700001</t>
  </si>
  <si>
    <t>Sridhar, M; Partheeban, P; Kamalakannan, JP; Baskaran, A</t>
  </si>
  <si>
    <t>Sridhar, Madhavan; Partheeban, Pachaivannan; Kamalakannan, Jothi Prakash; Baskaran, Anuradha</t>
  </si>
  <si>
    <t>Risk analysis of route choices for construction and demolition waste disposal planning using geospatial technology</t>
  </si>
  <si>
    <t>ENVIRONMENTAL MONITORING AND ASSESSMENT</t>
  </si>
  <si>
    <t>Construction and demolition waste; Geospatial technology; Optimal route; Recycling facilities; Dumping yards; Collection systems</t>
  </si>
  <si>
    <t>GIS; MANAGEMENT; SUSTAINABILITY; OPTIMIZATION</t>
  </si>
  <si>
    <t>Construction and demolition waste (C&amp;DW) is increasing at an alarming rate globally. It is estimated that worldwide, C&amp;DW occupies over 17,420,000 km2 of land with an average depth of around 15.25 m, amounting to an astonishing 2.7 billion cubic meters of landfill space. The annual generation of C&amp;D debris in India is up to 150 million tons. This study examines the use of geospatial technology to effectively manage C&amp;DW disposal in the legal dumping yards of Chennai. Data were collected on C&amp;DW in Chennai, which has 15 legal dumping sites and two recycling units in Perungudi and Kodungaiyur. Geospatial technology was applied to analyze optimal route planning, considering sources, and C&amp;DW disposal locations, with two scenarios: the stationary container system and the hauled container system. The results suggest that the hauled container system is Chennai's most suitable debris collection method, providing an optimal route with reduced environmental pollution. These findings are helpful for urban planners and environmental engineers, assisting in transforming old urban areas into new smart cities through effective planning and design.</t>
  </si>
  <si>
    <t>[Sridhar, Madhavan; Partheeban, Pachaivannan; Kamalakannan, Jothi Prakash; Baskaran, Anuradha] Chennai Inst Technol, Dept Civil Engn, Kundrathur, Tamil Nadu, India</t>
  </si>
  <si>
    <t>Chennai Institute of Technology</t>
  </si>
  <si>
    <t>Partheeban, P (corresponding author), Chennai Inst Technol, Dept Civil Engn, Kundrathur, Tamil Nadu, India.</t>
  </si>
  <si>
    <t>maddysridhar12345@gmail.com; parthi011@yahoo.co.in; kjothiprakash2001@gmail.com; anuradhab@citchennai.net</t>
  </si>
  <si>
    <t>Partheeban, Pachaivannan/A-9242-2018</t>
  </si>
  <si>
    <t>Sridhar, Madhavan/0000-0003-0452-5288</t>
  </si>
  <si>
    <t>0167-6369</t>
  </si>
  <si>
    <t>1573-2959</t>
  </si>
  <si>
    <t>ENVIRON MONIT ASSESS</t>
  </si>
  <si>
    <t>Environ. Monit. Assess.</t>
  </si>
  <si>
    <t>DEC 6</t>
  </si>
  <si>
    <t>10.1007/s10661-024-13498-x</t>
  </si>
  <si>
    <t>O7C9C</t>
  </si>
  <si>
    <t>WOS:001372672300003</t>
  </si>
  <si>
    <t>Jones, C</t>
  </si>
  <si>
    <t>Jones, Chris</t>
  </si>
  <si>
    <t>The detrimental effects of population growth on the sustainability of the planet and the human race itself: What can be done?</t>
  </si>
  <si>
    <t>TYDSKRIF VIR GEESTESWETENSKAPPE</t>
  </si>
  <si>
    <t>Afrikaans</t>
  </si>
  <si>
    <t>agriculture and food production; contraception; contraceptives; ecology; economy; eco-smart cities; empowerment of women; energy; family planning; life expectancy; migration; population growth; raw materials; sustainability; The Millennium project; water; youth</t>
  </si>
  <si>
    <t>The number of people on Earth and human activities are currently taking on frightening proportions with far-reaching consequences for our planet, its biodiversity and ultimately the human race itself. Ten thousand years ago, humans represented 1% of the total biomass of all land vertebrates. The rest was made up by wild animals. Currently, humans, livestock and pets make up 99% of terrestrial vertebrate biomass, while wild animals represent only 1%. It took millennia for the human population to reach the 1 billion mark and that only by 1890. By 1960, however, the world population had grown to 3 billion. Today there are 8 billion people living on our planet. According to Population Matters, the world population will be approximately 10,4 billion by the end of this century, despite the gradual decline in the growth rate in some countries. There is only a 23% chance that the total population growth rate will tail off before 2100. The population of the 47 least developed countries is likely to triple between 2017 and 2100 to around 3 billion. There are currently 62 million people in South Africa. About 67,9% of our population (in 2021) live in urban areas. The South African population grew by 0,87% in 2023. The fertility rate is 2,30 (2023). It is estimated that by 2050 75,5 million people will be living in South Africa, with 8 out of every 10 people living in urban areas, which would significantly increase the pressure on infrastructure. The Global Footprint Network states that humans currently use the resources of 1,75 Earths. If the situation does not improve, by 2050 we would need the equivalent of three Earths to survive. More than 4 billion people will have little or no water by 2050, and South Africa even now has been classified as a water-stressed country. Medical science is continually contributing to more babies surviving their entry into the world and to our living increasingly longer. Life expectancy has risen from 46 years in 1950 to 73,2 years in 2023. By 2050 it will be 77 years. What can be done? Empowerment of women is important. Population growth can be curbed to a reasonable extent by giving more girls access to education. This certainly does not mean that girls or women alone should be held responsible for the current population growth, but much more will have to be done about sex education, women's rights will have to be actively promoted and there will have to be better provision and use of contraceptives. Obviously, these issues should be approached and handled with due caution. In this regard, countries such as Thailand and South Korea have, in the recent past, proved that good education may result in lower birth rates. In Africa, women with no education have an average of 5,4 children; women who completed high school an average of 2,7 children and women with tertiary education an average of 2.2. In Nigeria, every year of school attendance by girls cuts the birth rate by a tenth. In addition, intensified efforts to reform economies and societies should be considered. For the sake of the survival of the human species and the sustainability of the Earth, ecological and economic justice and the empowerment of women have to be encouraged. The Millennium Project - a global participatory think tank that was founded in 1996 under the auspices of the American Council for the United Nations University, but which became independent in 2009 and has since grown into a global network of institutions and individuals - aims to improve humankind's prospects for a better future. It recommends, among other things, the following: center dot Support a policy aimed at improving the survival of children, responsible family planning and educational opportunities for (especially) girls. center dot Improve methods that will ensure skills and employment opportunities for young people, as well as care and services for the elderly. center dot Implement the UN's urban agenda. center dot Create enough smart cities where citizens with urban intelligence can help in eco-smart ways with the necessary improvements in the city. center dot Increase training in resilience, and improve disaster prediction and management. center dot Provide guidance for people about urban ecology. center dot Intensify research and development in saltwater agriculture (halophytes or salt plants) on coastlines to produce food for humans and animals, biofuel and pulp for the paper industry, and to absorb carbon dioxide (CO2). This will ease the pressure on freshwater agriculture. center dot Improve agricultural and irrigation management. center dot Invest in precision agriculture and aquaculture. center dot Reduce food losses from the farm to the mouth (one third or 1,3 billion tons of agricultural production is wasted in this way every year). center dot Establish seaweed to restore wild fish populations along coastlines. The World Bank estimates that 90% of marine life is completely depleted. center dot Expand the production of insects for animal feed and human diets (insects have a low environmental impact, and 2 billion people already supplement their diet with insects today). center dot Encourage vegetarianism. Although there are more ways to address these important global challenges, responsible family planning remains one of the most important. This is an extremely sensitive issue for many people (especially in Africa), but if it is not promoted in a humane, informed and responsible way, the sustainability of life on our planet will increasingly come under tremendous pressure in various respects.</t>
  </si>
  <si>
    <t>[Jones, Chris] Univ Stellenbosch, Fak Teol, Stellenbosch, South Africa</t>
  </si>
  <si>
    <t>Stellenbosch University</t>
  </si>
  <si>
    <t>Jones, C (corresponding author), Univ Stellenbosch, Fak Teol, Stellenbosch, South Africa.</t>
  </si>
  <si>
    <t>chrisjones@sun.ac.za</t>
  </si>
  <si>
    <t>Support a policy aimed at improving the survival of children, responsible family planning and educational opportunities for (especially) girls.</t>
  </si>
  <si>
    <t>SUID-AFRIKAANSE AKAD VIR WETENSKAP EN KUNS, SEKRETARIS</t>
  </si>
  <si>
    <t>PRETORIA</t>
  </si>
  <si>
    <t>P. O. BOX 538, PRETORIA, 00000, SOUTH AFRICA</t>
  </si>
  <si>
    <t>0041-4751</t>
  </si>
  <si>
    <t>TYDSKR GEESTESWET</t>
  </si>
  <si>
    <t>Tydskr. Geesteswet.</t>
  </si>
  <si>
    <t>10.17159/2224-7912/2024/v64n2a1</t>
  </si>
  <si>
    <t>Social Issues</t>
  </si>
  <si>
    <t>YC9F2</t>
  </si>
  <si>
    <t>WOS:001266398500001</t>
  </si>
  <si>
    <t>Darsena, D; Gelli, G; Iudice, I; Verde, F</t>
  </si>
  <si>
    <t>Darsena, Donatella; Gelli, Giacinto; Iudice, Ivan; Verde, Francesco</t>
  </si>
  <si>
    <t>Sensing Technologies for Crowd Management, Adaptation, and Information Dissemination in Public Transportation Systems: A Review</t>
  </si>
  <si>
    <t>IEEE SENSORS JOURNAL</t>
  </si>
  <si>
    <t>Sensors; Real-time systems; COVID-19; Monitoring; Pandemics; Sensor systems; Sensor phenomena and characterization; Adaptive systems; communication systems; coronavirus disease (COVID-19); crowd management; intelligent transportation system (ITS); Internet of Things (IoT); public transportation (PT) systems; sensing technologies; smart cities; sustainable mobility</t>
  </si>
  <si>
    <t>EMERGING TECHNOLOGIES; COMPREHENSIVE SURVEY; DATA FUSION; SENSOR; COVID-19; IOT; MOBILITY; MODEL; CHALLENGES; PREDICTION</t>
  </si>
  <si>
    <t>Management of crowd information in public transportation (PT) systems is crucial, both to foster sustainable mobility, by increasing the user's comfort and satisfaction during normal operation, as well as to cope with emergency situations, such as pandemic crises, as recently experienced with coronavirus disease (COVID-19) limitations. This article presents a taxonomy and review of sensing technologies based on the Internet of Things (IoT) for real-time crowd analysis, which can be adopted in the different segments of the PT system (buses/trams/trains, railway/metro stations, and bus/tram stops). To discuss such technologies in a clear systematic perspective, we introduce a reference architecture for crowd management, which employs modern information and communication technologies (ICTs) in order to: 1) monitor and predict crowding events; 2) implement crowd-aware policies for real-time and adaptive operation control in intelligent transportation systems (ITSs); and 3) inform in real time the users of the crowding status of the PT system, by means of electronic displays installed inside vehicles or at bus/tram stops/stations and/or by mobile transport applications. It is envisioned that the innovative crowd management functionalities enabled by ICT/IoT sensing technologies can be incrementally implemented as an add-on to state-of-the-art ITS platforms, which are already in use by major PT companies operating in urban areas. Moreover, it is argued that, in this new framework, additional services can be delivered to the passengers, such as online ticketing, vehicle access control and reservation in severely crowded situations, and evolved crowd-aware route planning.</t>
  </si>
  <si>
    <t>[Darsena, Donatella] Univ Naples Parthenope, Dept Engn, I-80143 Naples, Italy; [Darsena, Donatella; Gelli, Giacinto; Verde, Francesco] Natl Interuniv Consortium Telecommun CNIT, I-56124 Pisa, Italy; [Gelli, Giacinto; Verde, Francesco] Univ Naples Federico II, Dept Elect Engn &amp; Informat Technol, I-80125 Naples, Italy; [Iudice, Ivan] Italian Aerosp Res Ctr CIRA, I-81043 Capua, Italy</t>
  </si>
  <si>
    <t>Parthenope University Naples; University of Naples Federico II; CIRA - Italian Aerospace Research Centre</t>
  </si>
  <si>
    <t>Verde, F (corresponding author), Univ Naples Federico II, Dept Elect Engn &amp; Informat Technol, I-80125 Naples, Italy.</t>
  </si>
  <si>
    <t>darsena@uniparthenope.it; gelli@unina.it; i.iudice@cira.it; f.verde@unina.it</t>
  </si>
  <si>
    <t>Iudice, Ivan/HTM-7219-2023</t>
  </si>
  <si>
    <t>Iudice, Ivan/0000-0001-8504-7075; Verde, Francesco/0000-0001-9039-3896; Darsena, Donatella/0000-0003-3341-2776</t>
  </si>
  <si>
    <t>IEEE ComSoc/VTS Italian Chapter</t>
  </si>
  <si>
    <t>The authors would like to thank the IEEE ComSoc/VTS Italian Chapter for supporting this work, by awarding the first prize to the SALUTARY (Safe and Reliable Public Transportation System) system concept within the call for ideas in response to COVID-19 outbreak in Italy.</t>
  </si>
  <si>
    <t>1530-437X</t>
  </si>
  <si>
    <t>1558-1748</t>
  </si>
  <si>
    <t>IEEE SENS J</t>
  </si>
  <si>
    <t>IEEE Sens. J.</t>
  </si>
  <si>
    <t>10.1109/JSEN.2022.3223297</t>
  </si>
  <si>
    <t>Engineering, Electrical &amp; Electronic; Instruments &amp; Instrumentation; Physics, Applied</t>
  </si>
  <si>
    <t>Engineering; Instruments &amp; Instrumentation; Physics</t>
  </si>
  <si>
    <t>D8LX5</t>
  </si>
  <si>
    <t>WOS:000971198700005</t>
  </si>
  <si>
    <t>Saharan, S; Kumar, N; Bawa, S</t>
  </si>
  <si>
    <t>Saharan, Sandeep; Kumar, Neeraj; Bawa, Seema</t>
  </si>
  <si>
    <t>DyPARK: A Dynamic Pricing and Allocation Scheme for Smart On-Street Parking System</t>
  </si>
  <si>
    <t>Games; Resource management; Pricing; Vehicle dynamics; Urban areas; Dynamic scheduling; Stakeholders; Resource allocation; dynamic pricing; smart parking; stackelberg game; machine learning; cloud computing; fog computing; edge computing; smart cities; intelligent transportation system</t>
  </si>
  <si>
    <t>GAME; RESERVATION</t>
  </si>
  <si>
    <t>In-advance availability of parking information plays an important role in parker/ traveller decision-making for parking, curbing congestion, and managing parking lots efficiently. Specifically on-street parking poses many challenges compared to the off-street ones. Many users such as, store owners, municipal authorities, and police demand slots for on-street parking Free of Charges (FoC) for a short duration. In last few years, parking authorities collected data to attract the attention of researchers to present data-centric solutions for various problems such as, minimization of parking prices, maximization of revenue, and balacing the congestion at parking lots associated with smart parking systems. Motivated from the aforementioned problem, this paper proposes a scheme based on machine learning and game theory for dynamic pricing and allocation of parking slots in on-street parking scenarios. The dynamic pricing and allocation problem is modeled as Stackelberg game and is solved by finding its Nash equilibrium. Two types of Parking Users (PUs), i.e., Paid Parking Users (PPUs) and Restricted Parking Users (RPUs) are considered in this work. RPUs avail parking slots FoC once a day. PPUs compete to minimize the prices, and RPUs compete to maximize the FoC granted duration. The Parking Controllers (PCs) compete to maximize revenue generated from PPUs and to minimize total FoC parking duration granted to the RPUs. The random forest model is used to predict occupancy, which in turn is used to generate parking prices. Seattle city parking and its prices data sets are used to predict occupancy and to generate prices, respectively. In order to test the performance of communication system, the proposed DyPARK Pricing and Allocation Scheme (PAS) is compared with its four variants and is found worth. The proposed scheme is also compared with other state-of-the-art schemes using various performance evaluation metrics. Simulated results prove the superiority of the proposed scheme in comparison to the other state-of-the-art schemes.</t>
  </si>
  <si>
    <t>[Saharan, Sandeep; Kumar, Neeraj; Bawa, Seema] Thapar Inst Engn &amp; Technol, Dept Comp Sci &amp; Engn, Patiala 147004, Punjab, India; [Kumar, Neeraj] Univ Petr &amp; Energy Studies, Sch Comp Sci, Dehra Dun 248007, Uttarakhand, India; [Kumar, Neeraj] Lebanese Amer Univ, Dept Elect &amp; Comp Engn, Beirut 11022801, Lebanon; [Kumar, Neeraj] King Abdulaziz Univ, Fac Comp &amp; IT, Jeddah 21589, Saudi Arabia</t>
  </si>
  <si>
    <t>Thapar Institute of Engineering &amp; Technology; University of Petroleum &amp; Energy Studies (UPES); Lebanese American University; King Abdulaziz University</t>
  </si>
  <si>
    <t>Kumar, N (corresponding author), Thapar Inst Engn &amp; Technol, Dept Comp Sci &amp; Engn, Patiala 147004, Punjab, India.;Kumar, N (corresponding author), Univ Petr &amp; Energy Studies, Sch Comp Sci, Dehra Dun 248007, Uttarakhand, India.;Kumar, N (corresponding author), Lebanese Amer Univ, Dept Elect &amp; Comp Engn, Beirut 11022801, Lebanon.;Kumar, N (corresponding author), King Abdulaziz Univ, Fac Comp &amp; IT, Jeddah 21589, Saudi Arabia.</t>
  </si>
  <si>
    <t>ssaharan_phd17@thapar.edu; neeraj.kumar@thapar.edu; seema@thapar.edu</t>
  </si>
  <si>
    <t>; Kumar, Neeraj/ABA-5200-2021</t>
  </si>
  <si>
    <t>Saharan, Sandeep/0000-0002-2152-6875; Kumar, Neeraj/0000-0002-3020-3947</t>
  </si>
  <si>
    <t>10.1109/TITS.2022.3230851</t>
  </si>
  <si>
    <t>WOS:000910547300001</t>
  </si>
  <si>
    <t>Al Mashalah, H; Hassini, E; Gunasekaran, A; Bhatt, D</t>
  </si>
  <si>
    <t>Al Mashalah, Heider; Hassini, Elkafi; Gunasekaran, Angappa; Bhatt, Deepa (Mishra)</t>
  </si>
  <si>
    <t>The impact of digital transformation on supply chains through e-commerce: Literature review and a framework</t>
  </si>
  <si>
    <t>TRANSPORTATION RESEARCH PART E-LOGISTICS AND TRANSPORTATION REVIEW</t>
  </si>
  <si>
    <t>Digital transformation; e-commerce; Network analysis; Supply chains; Systematic literature review</t>
  </si>
  <si>
    <t>LAST-MILE DELIVERY; B2C E-COMMERCE; DISTRIBUTION NETWORK DESIGN; BUSINESS E-PROCUREMENT; BIG DATA ANALYTICS; URBAN LOGISTICS; CITY LOGISTICS; TRANSPORTATION SYSTEMS; INFORMATION-TECHNOLOGY; ENVIRONMENTAL IMPACTS</t>
  </si>
  <si>
    <t>One of the profound impacts of digitalization on supply chains is manifested through e -commerce. The latter has significantly grown during the last two decades, with further amplifications during the COVID-19 pandemic. This has created operational and policy making challenges for firms when deciding about how best to manage the resulting growth in e -commerce. While the impact of e-commerce on supply chains has been widely recognized in the literature, there was no effort to systematically review the literature, conceptualize some of the challenges and propose future research directions. This paper fills this gap by reviewing 153 publications from 1999 to 2019. We classify the reviewed literature based on which supply chain drivers were investigated, as well as, the employed research methodology. In addition, we conduct network and content analysis to uncover the main research themes and potential research directions namely, developing analytical centred; modelling based ecosystem for environment; leveraging data mining to enhance sustainability; balance between growth and sustainability; consumer demand and uncertainty; coordination in e-commerce logistics; last mile alternatives and cost management of innovative technique implementations. Furthermore, based on our literature review, we propose a conceptual framework where we interlink supply chain stages with a firm's business strategy, digital transformation strategy and performance.</t>
  </si>
  <si>
    <t>[Al Mashalah, Heider] McMaster Univ, Sch Computat Sci &amp; Engn, Hamilton, ON, Canada; [Hassini, Elkafi] McMaster Univ, DeGroote Sch Business, Hamilton, ON, Canada; [Gunasekaran, Angappa] Penn State Harrisburg, Sch Business Adm, 777 West Harrisburg Pike, Middletown, PA 17057 USA; [Bhatt, Deepa (Mishra)] Montpellier Business Sch, 2300 Ave Moulins, F-34185 Montpellier, France</t>
  </si>
  <si>
    <t>McMaster University; McMaster University; Pennsylvania Commonwealth System of Higher Education (PCSHE); Pennsylvania State University; Montpellier Business School</t>
  </si>
  <si>
    <t>Gunasekaran, A (corresponding author), Penn State Harrisburg, Sch Business Adm, 777 West Harrisburg Pike, Middletown, PA 17057 USA.</t>
  </si>
  <si>
    <t>almashah@mcmaster.ca; hassini@mcmaster.ca; aqg6076@psu.edu; d.bhatt@montpellier-bs.com</t>
  </si>
  <si>
    <t>; Gunasekaran, Angappa/AEZ-0121-2022; Hassini, Elkafi/JGE-1957-2023</t>
  </si>
  <si>
    <t>Hassini, Elkafi/0000-0002-5337-5389; Al Mashalah, Heider/0000-0001-7002-3978;</t>
  </si>
  <si>
    <t>1366-5545</t>
  </si>
  <si>
    <t>1878-5794</t>
  </si>
  <si>
    <t>TRANSPORT RES E-LOG</t>
  </si>
  <si>
    <t>Transp. Res. Pt. e-Logist. Transp. Rev.</t>
  </si>
  <si>
    <t>10.1016/j.tre.2022.102837</t>
  </si>
  <si>
    <t>5D1VX</t>
  </si>
  <si>
    <t>WOS:000864739500005</t>
  </si>
  <si>
    <t>Chung, SH</t>
  </si>
  <si>
    <t>Chung, Sai-Ho</t>
  </si>
  <si>
    <t>Applications of smart technologies in logistics and transport: A review</t>
  </si>
  <si>
    <t>Smart Technologies; Autonomous; Logistics; Transport</t>
  </si>
  <si>
    <t>SUPPLY CHAIN MANAGEMENT; BIG DATA ANALYTICS; AUTONOMOUS-VEHICLE; BLOCKCHAIN-TECHNOLOGY; JOINT OPTIMIZATION; WAREHOUSE SYSTEMS; NEURAL-NETWORK; RISK; OPERATIONS; SERVICE</t>
  </si>
  <si>
    <t>The emergence of smart technologies (STs) is inducing significant transformation in logistics and transport nowadays. STs refer to the applications of artificial intelligence and data science technologies, such as machine learning, big data, to create cognitive awareness (autonomous) of an object with the support of information and communication technologies such as IoT and Blockchain. Currently, many applications of STs have demonstrated potential promise in enhancing the efficiency and effectiveness in various logistics operations and transportation systems. Further, these new advanced technologies create huge modelling challenges to traditional optimization approaches and thus create rich new research opportunities for developing new optimization methodologies in the field of logistics and transport studies. As such, our aim is to conduct a comprehensive review on noteworthy contributions made in the applications of STs in improving logistics operations and transportation network efficiency. More importantly, we explore and discuss the technical difficulties encountered by researchers in the development of optimization methodologies caused by the applications of STs. Finally, we conclude the studies with suggestions for future research.</t>
  </si>
  <si>
    <t>[Chung, Sai-Ho] Hong Kong Polytech Univ, Dept Ind &amp; Syst Engn, Hung Hom, Kowloon, Hong Kong, Peoples R China</t>
  </si>
  <si>
    <t>Chung, SH (corresponding author), Hong Kong Polytech Univ, Dept Ind &amp; Syst Engn, Hung Hom, Kowloon, Hong Kong, Peoples R China.</t>
  </si>
  <si>
    <t>nick.sh.chung@polyu.edu.hk</t>
  </si>
  <si>
    <t>10.1016/j.tre.2021.102455</t>
  </si>
  <si>
    <t>UK2FP</t>
  </si>
  <si>
    <t>WOS:000691791000009</t>
  </si>
  <si>
    <t>Rauniyar, A; Berge, T; Kuijpers, A; Litzinger, P; Peeters, B; van Gils, E; Kirchhoff, N; Håkegård, JE</t>
  </si>
  <si>
    <t>Rauniyar, Ashish; Berge, Truls; Kuijpers, Ard; Litzinger, Paul; Peeters, Bert; van Gils, Erik; Kirchhoff, Nikolas; Hakegard, Jan Erik</t>
  </si>
  <si>
    <t>NEMO: Real-Time Noise and Exhaust Emissions Monitoring for Sustainable and Intelligent Transportation Systems</t>
  </si>
  <si>
    <t>Research and development; Sustainable development; Intelligent transportation systems; Globalization; Climate change; Real-time systems; Noise measurement; Emissions; Internet of Things; Monitoring; Artificial intelligence; Intelligent vehicles; Road vehicles; Urban areas; Artificial intelligence (AI); emission; exhaust; Internet of Things (IoT); monitoring system; noise; sensors; smart cities; sustainable; transportation</t>
  </si>
  <si>
    <t>Research and development efforts on sustainable and intelligent transportation systems are accelerating globally as the transportation sector contributes significantly to environmental pollution and produces a variety of noise and emissions that impact the climate. With the emergence of ubiquitous sensors and Internet-of-Things (IoT) applications, finding innovative transport solutions, including adequate climate change mitigation, will all be vital components of a sustainable transport future. Thus, it is essential to continuously monitor noise and exhaust emissions from road vehicles, trains, and ships. As a contribution to addressing this as part of an effort of the European Union project called NEMO: Noise and Emissions Monitoring and Radical Mitigation, in this article, we propose the design and development of a real-time noise and exhaust emissions monitoring for sustainable and intelligent transportation systems. We report real-world field testing in some European cities where vehicle noise and exhaust emissions data are gathered in the cloud-enabled Nautilus platform and evaluated using artificial intelligence (AI) algorithms to determine their categorization into different classes of emitters and, thereby, enabling the infrastructure managers to define logic and actions to be taken by high emitters in near real time. We outline the creation of a complete NEMO solution to monitor and reduce noise and emissions in real time for sustainable and intelligent transportation systems.</t>
  </si>
  <si>
    <t>[Rauniyar, Ashish; Berge, Truls; Hakegard, Jan Erik] SINTEF Digital, Sustainable Commun Technol, N-7034 Trondheim, Norway; [Kuijpers, Ard; Peeters, Bert; van Gils, Erik] MP, NL-1431 GJ Aalsmeer, Netherlands; [Litzinger, Paul] Kapsch TrafficCom, A-1120 Vienna, Austria; [Kirchhoff, Nikolas] Muller BBM Ind Solut GmbH, D-82152 Planegg, Germany</t>
  </si>
  <si>
    <t>SINTEF</t>
  </si>
  <si>
    <t>Rauniyar, A (corresponding author), SINTEF Digital, Sustainable Commun Technol, N-7034 Trondheim, Norway.</t>
  </si>
  <si>
    <t>ashish.rauniyar@sintef.no; ruls.berge@sintef.no; ArdKuijpers@mp.nl; paul.litzinger@kapsch.net; BertPeeters@mp.nl; ErikvanGils@mp.nl; nikolas.kirchhoff@mbbm-ind.com; jan.e.hakegard@sintef.no</t>
  </si>
  <si>
    <t>Rauniyar, Ashish/C-9539-2018; Håkegård, Jan/JMB-0202-2023</t>
  </si>
  <si>
    <t>Rauniyar, Ashish/0000-0002-2142-9522; Kuijpers, Ard/0009-0001-2440-5737; Kirchhoff, Nikolas/0009-0008-9965-312X</t>
  </si>
  <si>
    <t>European Union [860441]</t>
  </si>
  <si>
    <t>This work was supported by the European Union's Horizon 2020 Project NEMO: Noise and Emissions Monitoring and Radical Mitigation under Grant Agreement 860441. An earlier version of this paper was presented at the 2022 IEEE 12th Sensor Array and Multichannel Signal Processing Workshop (SAM) held on June 20-23, 2022, Trondheim, Norway [DOI: 10.1109/SAM53842.2022.9827835]. The associate editor coordinating the review of this article and approving it for publication was Dr.-Ing. Tai Fei.</t>
  </si>
  <si>
    <t>OCT 15</t>
  </si>
  <si>
    <t>10.1109/JSEN.2023.3312861</t>
  </si>
  <si>
    <t>X4HA8</t>
  </si>
  <si>
    <t>WOS:001098067300157</t>
  </si>
  <si>
    <t>Song, LY; Wang, B; Bian, Q; Shao, LH</t>
  </si>
  <si>
    <t>Song, Liying; Wang, Bin; Bian, Qian; Shao, Lihua</t>
  </si>
  <si>
    <t>Environmental Benefits of Using New Last-Mile Solutions and Using Electric Vehicles in China</t>
  </si>
  <si>
    <t>freight systems; city logistics and last-mile strategies; street use; delivery; freight facility location and land use; logistics</t>
  </si>
  <si>
    <t>Unlike much of the existing research into the environmental impacts of home shopping and delivery activities, which focus on evaluating the operational efficiency of home delivery failures, this paper aims to investigate the CO2 emissions associated with treatments of failed-delivery parcels. The paper considers the potential environmental profits from using some innovative home delivery solutions: 1) the utilization of new home delivery solutions, under which the self-pickup point (SPP)/smart cabinet (SCB) is used as an intermediate address for customer's collection and 2) upgrading fuel-powered goods vehicles to battery vans to make deliveries. Two sets of vehicle routing problem models for fuel-powered vans and battery vans are established. A sample network comprising of 500 customers and several SPPs/SCBs in Beijing, China, is proposed in the case study, to verify the proposed models and heuristics. The numerical results suggest that: 1) reductions in CO2 per average parcel delivered by new home delivery solutions increase with the ratio of home delivery failures, 2) it is proved that using battery freight vehicles obtains more environmental benefits than using the fuel-powered vans, and 3) customers' personal trips for collecting their failed-delivery packages from the local depot or SPPs/SCBs share a large proportion of CO2 per parcel. The research has practical implications for both government and industry practitioners. Possible suggestions include: 1) promote a cleaner transportation mode for residents, by encouraging them to either take the bus or drive a battery passenger car, 2) careful design of a combined SPP and SCB network in urban areas, and 3) accelerate the process of vehicle electrification in the logistics industry by issuing allowances for purchasing electric vehicles from the government.</t>
  </si>
  <si>
    <t>[Song, Liying; Bian, Qian; Shao, Lihua] Beijing Jiaotong Univ, Sch Traff &amp; Transportat, Beijing, Peoples R China; [Wang, Bin] China Acad Railway Sci, Inst Comp Technol, Beijing, Peoples R China</t>
  </si>
  <si>
    <t>Shao, LH (corresponding author), Beijing Jiaotong Univ, Sch Traff &amp; Transportat, Beijing, Peoples R China.</t>
  </si>
  <si>
    <t>18114025@bjtu.edu.cn</t>
  </si>
  <si>
    <t>; Song, Lu/HPF-0922-2023</t>
  </si>
  <si>
    <t>Shao, Lihua/0000-0003-3252-0513; Bian, Qian/0000-0003-0659-6872; , Liying/0000-0001-7096-2318;</t>
  </si>
  <si>
    <t>China Railway Great Project [P2021X009]</t>
  </si>
  <si>
    <t>China Railway Great Project</t>
  </si>
  <si>
    <t>The author(s) disclosed receipt of the following financial support for the research, authorship, and/or publication of this article: This research is funded by China Railway Great Project P2021X009.</t>
  </si>
  <si>
    <t>10.1177/03611981231171149</t>
  </si>
  <si>
    <t>GP5B4</t>
  </si>
  <si>
    <t>WOS:001007370000001</t>
  </si>
  <si>
    <t>Putriani, O; Priyanto, S; Muthohar, I; Amrozi, MRF</t>
  </si>
  <si>
    <t>Putriani, Okkie; Priyanto, Sigit; Muthohar, Imam; Amrozi, Mukhammad Rizka Fahmi</t>
  </si>
  <si>
    <t>Millimetre Wave and Sub-6 5G Readiness of Mobile Network Big Data for Public Transport Planning</t>
  </si>
  <si>
    <t>5G; mmWave; big data; public transport; sustainable transportation</t>
  </si>
  <si>
    <t>SMART CITIES; SERVICES; SYSTEM</t>
  </si>
  <si>
    <t>The need to solve public transport planning challenges using 5G is demanding. In 2019, the world started using 5G technology. Unfortunately, many countries have no equipment that is compatible with 5G infrastructures. There are two main deployment options for countries willing to accept 5G. They can directly venture to install relatively expensive infrastructure, called 5G SA (standalone access). However, more countries use the 5G NSA (non-standalone access) alternative, a 5G network supported by existing 4G infrastructure. One of the considerations for choosing NSA 5G is that it still performs 4G equalisation in its area. The data throughput is faster but still uses the leading 4G network. Interestingly, there are three types of 5G: low-band (sub-6), middle-band (sub-6), and high-band (millimetre-wave (mmWave)). The problem is determining the kind of 5G needed for public transport planning. Meanwhile, mobile network big data (MNBD) requires robust and stable internet access, with broad coverage in real time. MNBD movement includes the movement of people and vehicles, as well as logistics. GPS and internet connections track the activity of private vehicles and public transportation. The difference between mmWave and sub-6 5G can complement transportation planning needs. The density and height of buildings in urban areas and the affordability of the range of the connections determine 5G. This study examines the literature on 5G and then, using the bibliographic method, matches the network coverage obtained in Indonesia using nPerf data services. According to the data, urban areas are becoming more densely populated. Thus, this could show the differences in the data quality outside of metropolitan areas. This study also discusses the current conditions in terms of market potential and the development of smart cities and provides an overview of how real-time mobile data can support public transport planning. This article provides beneficial insight into the stability and adjustment of 5G, where the connectivity can be adequately maintained so that the MNBD can deliver representative data for analysis.</t>
  </si>
  <si>
    <t>[Putriani, Okkie] Univ Atma Jaya Yogykarta, Dept Civil Engn, Yogyakarta 55281, Indonesia; [Putriani, Okkie; Priyanto, Sigit; Muthohar, Imam; Amrozi, Mukhammad Rizka Fahmi] Univ Gadjah Mada, Dept Civil &amp; Environm Engn, Yogyakarta 55284, Indonesia</t>
  </si>
  <si>
    <t>Gadjah Mada University</t>
  </si>
  <si>
    <t>Putriani, O (corresponding author), Univ Atma Jaya Yogykarta, Dept Civil Engn, Yogyakarta 55281, Indonesia.;Putriani, O (corresponding author), Univ Gadjah Mada, Dept Civil &amp; Environm Engn, Yogyakarta 55284, Indonesia.</t>
  </si>
  <si>
    <t>okkie.putriani@uajy.ac.id</t>
  </si>
  <si>
    <t>Amrozi, Mukhammad Rizka Fahmi/0000-0001-5731-0307; Putriani, Okkie/0000-0003-0562-7016</t>
  </si>
  <si>
    <t>Universitas Gadjah Mada; Directorate of Research, Universitas Gadjah Mada; [089/E5/PG.02.00.PT/2022]; [1931/UN1/DITLIT/Dit-Lit/PT.01.03/2022]</t>
  </si>
  <si>
    <t>Universitas Gadjah Mada; Directorate of Research, Universitas Gadjah Mada; ;</t>
  </si>
  <si>
    <t>This research was funded by Directorate of Research, Universitas Gadjah Mada grant number 089/E5/PG.02.00.PT/2022; 1931/UN1/DITLIT/Dit-Lit/PT.01.03/2022 and The APC was funded by Universitas Gadjah Mada.</t>
  </si>
  <si>
    <t>10.3390/su15010672</t>
  </si>
  <si>
    <t>7Q9LT</t>
  </si>
  <si>
    <t>WOS:000909704400001</t>
  </si>
  <si>
    <t>Baker, D; Briant, S; Hajirasouli, A; Yigitcanlar, T; Paz, A; Bhaskar, A; Corry, P; Whelan, K; Donehue, P; Parsons, H</t>
  </si>
  <si>
    <t>Baker, Douglas; Briant, Sarah; Hajirasouli, Aso; Yigitcanlar, Tan; Paz, Alexander; Bhaskar, Ashish; Corry, Paul; Whelan, Karen; Donehue, Paul; Parsons, Hermione</t>
  </si>
  <si>
    <t>Urban freight logistics and land use planning education: Trends and gaps through the lens of literature</t>
  </si>
  <si>
    <t>Urban freight; Urban freight logistics; City logistics; Urban freight planning; Freight logistics education; Land use planning education</t>
  </si>
  <si>
    <t>TEACHING SUPPLY CHAIN; CITY LOGISTICS; DIGITAL TWIN; TRANSPORT; INDUSTRY; MANAGEMENT; CONSTRUCTION; SIMULATION; FRAMEWORK; DEMAND</t>
  </si>
  <si>
    <t>Supply chains, urban freight logistics and freight transport have been under pressure to improve productivity, quality, and sustainability performance. Conventional methods of practice are unable to respond to this industry's ever-growing challenges and needs. New methods/technologies have emerged to respond to this issue, making urban freight logistics a more contemporary, interdisciplinary and technology integrated field. Nevertheless, the application of new methods/technologies, and developments in the field are not fully integrated into training/education programs. This study utilised a systematic literature review along with thematic and content analyses to interrogate and explore the developments within urban freight logistics practises and compared them with the current developments in the literature on freight logistics training/education programs-to identify the gaps and limitations within the body of knowledge. The findings reveal that the literature on urban freight logistics education is lacking in terms of providing a comprehensive education on the spatial systems of moving freight in urban areas and is falling behind the current developments within the industry. This study highlights that there is a substantial gap in the body of knowledge on urban freight logistics education, given that many of the current studies in the literature are focus on freight logistics as a topic with no/limited consideration to the rapidly changing urban context.</t>
  </si>
  <si>
    <t>[Baker, Douglas; Briant, Sarah; Yigitcanlar, Tan; Donehue, Paul] Queensland Univ Technol, Sch Architecture &amp; Built Environm, 2 George St, Brisbane, Qld 4000, Australia; [Hajirasouli, Aso] Western Sydney Univ, Sch Engn Design &amp; Built Environm, Locked Bag 1797, Penrith, NSW 2751, Australia; [Paz, Alexander; Bhaskar, Ashish] Queensland Univ Technol, Sch Civil &amp; Environm Engn, 2 George St, Brisbane, Qld 4000, Australia; [Corry, Paul] Queensland Univ Technol, Sch Math Sci, 2 George St, Brisbane, Qld 4000, Australia; [Whelan, Karen] Queensland Univ Technol, Fac Engn, 2 George St, Brisbane, Qld 4000, Australia; [Parsons, Hermione] Ind Leader Supply Chain &amp; Logist, Melbourne, Vic 3000, Australia; [Yigitcanlar, Tan] Queensland Univ Technol, Sch Architecture &amp; Built Environm, City 4 0 Lab, 2 George St, Brisbane, Qld 4000, Australia</t>
  </si>
  <si>
    <t>Queensland University of Technology (QUT); Western Sydney University; Queensland University of Technology (QUT); Queensland University of Technology (QUT); Queensland University of Technology (QUT); Queensland University of Technology (QUT)</t>
  </si>
  <si>
    <t>Yigitcanlar, T (corresponding author), Queensland Univ Technol, Sch Architecture &amp; Built Environm, City 4 0 Lab, 2 George St, Brisbane, Qld 4000, Australia.</t>
  </si>
  <si>
    <t>d2.baker@qut.edu.au; s.briant@qut.edu.au; a.hajirasouli@westernsydney.edu.au; tan.yigitcanlar@qut.edu.au; alexander.paz@qut.edu.au; ashish.bhaskar@qut.edu.au; p.corry@qut.edu.au; k.whelan@qut.edu.au; p.donehue@qut.edu.au</t>
  </si>
  <si>
    <t>Donehue, Paul/GLV-5246-2022; Yigitcanlar, Tan/J-1142-2012; Baker, Douglas/J-1007-2012; Whelan, Karen/KTI-2037-2024; Baker, Douglas/J-1007-2012; Bhaskar, Ashish/J-1339-2012</t>
  </si>
  <si>
    <t>Hajirasouli, Aso/0000-0002-6481-2353; Yigitcanlar, Tan/0000-0001-7262-7118; Paz, Alexander/0000-0002-1217-9808; Baker, Douglas/0000-0001-8812-8567; Corry, Paul/0000-0003-3313-5967; Baker, Douglas/0000-0001-8812-8567;</t>
  </si>
  <si>
    <t>iMove Cooperative Research Centre Grant Scheme [02-021]</t>
  </si>
  <si>
    <t>iMove Cooperative Research Centre Grant Scheme</t>
  </si>
  <si>
    <t>This research was funded by the iMove Cooperative Research Centre Grant Scheme, grant number 02-021. We thank the editor and two anonymous referees for their constructive comments, which helped us to improve the calibre of the manuscript.</t>
  </si>
  <si>
    <t>10.1016/j.trip.2022.100731</t>
  </si>
  <si>
    <t>W1VC6</t>
  </si>
  <si>
    <t>Green Published, gold</t>
  </si>
  <si>
    <t>WOS:001089570200001</t>
  </si>
  <si>
    <t>Oliveira, LF; Frota, Y; de Oliveira, D</t>
  </si>
  <si>
    <t>Oliveira, Luis Felipe; Frota, Yuri; de Oliveira, Daniel</t>
  </si>
  <si>
    <t>Defining Routes for Emergency Response from Climate Events: a Data-oriented Approach</t>
  </si>
  <si>
    <t>IEEE LATIN AMERICA TRANSACTIONS</t>
  </si>
  <si>
    <t>Climate change; Data models; South America; Urban areas; Emergency services; Traffic control; Disaster management; Emergency Events; Emergency Response; E-events; Routing; Optimization; Smart Cities</t>
  </si>
  <si>
    <t>Extreme Events have recently become a topic of interest mainly due to the impacts of climate change worldwide over the last years. Such events commonly have a severe impact on major cities. Especially in Brazilian cities, the combination of climate change and unplanned urban growth on steep slopes has led to floods and landslides that killed thousands of people over the past decade. Once an extreme event impacts a city, a series of emergency events (henceforth named e-events) are registered by the citizens (by calling the local emergency telephone number). These e-events may vary from a small flood to a large-scale landslide. Thus, it is a top priority for governments to respond to these e-events as fast and as efficiently as possible. The problem is that the number of e-events is usually larger than the number of people (and vehicles) to respond to them. Another challenge is that these vehicles have to cross an impacted city with major traffic jams. The routes have to consider real-time traffic data to avoid streets with heavy traffic. This article proposes an approach named IRONSTONE, which aims at collecting the topology of the city and real-time traffic data to generate optimized routes for teams to respond to e-events. The proposed approach was evaluated with real scenarios of the city of Niteroi and the results are promising.</t>
  </si>
  <si>
    <t>[Oliveira, Luis Felipe; Frota, Yuri; de Oliveira, Daniel] Univ Fed Fluminense, Inst Comp, Niteroi, Brazil</t>
  </si>
  <si>
    <t>Universidade Federal Fluminense</t>
  </si>
  <si>
    <t>Oliveira, LF (corresponding author), Univ Fed Fluminense, Inst Comp, Niteroi, Brazil.</t>
  </si>
  <si>
    <t>lfxaoliveira@id.uff.br; yuri@ic.uff.br; danielcmo@ic.uff.br</t>
  </si>
  <si>
    <t>; de Oliveira, Daniel/AAM-8416-2020</t>
  </si>
  <si>
    <t>Oliveira, Luis Felipe/0000-0001-5360-8210; frota, yuri/0000-0002-3434-3074</t>
  </si>
  <si>
    <t>Coordenacaode Aperfeicoamento de Pessoal de Nivel Superior - Brasil (CAPES) [001]</t>
  </si>
  <si>
    <t>Coordenacaode Aperfeicoamento de Pessoal de Nivel Superior - Brasil (CAPES)(Coordenacao de Aperfeicoamento de Pessoal de Nivel Superior (CAPES))</t>
  </si>
  <si>
    <t>This study was financed in part by the Coordenacaode Aperfeicoamento de Pessoal de Nivel Superior - Brasil (CAPES) - Finance Code 001. The authors also thank CNPq and FAPERJ.</t>
  </si>
  <si>
    <t>1548-0992</t>
  </si>
  <si>
    <t>IEEE LAT AM T</t>
  </si>
  <si>
    <t>IEEE Latin Am. Trans.</t>
  </si>
  <si>
    <t>10.1109/TLA.2023.10255445</t>
  </si>
  <si>
    <t>S4CS6</t>
  </si>
  <si>
    <t>WOS:001070670000001</t>
  </si>
  <si>
    <t>Abdulrahman, MA</t>
  </si>
  <si>
    <t>Abdulrahman, Manal Ali</t>
  </si>
  <si>
    <t>Analysis of the Integration Between the Geography of Transportation and Logistics Services Using GIS: An Applied Study on the City of Jeddah</t>
  </si>
  <si>
    <t>JOURNAL OF ARCHITECTURE AND PLANNING -KING SAUD UNIVERSITY</t>
  </si>
  <si>
    <t>transportation planning; logistics services; spatial analysis; geographic information systems; Algorithms; geographical future</t>
  </si>
  <si>
    <t>This paper attempts to analyze the impact of the dynamic movement of logistics sites on the surrounding environment and the extent to which city planners and investors benefit from such studies. In analyzing the impact of logistics services sites, Therefore, this study aimed to investigate the relationship between logistics and transportation geography and to highlight the role of using GIS to reach a sustainable smart urban pattern, by following the methodology of descriptive analysis and showing the relationship between multiple variables with spatial algorithms to reach the characteristic of the geographical future of the region's economies. The results of the study showed that there is a noticeable weakness in the management of warehouse sites in the city of Jeddah, which affected the infrastructure, quality of life, and environmental systems of the city; and that the logistics services cover through the transport system 36% of the area of the city of Jeddah within a period of time up to 30 minutes. The study recommended that the allocation of trailers in the railways for transporting goods will contribute to raising accessibility and facilitating the movement of goods within the city and its neighboring cities.</t>
  </si>
  <si>
    <t>[Abdulrahman, Manal Ali] Umm Al Qura Univ, Dept Geog, Transportat Planning &amp; Geog Informat Syst, Mecca, Saudi Arabia</t>
  </si>
  <si>
    <t>Umm Al-Qura University</t>
  </si>
  <si>
    <t>Abdulrahman, MA (corresponding author), Umm Al Qura Univ, Dept Geog, Transportat Planning &amp; Geog Informat Syst, Mecca, Saudi Arabia.</t>
  </si>
  <si>
    <t>maabdulrahman@uqu.edu.sa</t>
  </si>
  <si>
    <t>KING SAUD UNIV PRESS, KING SAUD UNIV</t>
  </si>
  <si>
    <t>RIYADH</t>
  </si>
  <si>
    <t>PO BOX 68953, RIYADH, 11537, SAUDI ARABIA</t>
  </si>
  <si>
    <t>1018-3604</t>
  </si>
  <si>
    <t>J ARCHIT PLAN-KING S</t>
  </si>
  <si>
    <t>J. Archit. Plan.</t>
  </si>
  <si>
    <t>10.33948/JAP-KSU-35-4-1</t>
  </si>
  <si>
    <t>Architecture; Urban Studies</t>
  </si>
  <si>
    <t>Z3PY2</t>
  </si>
  <si>
    <t>WOS:001111237800005</t>
  </si>
  <si>
    <t>Jiang, XY; Xie, YM</t>
  </si>
  <si>
    <t>Jiang, Xuya; Xie, Yumei</t>
  </si>
  <si>
    <t>Investigation of Urban-Canal-Rural Integration Characteristics Based on Multidimensional Connectivity Network Analysis: A Case Study of the Canal in Jiangsu Province, China</t>
  </si>
  <si>
    <t>JOURNAL OF URBAN PLANNING AND DEVELOPMENT</t>
  </si>
  <si>
    <t>Urban-rural integration; Urban-rural development; Urban-Canal-Rural; Multidimensional connectivity; Network analysis; The Grand Canal</t>
  </si>
  <si>
    <t>SMART CITIES; LANDSCAPE; FRINGE; TRANSFORMATION; COMMUNITIES; GOVERNANCE; MANAGEMENT; PATTERNS; SERVICES; INDEXES</t>
  </si>
  <si>
    <t>The process of urbanization is limited by the widening urban-rural gap worldwide, which needs to be improved by reconsidering the interaction between urban and rural areas dynamically and systematically. This study aims to use multidimensional connectivity network analysis to answer the role of landscape resources as a connecting medium (represented by linear canals) penetrating the urban-rural space in urban-rural integration. First, this study proposes a framework of Urban-Canal-Rural from a multidimensional perspective. In this research, we re-examined the urban-rural differences within the region by using the canal as the central regional conduit connecting urban and rural areas. Then, an association network based on five dimensions was constructed, and the network's connectivity was detected. In light of this, the integration characteristics and factor flow mechanism of Urban-Canal-Rural were revealed. Based on the study, we identified the potential interactive advantages of urban-rural integration within the canal basin, which provides the strategy for the development of Urban-Canal-Rural integration. The study found that within the same region, Urban-Canal-Rural shows completely different correlation strengths in five dimensions, revealing that the urban-rural differences in the process of urbanization are closely related to the inadequate utilization of resources. It also confirmed the importance of multidimensional network construction in balancing the allocation of resources between urban and rural areas in the process of urban-rural integration. Finally, the relations of factor mobility and resource allocation to sustainable urban and rural development were discussed. The authors argued that core resources between rural and urban areas are the key variable in restructuring rural-urban relations to achieve sustainable development. In general, urban and rural development should maintain the integrity and balance of the regional system. Additionally, this study provides Chinese experience for the worldwide study of urban-rural sustainable development. How to scrutinize the new interaction and balance between urban and rural areas is an unavoidable topic for urban and rural development. Examining the issue of urban-rural differences in the process of urbanization from a dynamic and systematic perspective, we found a close relationship between the balance and utilization of regional resources and regional differences. This paper adopted a network analysis method and proposed a framework of Urban-Canal-Rural from a multidimensional perspective. It aimed to use multidimensional connectivity network analysis to answer the role of landscape resources as a connecting medium (represented by linear canals) penetrating the urban-rural space in urban-rural integration. Network analysis was used to grasp the whole picture of the urban-rural spatial structure and reveal the overall characteristics of the network structure to determine the optimal network connectivity and resource allocation. This method can be used to facilitate the optimization of interregional connectivity and resource allocation approaches, as well as the formulation and communication of consensus-building processes for planning and sustainable development management. It is applicable not only in the context of this study using Jiangsu Province as a case study but also can provide a generalized policy impact and development regulation basis for projects outside of China.</t>
  </si>
  <si>
    <t>[Jiang, Xuya] Jiangnan Univ, Sch Design, Wuxi 214122, Peoples R China; [Xie, Yumei] Jiangnan Univ, Sch Business, Wuxi 214122, Peoples R China</t>
  </si>
  <si>
    <t>Jiangnan University; Jiangnan University</t>
  </si>
  <si>
    <t>Xie, YM (corresponding author), Jiangnan Univ, Sch Business, Wuxi 214122, Peoples R China.</t>
  </si>
  <si>
    <t>xuya196@cumt.edu.cn; xieym66@jiangnan.edu.cn</t>
  </si>
  <si>
    <t>Jiang, Xuya/0009-0004-2065-7103</t>
  </si>
  <si>
    <t>ASCE-AMER SOC CIVIL ENGINEERS</t>
  </si>
  <si>
    <t>RESTON</t>
  </si>
  <si>
    <t>1801 ALEXANDER BELL DR, RESTON, VA 20191-4400 USA</t>
  </si>
  <si>
    <t>0733-9488</t>
  </si>
  <si>
    <t>1943-5444</t>
  </si>
  <si>
    <t>J URBAN PLAN DEV</t>
  </si>
  <si>
    <t>J. Urban Plan. Dev</t>
  </si>
  <si>
    <t>10.1061/JUPDDM.UPENG-4691</t>
  </si>
  <si>
    <t>Engineering, Civil; Regional &amp; Urban Planning; Urban Studies</t>
  </si>
  <si>
    <t>Engineering; Public Administration; Urban Studies</t>
  </si>
  <si>
    <t>J3Z4O</t>
  </si>
  <si>
    <t>WOS:001336478000010</t>
  </si>
  <si>
    <t>Mehmood, R; Meriton, R; Graham, G; Hennelly, P; Kumar, M</t>
  </si>
  <si>
    <t>Mehmood, Rashid; Meriton, Royston; Graham, Gary; Hennelly, Patrick; Kumar, Mukesh</t>
  </si>
  <si>
    <t>Exploring the influence of big data on city transport operations: a Markovian approach</t>
  </si>
  <si>
    <t>INTERNATIONAL JOURNAL OF OPERATIONS &amp; PRODUCTION MANAGEMENT</t>
  </si>
  <si>
    <t>Absorptive capacity; Big data; Supply chain integration; Load sharing; Transport operations</t>
  </si>
  <si>
    <t>SUPPLY CHAIN INTEGRATION; INFORMATION-SYSTEMS; ENTERPRISE SYSTEMS; SMART CITIES; PERFORMANCE; MANAGEMENT; IMPACT</t>
  </si>
  <si>
    <t>Purpose - The purpose of this paper is to advance knowledge of the transformative potential of big data on city-based transport models. The central question guiding this paper is: how could big data transform smart city transport operations? In answering this question the authors present initial results from a Markov study. However the authors also suggest caution in the transformation potential of big data and highlight the risks of city and organizational adoption. A theoretical framework is presented together with an associated scenario which guides the development of a Markov model. Design/methodology/approach - A model with several scenarios is developed to explore a theoretical framework focussed on matching the transport demands (of people and freight mobility) with city transport service provision using big data. This model was designed to illustrate how sharing transport load (and capacity) in a smart city can improve efficiencies in meeting demand for city services. Findings - This modelling study is an initial preliminary stage of the investigation in how big data could be used to redefine and enable new operational models. The study provides new understanding about load sharing and optimization in a smart city context. Basically the authors demonstrate how big data could be used to improve transport efficiency and lower externalities in a smart city. Further how improvement could take place by having a car free city environment, autonomous vehicles and shared resource capacity among providers. Research limitations/implications - The research relied on a Markov model and the numerical solution of its steady state probabilities vector to illustrate the transformation of transport operations management (OM) in the future city context. More in depth analysis and more discrete modelling are clearly needed to assist in the implementation of big data initiatives and facilitate new innovations in OM. The work complements and extends that of Setia and Patel (2013), who theoretically link together information system design to operation absorptive capacity capabilities. Practical implications - The study implies that transport operations would actually need to be re-organized so as to deal with lowering CO2 footprint. The logistic aspects could be seen as a move from individual firms optimizing their own transportation supply to a shared collaborative load and resourced system. Such ideas are radical changes driven by, or leading to more decentralized rather than having centralized transport solutions (Caplice, 2013). Social implications - The growth of cities and urban areas in the twenty-first century has put more pressure on resources and conditions of urban life. This paper is an initial first step in building theory, knowledge and critical understanding of the social implications being posed by the growth in cities and the role that big data and smart cities could play in developing a resilient and sustainable transport city system. Originality/value - Despite the importance of OM to big data implementation, for both practitioners and researchers, we have yet to see a systematic analysis of its implementation and its absorptive capacity contribution to building capabilities, at either city system or organizational levels. As such the Markov model makes a preliminary contribution to the literature integrating big data capabilities with OM capabilities and the resulting improvements in system absorptive capacity.</t>
  </si>
  <si>
    <t>[Mehmood, Rashid] King Abdulaziz Univ, Ctr High Performance Comp, Big Data Syst, Jeddah, Saudi Arabia; [Mehmood, Rashid] King Abdulaziz Univ, Ctr High Performance Comp, Res Training &amp; Consultancy, Jeddah, Saudi Arabia; [Meriton, Royston; Graham, Gary] Univ Leeds, Sch Business, Leeds, W Yorkshire, England; [Hennelly, Patrick] Univ Cambridge, Inst Mfg, Ctr Int Mfg, Cambridge, England; [Kumar, Mukesh] Univ Cambridge, Dept Engn, Inst Mfg, Cambridge, England</t>
  </si>
  <si>
    <t>King Abdulaziz University; King Abdulaziz University; University of Leeds; University of Cambridge; University of Cambridge</t>
  </si>
  <si>
    <t>Mehmood, R (corresponding author), King Abdulaziz Univ, Ctr High Performance Comp, Big Data Syst, Jeddah, Saudi Arabia.;Mehmood, R (corresponding author), King Abdulaziz Univ, Ctr High Performance Comp, Res Training &amp; Consultancy, Jeddah, Saudi Arabia.</t>
  </si>
  <si>
    <t>r.mehmood@gmail.com</t>
  </si>
  <si>
    <t>Kumar, Mukesh/A-9178-2012; Meriton, Roy/ABH-6917-2020; Mehmood, Rashid/AFV-3953-2022; Kumar, Mukesh/A-9178-2012; Mehmood, Rashid/A-4833-2014</t>
  </si>
  <si>
    <t>Kumar, Mukesh/0000-0002-1961-5078; Hennelly, Patrick/0000-0002-0442-448X; Meriton, Royston/0000-0002-3112-7894; Kumar, Mukesh/0000-0002-1961-5078; Mehmood, Rashid/0000-0002-4997-5322</t>
  </si>
  <si>
    <t>Engineering and Physical Sciences Research Council [EP/K003542/2, EP/K02888X/1] Funding Source: researchfish; EPSRC [EP/K003542/2, EP/K02888X/1] Funding Source: UKRI</t>
  </si>
  <si>
    <t>Engineering and Physical Sciences Research Council(UK Research &amp; Innovation (UKRI)Engineering &amp; Physical Sciences Research Council (EPSRC)); EPSRC(UK Research &amp; Innovation (UKRI)Engineering &amp; Physical Sciences Research Council (EPSRC))</t>
  </si>
  <si>
    <t>0144-3577</t>
  </si>
  <si>
    <t>1758-6593</t>
  </si>
  <si>
    <t>INT J OPER PROD MAN</t>
  </si>
  <si>
    <t>Int. J. Oper. Prod. Manage.</t>
  </si>
  <si>
    <t>10.1108/IJOPM-03-2015-0179</t>
  </si>
  <si>
    <t>EM9ZZ</t>
  </si>
  <si>
    <t>WOS:000395671400005</t>
  </si>
  <si>
    <t>Salaj, AT; Lindkvist, CM</t>
  </si>
  <si>
    <t>Salaj, Alenka Temeljotov; Lindkvist, Carmel Margaret</t>
  </si>
  <si>
    <t>Urban facility management</t>
  </si>
  <si>
    <t>FACILITIES</t>
  </si>
  <si>
    <t>Sustainable development; Communities; Facilities management; Urban areas; Well-being; Smart cities; Urban FM; Sustainability; Health and well-being; Urban development; Community; PPPP</t>
  </si>
  <si>
    <t>Purpose This paper aims to illustrate where facility management (FM) is having an impact on the urban environment and what other work needs to be done to easier facilitate achievement of the sustainable development goals (SDGs). This is important for practices as it highlights opportunities where the FM discipline can develop and to research to illustrate where the discipline is going. The societal benefit is that we see Urban FM as an intermediator between citizens, public and private practices providing the platform of how they can work together for mutual benefit. Design/methodology/approach The method used is a literature review, looking latest state-of-art in the mentioned field has been assessed and the developments along with potential future research focuses, have been identified. The current scope to expand FM role were also taken into consideration from a recent workshop at the EuroFM conferences 2019 and 2020, several presentations at the CIB World Congress Hong Kong 2019, CIRRE 2018 and 2019, and special Facilities' issue, illustrating how FM works within Urban environments and the potential contribution the discipline makes on neighbourhoods, communities and broader city-scale. Findings The authors present how FM fits in with a Smart and Sustainable City context by positioning communities as core for meeting SDGs, but they often fall out of needs perspective for hard and soft services. Since 2018, the authors have intensely worked on this topic developing conference papers at both a European and international level. The topic of Urban FM is growing in importance based on out interactions at these conferences and interactions with FM network groups. In addition, the authors have been identifying gaps, with communities that are currently not being met by current urban practice perspectives but could be met through an Urban FM practice perspective. They have engaged an educational perspective of Urban FM by developing workshops, summer schools with students from around Europe and new courses. With a specific focus on this concept, it is important to branch out ideas and disseminate of what a more structured urban FM is. Research limitations/implications Smart and Sustainable Cities has been a focus for many years now from various perspectives such as urban planning and technology providing solutions and frameworks on how to manage increasing populations in cities. What these studies neglect is a service-oriented perspective supporting the livability requirements and social values of future and current communities living in cities which goes beyond operating and maintaining infrastructure of cities. This neglect which highlights the need to develop an understanding where FM expands its role in the urban environment. Originality/value The aim is to highlight solidify research that is happening in this area where FM links to the urban environment and the benefit it has in terms of sustainability. It illustrates to practice and teaching that the concept of FM is relevant within an urban environment, creates stronger connections within and between citizens and cities and illustrate how Urban FM is necessary in facilitating community facilities.</t>
  </si>
  <si>
    <t>[Salaj, Alenka Temeljotov] Norwegian Univ Sci &amp; Technol, Dept Civil &amp; Environm Engn, Trondheim, Norway; [Lindkvist, Carmel Margaret] Norwegian Univ Sci &amp; Technol, Fac Architecture &amp; Design, Trondheim, Norway</t>
  </si>
  <si>
    <t>Norwegian University of Science &amp; Technology (NTNU); Norwegian University of Science &amp; Technology (NTNU)</t>
  </si>
  <si>
    <t>Salaj, AT (corresponding author), Norwegian Univ Sci &amp; Technol, Dept Civil &amp; Environm Engn, Trondheim, Norway.</t>
  </si>
  <si>
    <t>alenka.temeljotov-salaj@ntnu.no</t>
  </si>
  <si>
    <t>; Salaj, Alenka/AAI-9208-2020</t>
  </si>
  <si>
    <t>Temeljotov Salaj, Alenka/0000-0002-4139-5278;</t>
  </si>
  <si>
    <t>0263-2772</t>
  </si>
  <si>
    <t>1758-7131</t>
  </si>
  <si>
    <t>Facilities</t>
  </si>
  <si>
    <t>APR 13</t>
  </si>
  <si>
    <t>7/8</t>
  </si>
  <si>
    <t>10.1108/F-06-2020-0078</t>
  </si>
  <si>
    <t>RM1GN</t>
  </si>
  <si>
    <t>WOS:000603464800001</t>
  </si>
  <si>
    <t>Di Martino, S; Starace, LLL</t>
  </si>
  <si>
    <t>Di Martino, Sergio; Starace, Luigi Libero Lucio</t>
  </si>
  <si>
    <t>Towards Uniform Urban Map Coverage in Vehicular Crowd-Sensing: A Decentralized Incentivization Solution</t>
  </si>
  <si>
    <t>Sensors; Roads; Vehicles; Urban areas; Task analysis; Public transportation; Monitoring; Internet of Vehicles; vehicular crowd-sensing; routing; smart cities; intelligent transportation systems</t>
  </si>
  <si>
    <t>MECHANISM; VEHICLES; RECRUITMENT; INFORMATION; INTERNET; SYSTEM</t>
  </si>
  <si>
    <t>Vehicular Crowd-Sensing (VCS) is a well-known data collection approach leveraging sensors of connected vehicles to efficiently gather contextual information in urban environments. High-mileage vehicles such as taxis are often regarded as effective VCS platforms, due to their pervasiveness in modern cities, even though the road network coverage achievable by these vehicles is still an open issue. Indeed, their drivers generally follow the most-efficient route to destination, leading to major roads being frequently visited, while others are often neglected. To address this issue, many centralized incentivization solutions have been proposed to recruit/reward drivers accepting minor detours towards roads with higher sensing demand. However, these works mostly focus on assigning specific sensing tasks to drivers, rather than achieving an overall better-balanced urban sensing coverage, which is nonetheless required for many use cases, such as air quality monitoring. To fill this gap, we present ROUTR, an incentivization budget-aware routing solution designed to achieve more uniform coverage in VCS without requiring central coordination, thus significantly reducing back-end infrastructure costs. We empirically evaluated the proposal using taxi traces collected in the City of San Francisco. Results highlighted that, even with small incentivization budgets, our proposal leads to significantly more uniform urban road network coverage.</t>
  </si>
  <si>
    <t>[Di Martino, Sergio; Starace, Luigi Libero Lucio] Univ Napoli Federico II, Dept Informat Technol &amp; Elect Engn, I-80125 Naples, Italy</t>
  </si>
  <si>
    <t>Starace, LLL (corresponding author), Univ Napoli Federico II, Dept Informat Technol &amp; Elect Engn, I-80125 Naples, Italy.</t>
  </si>
  <si>
    <t>luigiliberolucio.starace@unina.it</t>
  </si>
  <si>
    <t>Starace, Luigi Libero Lucio/ADG-3293-2022; Di Martino, Sergio/F-2602-2012</t>
  </si>
  <si>
    <t>Starace, Luigi Libero Lucio/0000-0001-7945-9014; Di Martino, Sergio/0000-0002-1019-9004;</t>
  </si>
  <si>
    <t>10.1109/OJITS.2022.3211540</t>
  </si>
  <si>
    <t>5I4GF</t>
  </si>
  <si>
    <t>WOS:000868316500001</t>
  </si>
  <si>
    <t>Wang, D; Xu, WJ; Jia, XS</t>
  </si>
  <si>
    <t>Wang, Di; Xu, Weijing; Jia, Xuesong</t>
  </si>
  <si>
    <t>RETRACTED: Analysis of Intelligent Transportation System Application Based on Internet of Things and Big Data Technology under the Background of Information Society (Retracted article. See vol. 2023, 2023)</t>
  </si>
  <si>
    <t>ADVANCES IN MULTIMEDIA</t>
  </si>
  <si>
    <t>Article; Retracted Publication</t>
  </si>
  <si>
    <t>With the growth of national economic strength, urban modernization has become an indispensable part. Among them, urban road traffic congestion has become the main problem affecting work and traffic. Traffic pressure promotes the massive use of Internet of Things and other technologies in the transportation system. The integration of computer, Internet of Things and transportation system forms a new intelligent transportation concept. With the advent of intelligent information society, the application of intelligent transportation is imminent. In view of the shortcomings of urban intelligent transportation, this paper uses Internet of Things technology and big data technology to study it. Firstly, it analyzes the function and value of IoT intelligent transportation, analyzes the system components from the construction principle, and makes full use of intelligent technology to improve the transportation system. Secondly, the optimal path algorithm is proposed in the IoT urban intelligent transportation system model. The advantages and disadvantages of genetic algorithm and heuristic algorithm are analyzed, and ant colony algorithm is used for further optimization. In order to verify the feasibility of the intelligent transportation system, technologies such as big data edge computing are also used to comprehensively evaluate and study the use of the system. Finally, we analyze the results of the practical application of the intelligent transportation system under the Internet of Things technology. The research results show that the urban intelligent transportation system, supported by the Internet of Things technology, can realize the dynamic planning of the optimal route, help the people to improve their driving experience in the high safety and intellectualization, and greatly avoid a series of problems caused by congestion.</t>
  </si>
  <si>
    <t>[Wang, Di; Xu, Weijing; Jia, Xuesong] Shenyang Urban Construct Univ, Sch Informat &amp; Control Engn, Shenyang 110000, Liaoning, Peoples R China</t>
  </si>
  <si>
    <t>Wang, D (corresponding author), Shenyang Urban Construct Univ, Sch Informat &amp; Control Engn, Shenyang 110000, Liaoning, Peoples R China.</t>
  </si>
  <si>
    <t>160301102@stu.cuz.edu.cn; jxs50226@163.com; xuweijing1002@163.com</t>
  </si>
  <si>
    <t>1687-5680</t>
  </si>
  <si>
    <t>1687-5699</t>
  </si>
  <si>
    <t>ADV MULTIMED</t>
  </si>
  <si>
    <t>Adv. Multimed.</t>
  </si>
  <si>
    <t>NOV 17</t>
  </si>
  <si>
    <t>10.1155/2022/6001355</t>
  </si>
  <si>
    <t>6P8LF</t>
  </si>
  <si>
    <t>WOS:000891176900001</t>
  </si>
  <si>
    <t>Catarinucci, L; Colella, R; Consalvo, SI; Patrono, L; Rollo, C; Sergi, I</t>
  </si>
  <si>
    <t>Catarinucci, Luca; Colella, Riccardo; Consalvo, Stefano Irno; Patrono, Luigi; Rollo, Claudia; Sergi, Ilaria</t>
  </si>
  <si>
    <t>IoT-Aware Waste Management System Based on Cloud Services and Ultra-Low-Power RFID Sensor-Tags</t>
  </si>
  <si>
    <t>Cloud computing; Waste management; RFID tags; Servers; Urban areas; Cloud; embedded system; Internet of Things; performance; proof-of-concept; RFID; sensor-tag; waste management</t>
  </si>
  <si>
    <t>ARCHITECTURE; DESIGN</t>
  </si>
  <si>
    <t>Waste management is a challenge for modern cities as it impacts on environmental sustainability and on the level of quality perceived by citizens. In the last few years, several progresses have been made in this direction with the introduction in the city of door-to-door separate waste collection. A key element for the success of such actions is to achieve excellent cooperation from citizens. The Digital Transformation process in this sector will require time other than a careful management of the data associated with the waste collection processes. At this regard, the progress of hardware and software technologies enabling the Internet of Things (IoT) will contribute significantly to accelerate the whole process. Among these innovative solutions, the use of RFID tags with augmented capabilities and cloud-based software architectures capable of properly managing collected data will be crucial to obtain an intelligent and efficient waste management system. In this paper, an innovative system capable of capturing and processing data relating to the door-to-door separate waste collection in the context of future smart cities is presented. In particular, the system includes an innovative RFID sensor-tag equipped with low-cost weight sensors and a Cloud software system capable of managing the collected data and satisfying the various stakeholders' expectations. First results on both functional and performance validation of the overall system are shown.</t>
  </si>
  <si>
    <t>[Catarinucci, Luca; Consalvo, Stefano Irno; Patrono, Luigi; Rollo, Claudia; Sergi, Ilaria] Univ Salento, Dept Engn Innovat, I-73100 Lecce, Italy; [Colella, Riccardo] Natl Res Council CNR, Inst Clin Physiol IFC, Univ Campus Ecotekne, I-73100 Lecce, Italy</t>
  </si>
  <si>
    <t>University of Salento; Consiglio Nazionale delle Ricerche (CNR); Istituto di Fisiologia Clinica (IFC-CNR)</t>
  </si>
  <si>
    <t>Colella, R (corresponding author), Natl Res Council CNR, Inst Clin Physiol IFC, Univ Campus Ecotekne, I-73100 Lecce, Italy.</t>
  </si>
  <si>
    <t>luca.catarinucci@unisalento.it; riccardo.colella@cnr.it; irnoconsalvo.stefano@gmail.com; luigi.patrono@unisalento.it; claudia.rollo1@studenti.unisalento.it; ilaria.sergi@unisalento.it</t>
  </si>
  <si>
    <t>Catarinucci, Luca/N-4551-2015; colella, riccardo/N-4557-2015; Patrono, Luigi/N-6494-2015; Sergi, Ilaria/HJI-7888-2023; Colella, Riccardo/N-4557-2015</t>
  </si>
  <si>
    <t>Catarinucci, Luca/0000-0001-9735-6844; colella, riccardo/0000-0001-9764-5179; Patrono, Luigi/0000-0002-8591-1190;</t>
  </si>
  <si>
    <t>European Commission; Ghent University</t>
  </si>
  <si>
    <t>European Commission(European Union (EU)European Commission Joint Research Centre); Ghent University(Ghent University)</t>
  </si>
  <si>
    <t>This work was supported by the European Commission through the Eurolab4HPC Project, in particular within the Technology Transfer Projects (TTP) in Computing Systems, Hi-Tech SoluTions fOrWaste mAnaGement systEms (Hi-Tech STOWAGE), proposed by the University of Salento and funded by Ghent University, partner in a TTP Research Grant 2019 by the EUROLAB-4-HPC2 Project.</t>
  </si>
  <si>
    <t>DEC 15</t>
  </si>
  <si>
    <t>10.1109/JSEN.2020.3010675</t>
  </si>
  <si>
    <t>OU9ID</t>
  </si>
  <si>
    <t>WOS:000591835900037</t>
  </si>
  <si>
    <t>Cesarano, L; Croce, A; Martins, LD; Tarchi, D; Juan, AA</t>
  </si>
  <si>
    <t>Cesarano, Luca; Croce, Andrea; Martins, Leandro Do Carmo; Tarchi, Daniele; Juan, Angel A.</t>
  </si>
  <si>
    <t>A Real-Time Energy-Saving Mechanism in Internet of Vehicles Systems</t>
  </si>
  <si>
    <t>Real-time systems; Internet of Things; Vehicular ad hoc networks; Optimization; Vehicle dynamics; Heuristic algorithms; Urban areas; Internet of vehicles; smart cities; real-time optimization; energy minimization; uncapacitated facility location problem</t>
  </si>
  <si>
    <t>BIASED-RANDOMIZED ALGORITHMS; SIDE UNIT PLACEMENT; ROUTING PROBLEM; OPTIMIZATION; ARCHITECTURE</t>
  </si>
  <si>
    <t>Emerging technologies, such as self-driving cars and 5G communications, are raising new mobility and transportation possibilities in smart and sustainable cities, bringing to a new echo-system often referred to as Internet of Vehicles (IoV). In order to efficiently operate, an IoV system should take into account more stringent requirements with respect to traditional IoT systems, e.g., ultra-broadband connections, high-speed mobility, high-energy efficiency and requires efficient real-time algorithms. This paper proposes an energy and communication driven model for IoV scenarios, where roadside units (RSUs) need to be frequently assigned and re-assigned to the operating vehicles. The problem has been formulated as an Uncapacitated Facility Location Problem (UFLP) for jointly solving the RSU-to-vehicle allocation problem while managing the RSUs switch-on and -off processes. Differently from traditional UFLP approaches, based on static solutions, we propose here a fast-heuristic approach, based on a dynamic multi-period time scale mapping: the proposed algorithm is able to efficiently manage in real-time the RSUs, selecting at each period those to be activated and those to be switched off. The resulting methodology is tested against a set of benchmark instances, which allows us to illustrate its potential. Results, in terms of overall cost-mapping both energy consumption and transmission delays-, number of active RSUs, and convergence speed, are compared with static approaches, showing the effectiveness of the proposed dynamic solution. It is noticeable a gain of up to 11% in terms of overall cost with respect to the static approaches, with a moderate additional delay for finding the solution, around 0.8 s, while the overall number of RSUs to be switched on is sensibly reduced up to a fraction of 15% of the overall number of deployed RSUs, in the most convenient scenario.</t>
  </si>
  <si>
    <t>[Cesarano, Luca; Croce, Andrea; Tarchi, Daniele] Univ Bologna, Dept Elect Elect &amp; Informat Engn Guglielmo Marcon, I-40136 Bologna, Italy; [Martins, Leandro Do Carmo; Juan, Angel A.] Univ Oberta Catalunya, IN3 Comp Sci Dept, Barcelona 08018, Spain</t>
  </si>
  <si>
    <t>University of Bologna; UOC Universitat Oberta de Catalunya</t>
  </si>
  <si>
    <t>Tarchi, D (corresponding author), Univ Bologna, Dept Elect Elect &amp; Informat Engn Guglielmo Marcon, I-40136 Bologna, Italy.</t>
  </si>
  <si>
    <t>Juan, Angel/GWZ-7540-2022; Tarchi, Daniele/A-4930-2010</t>
  </si>
  <si>
    <t>Cesarano, Luca/0000-0002-5769-4862; Tarchi, Daniele/0000-0001-7338-1957; Juan, Angel A/0000-0003-1392-1776</t>
  </si>
  <si>
    <t>Erasmus+ Study Programme of the European Union</t>
  </si>
  <si>
    <t>The work of Luca Cesarano and Andrea Croce has been done during an abroad study period at Universitat Oberta de Catalunya, Spain, supported by Erasmus+ Study Programme of the European Union.</t>
  </si>
  <si>
    <t>10.1109/ACCESS.2021.3130125</t>
  </si>
  <si>
    <t>XO8VD</t>
  </si>
  <si>
    <t>WOS:000730455600001</t>
  </si>
  <si>
    <t>Castillo, O; Alvarez, R; Domingo, R</t>
  </si>
  <si>
    <t>Castillo, Oscar; Alvarez, Roberto; Domingo, Rosario</t>
  </si>
  <si>
    <t>Opportunities and Barriers of Hydrogen-Electric Hybrid Powertrain Vans: A Systematic Literature Review</t>
  </si>
  <si>
    <t>hydrogen; range extender; fuel cell; light commercial vehicles; medium-duty vehicles; urban freight transport; urban logistics; sustainable city logistics; last-mile delivery; delivery van</t>
  </si>
  <si>
    <t>FUEL-CELL; ROAD TRANSPORT; VEHICLES; BATTERY; INFORMATION; SUITABILITY; SIMULATION; MOBILITY; FUTURE</t>
  </si>
  <si>
    <t>The environmental impact of the road transport sector, together with urban freight transport growth, has a notable repercussions in global warming, health and economy. The need to reduce emissions caused by fossil fuel dependence and to foster the use of renewable energy sources has driven the development of zero-emissions powertrains. These clean transportation technologies are not only necessary to move people but to transport the increasing demand for goods and services that is currently taking place in the larger cities. Full electric battery-powered vans seem to be the best-placed solution to the problem. However, despite the progress in driving range and recharge options, those and other market barriers remain unsolved and the current market share of battery electric vehicles (BEVs) is not significant. Based on the development of hydrogen fuel cell stacks, this work explains an emerging powertrain architecture concept for N1 class type vans, that combines a battery-electric configuration with a fuel cell stack powered by hydrogen that works as a range extender (FC-EREV). A literature review is conducted, with the aim to shed light on the possibilities of this hybrid light-duty commercial van for metropolitan delivery tasks, providing insights into the key factors and issues for sizing the powertrain components and fuel management strategies to meet metropolitan freight fleet needs.</t>
  </si>
  <si>
    <t>[Castillo, Oscar; Alvarez, Roberto] Univ Nebrija, Dept Ind Engn, C Pirineos 55, Madrid 28040, Spain; [Domingo, Rosario] Univ Nacl Educ Distancia UNED, Dept Construct &amp; Mfg Engn, C Juan del Rosal 12, Madrid 28040, Spain</t>
  </si>
  <si>
    <t>Universidad Antonio de Nebrija; Universidad Nacional de Educacion a Distancia (UNED)</t>
  </si>
  <si>
    <t>Alvarez, R (corresponding author), Univ Nebrija, Dept Ind Engn, C Pirineos 55, Madrid 28040, Spain.</t>
  </si>
  <si>
    <t>ocastilloc@alumnos.nebrija.es; ralvarez@nebrija.es; rdomingo@ind.uned.es</t>
  </si>
  <si>
    <t>; Castillo Campo, Oscar/ABC-4077-2021; Domingo, Rosario/B-8776-2016</t>
  </si>
  <si>
    <t>Castillo Campo, Oscar/0000-0003-3155-8843; Alvarez Fernandez, Roberto/0000-0002-8747-7690; Domingo, Rosario/0000-0002-3018-6809</t>
  </si>
  <si>
    <t>10.3390/pr8101261</t>
  </si>
  <si>
    <t>OL7OS</t>
  </si>
  <si>
    <t>WOS:000585524900001</t>
  </si>
  <si>
    <t>Ewedairo, K; Chhetri, P; Jie, F</t>
  </si>
  <si>
    <t>Ewedairo, Kolawole; Chhetri, Prem; Jie, Ferry</t>
  </si>
  <si>
    <t>Estimating transportation network impedance to last-mile delivery: A Case Study of Maribyrnong City in Melbourne</t>
  </si>
  <si>
    <t>Australia; Literature review; Retail logistics; City logistics; Last miles; Planning controls; Last-mile delivery; Transport network impedance; Planning controls and land use</t>
  </si>
  <si>
    <t>FREIGHT TRANSPORT; FACILITY LOCATION; GOODS TRANSPORT; COMPACT CITIES; URBAN FORM; LOGISTICS; FRAMEWORK; MANAGEMENT; IMPACT; PERFORMANCE</t>
  </si>
  <si>
    <t>Purpose The purpose of this paper is to measure and map the potential transportation network impedance to last-mile delivery (LMD) using spatial measures representing attributes of road network and planning controls. Design/methodology/approach The transport network impedance is estimated as the potential hindrance to LMD as imposed by the characteristics of the built and regulatory environment. A matrix of key transport and planning measures are generated and overlaid in geographical information systems to compute and visualise the levels of transportation network impedance to LMD using a composite indexing method. Findings The mapped outputs reveal significant spatial variation in transportation network impedance to LMD across different part of the study area. Significant differences were detected along the road segments that connect key industrial hubs or activity centres especially along tram routes and freight corridors, connecting the Port of Melbourne and logistic hub with the airport and the Western Ring Road. Research limitations/implications The use of static measures of transport and urban planning restricts the robustness of the impedance index, which can be enhanced through better integration of dynamic and real-time movements of business-to-business LMD of goods. Spatial approach is valuable for broader urban planning at a metropolitan or council level; however, its use is somewhat limited in assisting the daily operational planning and logistics decision making in terms of dynamic routing and vehicle scheduling. Practical implications The built and regulatory environment contributes to the severity of LMD problem in urban areas. The use of land use controls as instruments to increase city compactness in strategic nodes/hubs is more likely to deter the movement of urban freight. The mapped outputs would help urban planners and logisticians in mitigating the potential delay in last-mile deliveries through devising localised strategies such as dedicated freight corridors or time-bound deliveries in congested areas of road network. Originality/value This is the first study that measured the potential transport network impedance to LMD and improved understanding of the complex interactions between urban planning measures and LMD. Micro-scale mapping of transportation network impedance at the street level adds an innovative urban planning dimension to research in the growing field of city logistics.</t>
  </si>
  <si>
    <t>[Ewedairo, Kolawole; Chhetri, Prem] RMIT Univ, Sch Business IT &amp; Logist, Coll Business, Melbourne, Vic, Australia; [Jie, Ferry] Edith Cowan Univ, Sch Business &amp; Law, Joondalup, Australia</t>
  </si>
  <si>
    <t>Royal Melbourne Institute of Technology (RMIT); Edith Cowan University</t>
  </si>
  <si>
    <t>Ewedairo, K (corresponding author), RMIT Univ, Sch Business IT &amp; Logist, Coll Business, Melbourne, Vic, Australia.</t>
  </si>
  <si>
    <t>kola.ewedairo@rmit.edu.au</t>
  </si>
  <si>
    <t>Jie, Ferry/0000-0002-6287-8471</t>
  </si>
  <si>
    <t>10.1108/IJLM-10-2016-0247</t>
  </si>
  <si>
    <t>FX0QN</t>
  </si>
  <si>
    <t>WOS:000425751200007</t>
  </si>
  <si>
    <t>Rodrigues, M; Franco, M</t>
  </si>
  <si>
    <t>Rodrigues, Margarida; Franco, Mario</t>
  </si>
  <si>
    <t>The role of citizens and transformation of energy, water, and waste infrastructure for an intelligent, sustainable environment in cities</t>
  </si>
  <si>
    <t>Cities; Environmental sustainability; Circular economy; Hard infrastructure; Energy</t>
  </si>
  <si>
    <t>CIRCULAR ECONOMY; SMART CITIES; FUTURE CITIES; URBAN FORMS; CITY; SYSTEMS; INFORMATION; PERFORMANCE; POLICY; CHINA</t>
  </si>
  <si>
    <t>Purpose This study aims to list indicators to allow construction of a ranking for environmental sustainability in towns and cities, in relation to energy and water consumption and the prevention, production and management of waste. A systematization of theoretical and empirical indices was elaborated, focused on this dimension. Design/methodology/approach The results allow presentation of a ranking supported by multivariate statistical techniques - Exploratory Factor Analysis and Principal Component Analysis - confirming its scientific quality and robustness, with this being the main contribution of the study. Findings The analysis of the ranking revealed the great heterogeneity of towns and cities in Portugal, with the city of Lisbon and the town of Sardoal in the Top 20, suggesting that the achievement of the goal of environmental sustainability is proactively associated with the ability to articulate resources with infrastructure and the strategic and political will applied, being essential the appeal to the individual awareness of each citizen, even if the design of green infrastructures does not depend on citizens' behavior. This means that redesigned green infrastructures may exist, but their success depends. In addition, cities are increasingly moving toward a circular economy articulated holistically with open and participatory governance. Practical implications The empirical evidence obtained in the Portuguese context provides some implications for practice, by showing it is possible to counteract the negative effects of rapid urban growth and its environmental consequences in urban and non-urban areas. Originality/value The main contribution and innovation of this study lie in the presentation of empirical evidence that the population density of a city or town does not have a cause-effect relationship with its level of environmental sustainability.</t>
  </si>
  <si>
    <t>[Rodrigues, Margarida] Inst Estudos Super Fafe Lda, CEFAFE UBI Res Ctr, Dept Management, Fafe, Portugal; [Franco, Mario] Univ Beira Interior, CEFAGE UBI Res Ctr, Management &amp; Econ, Covilha, Portugal</t>
  </si>
  <si>
    <t>Universidade da Beira Interior</t>
  </si>
  <si>
    <t>Franco, M (corresponding author), Univ Beira Interior, CEFAGE UBI Res Ctr, Management &amp; Econ, Covilha, Portugal.</t>
  </si>
  <si>
    <t>mfranco@ubi.pt</t>
  </si>
  <si>
    <t>Roigues, Margarida/AAH-7484-2020; rodrigues, margarida/AAH-7484-2020; Franco, Mário/C-2112-2013</t>
  </si>
  <si>
    <t>Roigues, Margarida/0000-0002-0997-9716; Franco, Mário/0000-0001-7818-0206</t>
  </si>
  <si>
    <t>National Funds of the FCT -Portuguese Foundation for Science and Technology [UIDB/04007/2020]</t>
  </si>
  <si>
    <t>National Funds of the FCT -Portuguese Foundation for Science and Technology(Fundacao para a Ciencia e a Tecnologia (FCT))</t>
  </si>
  <si>
    <t>The authors are grateful to the anonymous referees of the journal for their extremely useful suggestions to improve the quality of the paper. The authors gratefully acknowledge financial support from National Funds of the FCT -Portuguese Foundation for Science and Technology within the project UIDB/04007/2020.</t>
  </si>
  <si>
    <t>FEB 20</t>
  </si>
  <si>
    <t>10.1108/SASBE-06-2021-0094</t>
  </si>
  <si>
    <t>8Z9FH</t>
  </si>
  <si>
    <t>WOS:000723022200001</t>
  </si>
  <si>
    <t>Cheng, YS; Pan, XW</t>
  </si>
  <si>
    <t>Cheng, Yusi; Pan, Xinwei</t>
  </si>
  <si>
    <t>Design of a Support System for Complicated Logistics Location Integrating Big Data</t>
  </si>
  <si>
    <t>ADVANCES IN CIVIL ENGINEERING</t>
  </si>
  <si>
    <t>SUPPLY CHAIN MANAGEMENT; GREEDY ALGORITHM; DATA ANALYTICS; TRANSPORT; OPTIMIZATION; INTERNET; SERVICE; THINGS; MODEL</t>
  </si>
  <si>
    <t>Logistics location is an important component of logistics planning that affects traffic pressure and vehicle emissions. To date, there has not been an adequate study of the integration of big data into the location for a complicated logistics system. This study developed a decision support system that can address location problems for complicated logistics systems, e.g., a multilevel urban underground logistics system (ULS), using logistics big data. First, information needed in the logistics location, such as the traffic performance index (TPI) and the origin/destination (OD) matrix, was collected and calculated using a big data platform, and this information was digitized and represented based on a geographic information system (GIS) tool. Second, a two-stage location model for a ULS was designed to balance the construction costs and traffic congestion. The first stage is establishing a set-covering model to identify optimum locations for secondary hubs based on the ant colony optimization algorithm, and the second stage is clustering of the secondary hubs to determine locations for primary hubs using the iterative self-organizing data analysis technique algorithm (ISODATA). Finally, the Xianlin district of Nanjing, China, was chosen as a case study to validate the effectiveness of the proposed system. The system can be used to facilitate logistics network planning and to promote the application of big data in logistics.</t>
  </si>
  <si>
    <t>[Cheng, Yusi] Southeast Univ, Sch Civil Engn, 2 Sipailou, Nanjing 210096, Jiangsu, Peoples R China; [Pan, Xinwei] PLA Univ Army Engn, Sch Def Engn, 88 Houbiaoying Rd, Nanjing 210014, Jiangsu, Peoples R China</t>
  </si>
  <si>
    <t>Southeast University - China</t>
  </si>
  <si>
    <t>Cheng, YS (corresponding author), Southeast Univ, Sch Civil Engn, 2 Sipailou, Nanjing 210096, Jiangsu, Peoples R China.</t>
  </si>
  <si>
    <t>101012017@seu.edu.cn; lindapan106@163.com</t>
  </si>
  <si>
    <t>National Natural Science Foundation of China [71601047, 71601095, 71631007]</t>
  </si>
  <si>
    <t>This research was funded by the National Natural Science Foundation of China (grant nos. 71601047, 71601095, and 71631007).</t>
  </si>
  <si>
    <t>1687-8086</t>
  </si>
  <si>
    <t>1687-8094</t>
  </si>
  <si>
    <t>ADV CIV ENG</t>
  </si>
  <si>
    <t>Adv. Civ. Eng.</t>
  </si>
  <si>
    <t>10.1155/2021/6697755</t>
  </si>
  <si>
    <t>PZ9MP</t>
  </si>
  <si>
    <t>WOS:000613071600008</t>
  </si>
  <si>
    <t>Kou, Z; Zhang, M</t>
  </si>
  <si>
    <t>Kou, Zheng; Zhang, Man</t>
  </si>
  <si>
    <t>LRP Model and Algorithm of Expressway Logistics Network Planning Based on Internet of Things</t>
  </si>
  <si>
    <t>MOBILE INFORMATION SYSTEMS</t>
  </si>
  <si>
    <t>ROUTING-PROBLEMS; TECHNOLOGY; DESIGN; SYSTEM</t>
  </si>
  <si>
    <t>With the continuous improvement of the expressway logistics network, the location-routing problems (LRP) have become the obstacle to be overcome in the development of related industries. Based on the needs of modernization, in the era of the Internet of Things, classic traffic path planning algorithms can no longer meet the increasingly diverse needs, and related research results are not ideal. To reduce logistics costs and meet customer needs, this paper studies transportation route planning models and algorithms based on Internet of Things technology and particle swarm optimization. Firstly, the LRP model of expressway logistics network planning analyzes the achievement of goals, lists the assumptions, and builds the LRP model of expressway logistics network planning based on the mathematical model of path planning. Then the model is optimized and solved based on the particle swarm optimization algorithm. In order to verify the effectiveness and feasibility of the algorithm, MATLAB is used to simulate the algorithm. Finally, the LRP particle swarm optimization model of highway logistics network planning is put into the actual distribution work of a logistics company to analyze the change of distribution cost and investigate the related satisfaction. Experimental data show that the improved particle swarm optimization algorithm in this paper begins to converge in the 100th generation, the shortest running time is 57s, and the value of the objective function fluctuates slightly around 880. This shows that the model algorithm in this paper has strong search ability and stability. In the simulation experiment, the optimal objective function value of the model is 1001 yuan, which can be used to formulate the optimal distribution scheme. In the actual distribution work, the total cost of distribution before and after the application of the model was 12176.99 yuan and 9978.4 yuan, the fuel consumption cost decreased by 2097.23 yuan, and the penalty cost decreased by 85%. In the satisfaction survey, the satisfaction of all people was 9 points or above, with an average score of 9.42 points. This shows that the LRP particle swarm optimization model of expressway logistics network planning based on the Internet of Things technology can effectively save distribution costs and improve satisfaction.</t>
  </si>
  <si>
    <t>[Kou, Zheng] Yancheng Teachers Univ, Coll Business, Yancheng 224007, Jiangsu, Peoples R China; [Zhang, Man] Yancheng Polytech Coll, Econ &amp; Trade Dept, Yancheng 224005, Jiangsu, Peoples R China</t>
  </si>
  <si>
    <t>Yancheng Teachers University</t>
  </si>
  <si>
    <t>Zhang, M (corresponding author), Yancheng Polytech Coll, Econ &amp; Trade Dept, Yancheng 224005, Jiangsu, Peoples R China.</t>
  </si>
  <si>
    <t>zhangman8@hotmail.com</t>
  </si>
  <si>
    <t>Kou, Zheng/0000-0002-7974-6395</t>
  </si>
  <si>
    <t>HINDAWI LTD</t>
  </si>
  <si>
    <t>ADAM HOUSE, 3RD FLR, 1 FITZROY SQ, LONDON, W1T 5HF, ENGLAND</t>
  </si>
  <si>
    <t>1574-017X</t>
  </si>
  <si>
    <t>1875-905X</t>
  </si>
  <si>
    <t>MOB INF SYST</t>
  </si>
  <si>
    <t>Mob. Inf. Syst.</t>
  </si>
  <si>
    <t>SEP 20</t>
  </si>
  <si>
    <t>10.1155/2021/5648330</t>
  </si>
  <si>
    <t>WB0YI</t>
  </si>
  <si>
    <t>WOS:000703306500002</t>
  </si>
  <si>
    <t>Rossi, A; Barlacchi, G; Bianchini, M; Lepri, B</t>
  </si>
  <si>
    <t>Rossi, Alberto; Barlacchi, Gianni; Bianchini, Monica; Lepri, Bruno</t>
  </si>
  <si>
    <t>Modelling Taxi Drivers' Behaviour for the Next Destination Prediction</t>
  </si>
  <si>
    <t>Public transportation; Urban areas; Trajectory; Predictive models; Recurrent neural networks; Task analysis; Vehicles; Taxi destination prediction; deep learning; LSTM; smart cities</t>
  </si>
  <si>
    <t>In this paper, we study how to model taxi drivers' behavior and geographical information for an interesting and challenging task: the next destination prediction in a taxi journey. Predicting the next location is a well-studied problem in human mobility, which finds several applications in real-world scenarios, from optimizing the efficiency of electronic dispatching systems to predicting and reducing the traffic jam. This task is normally modeled as a multiclass classification problem, where the goal is to select, among a set of already known locations, the next taxi destination. We present a Recurrent Neural Network (RNN) approach that models the taxi drivers' behavior and encodes the semantics of visited locations by using geographical information from Location-Based Social Networks (LBSNs). In particular, the RNNs are trained to predict the exact coordinates of the next destination, overcoming the problem of producing, in output, a limited set of locations, seen during the training phase. The proposed approach was tested on the ECML/PKDD Discovery Challenge 2015 dataset-based on the city of Porto-, obtaining better results with respect to the competition winner, whilst using less information, and on Manhattan and San Francisco datasets.</t>
  </si>
  <si>
    <t>[Rossi, Alberto] Univ Florence, Dept Informat Engn, I-50139 Florence, Italy; [Barlacchi, Gianni] Univ Trento, Dept Informat Engn &amp; Comp Sci, I-38122 Trento, Italy; [Bianchini, Monica] Univ Siena, Dept Informat Engn &amp; Math, I-53100 Siena, Italy; [Lepri, Bruno] Bruno Kessler Fdn, Social Comp Lab, I-38122 Trento, Italy</t>
  </si>
  <si>
    <t>University of Florence; University of Trento; University of Siena; Fondazione Bruno Kessler</t>
  </si>
  <si>
    <t>Rossi, A (corresponding author), Univ Florence, Dept Informat Engn, I-50139 Florence, Italy.</t>
  </si>
  <si>
    <t>alberto.rossi@unifi.it; gianni.barlacchi@gmail.com; monica@diism.unisi.it; lepri@fbk.eu</t>
  </si>
  <si>
    <t>Bianchini, Monica/P-7392-2019; rossi, alberto/AAP-6406-2020; Lepri, Bruno/GVU-1184-2022</t>
  </si>
  <si>
    <t>Bianchini, Monica/0000-0002-8206-8142; rossi, alberto/0000-0003-1688-6961;</t>
  </si>
  <si>
    <t>10.1109/TITS.2019.2922002</t>
  </si>
  <si>
    <t>MF7KI</t>
  </si>
  <si>
    <t>WOS:000545516200024</t>
  </si>
  <si>
    <t>Li, N; Wu, Z; Zhao, ZB</t>
  </si>
  <si>
    <t>Li, Na; Wu, Ze; Zhao, Zhongbiao</t>
  </si>
  <si>
    <t>Application of Internet of Things Compressed Sensing and Information Interaction Technology in Intelligent Transportation Layout</t>
  </si>
  <si>
    <t>SCIENTIFIC PROGRAMMING</t>
  </si>
  <si>
    <t>With the continuous development of economy, the number of motor vehicles has increased sharply, and urban traffic congestion has become more and more frequent. Urban traffic congestion has become one of the important reasons that hinder the continuous development of major cities. In order to better solve the problem of urban traffic congestion, it is more urgent to build urban intelligent transportation system. The technology related to Internet of things is becoming more and more mature, which has become a new idea of collecting traffic information, providing convenience for traffic, and injecting vitality into the study of intelligent transportation layout. The traffic system in the city or the main traffic intersection, through the traffic guidance layout road, provides the traffic instruction for the passenger on the highway network, enables the driver to choose the suitable driving road, can provide the travel guidance service for the driver, adjusts the flow distribution, and improves the traffic condition. This paper describes the research status of intelligent transportation layout and uses the basic theory of compressed sensing and information interaction technology to carry out data fusion and reconstruction algorithm in intelligent transportation. Finally, the application of compressed sensing in intelligent transportation layout is summarized to realize data collection in intelligent transportation network. In this paper, compressed sensing theory is applied to the data acquisition of intelligent transportation network to reduce the amount of data and improve the effective data acquisition. The reconstruction algorithm is used to realize the data reconstruction to ensure the accuracy and stability of signal reconstruction and the accuracy of network transmission information.</t>
  </si>
  <si>
    <t>[Li, Na; Wu, Ze; Zhao, Zhongbiao] Xuchang Univ, Sch Elect &amp; Mech Engn, Xuchang 461000, Peoples R China</t>
  </si>
  <si>
    <t>Xuchang University</t>
  </si>
  <si>
    <t>Li, N (corresponding author), Xuchang Univ, Sch Elect &amp; Mech Engn, Xuchang 461000, Peoples R China.</t>
  </si>
  <si>
    <t>ln@xcu.edu.cn; wuzzze@gmail.com; biaogreat@163.com</t>
  </si>
  <si>
    <t>1058-9244</t>
  </si>
  <si>
    <t>1875-919X</t>
  </si>
  <si>
    <t>SCI PROGRAMMING-NETH</t>
  </si>
  <si>
    <t>Sci. Program.</t>
  </si>
  <si>
    <t>APR 23</t>
  </si>
  <si>
    <t>10.1155/2021/9979198</t>
  </si>
  <si>
    <t>SX2BP</t>
  </si>
  <si>
    <t>WOS:000665016000001</t>
  </si>
  <si>
    <t>Hidalgo, D; Martín-Marroquín, JM; Corona, F; Juaristi, JL</t>
  </si>
  <si>
    <t>Hidalgo, Dolores; Martin-Marroquin, Jesus M.; Corona, Francisco; Juaristi, Jose L.</t>
  </si>
  <si>
    <t>Sustainable vacuum waste collection systems in areas of difficult access</t>
  </si>
  <si>
    <t>TUNNELLING AND UNDERGROUND SPACE TECHNOLOGY</t>
  </si>
  <si>
    <t>Accessibility; Smart cities; Underground infrastructure; Remote areas; Vacuum systems; Waste collection</t>
  </si>
  <si>
    <t>UNDERGROUND SPACE; URBAN AREAS; PERFORMANCE</t>
  </si>
  <si>
    <t>Waste collection is the activity of transporting solid waste from the point of production to the point of treatment or disposal. Today, the most common way of waste collection is by road from each individual's house or collecting point. Whilst other services and utilities such as sewage, water, drainage and even modern day telecommunications have wisely been designed to be out of sight in the underground infrastructure, solid waste collection has commonly remained unchanged since the 19th century. Furthermore, traditional municipal waste handling in historical city centres is often made difficult by: old infrastructures; narrow, crooked streets that are not suitable for large waste collection vehicles; little space for rubbish bins, making at source separation difficult, and; high volumes of tourists that make traditional bins less accessible by waste operatives, which often conflicts with the objectives of keeping areas associated with tourism clean and hygienic. In these circumstances, underground vacuum waste collection arise as a revolutionary solution, even in remote areas. This waste management model lets integrate waste collection into the infrastructure of a building, a residential development a district or even entire towns, by transporting waste using vacuum technology through an underground network of pipes. The result, among other positive elements, is an average reduction in CO2 emissions above 90% compared with traditional collection models by truck.</t>
  </si>
  <si>
    <t>[Hidalgo, Dolores; Martin-Marroquin, Jesus M.; Corona, Francisco] CARTIF Technol Ctr, Boecillo 47151, Valladolid, Spain; [Hidalgo, Dolores; Martin-Marroquin, Jesus M.; Corona, Francisco] Univ Valladolid, ITAP, Valladolid 47010, Spain; [Juaristi, Jose L.] ENVAC Iberia, Erandio 48950, Vizcaya, Spain</t>
  </si>
  <si>
    <t>Universidad de Valladolid</t>
  </si>
  <si>
    <t>Hidalgo, D (corresponding author), CARTIF Technol Ctr, Boecillo 47151, Valladolid, Spain.</t>
  </si>
  <si>
    <t>dolhid@cartif.es</t>
  </si>
  <si>
    <t>Hidalgo, Dolores/0000-0003-0846-6924; Martín, Jesús Mª/0000-0003-2725-2067</t>
  </si>
  <si>
    <t>LIFE Program under the responsibility of the Directorate General for the Environment of the European Commission [LIFE 14 ENV/GR/000722-LIFE PAVEtheWAySTE]</t>
  </si>
  <si>
    <t>LIFE Program under the responsibility of the Directorate General for the Environment of the European Commission</t>
  </si>
  <si>
    <t>The authors gratefully acknowledge support of this work by the LIFE Program under the responsibility of the Directorate General for the Environment of the European Commission (project LIFE 14 ENV/GR/000722-LIFE PAVEtheWAySTE).</t>
  </si>
  <si>
    <t>0886-7798</t>
  </si>
  <si>
    <t>TUNN UNDERGR SP TECH</t>
  </si>
  <si>
    <t>Tunn. Undergr. Space Technol.</t>
  </si>
  <si>
    <t>10.1016/j.tust.2018.07.026</t>
  </si>
  <si>
    <t>GW5DI</t>
  </si>
  <si>
    <t>WOS:000446949500019</t>
  </si>
  <si>
    <t>Kocatepe, A; Ozkul, S; Ozguven, EE; Sobanjo, JO; Moses, R</t>
  </si>
  <si>
    <t>Kocatepe, Ayberk; Ozkul, Seckin; Ozguven, Eren Erman; Sobanjo, John Olusegun; Moses, Ren</t>
  </si>
  <si>
    <t>The Value of Freight Accessibility: a Spatial Analysis in the Tampa Bay Region</t>
  </si>
  <si>
    <t>APPLIED SPATIAL ANALYSIS AND POLICY</t>
  </si>
  <si>
    <t>Value of freight accessibility; VoFA; Smart transport solutions; Intermodal freight facilities</t>
  </si>
  <si>
    <t>TRAVEL-TIME RELIABILITY; TRANSPORT; ATTRIBUTES</t>
  </si>
  <si>
    <t>With the recent growth in markets in the U.S., freight transportation systems have become more intricate, and are affected by the variety of static and dynamic elements associated with roadways. It is imperative to find effective ways to manage freight systems with smart transportation solutions so that governments can facilitate policy decisions to use their resources more efficiently. To make such concrete policy decisions for a specific study region, freight network, supply chain, and freight transportation trends should be studied carefully. As such, this study evaluates the accessibility of freight warehouses to intermodal freight facilities using Geographical Information Systems (GIS)-based tools with a focus on Value of Time (VOT), spatial distributions of warehouses and intermodal freight facilities, and traffic characteristics. A Value of Freight Accessibility (VoFA) metric is developed for traffic analysis zones (TAZs) in the Tampa Bay region as a function of accessibility to warehouses, number of trucks, and VOT. Results indicate that there is a need for smart transport solutions such as dedicated truck-only lanes, and Vehicle-to-Vehicle (V2V) and Vehicle-to-Infrastructure (V2I) in order to help decrease the travel time needed for freight transportation and increase the freight accessibility. Findings are critical in terms of informing Florida transportation agencies to pinpoint freight bottleneck areas and enhance their freight transportation plans and policies to alleviate these bottlenecks.</t>
  </si>
  <si>
    <t>[Kocatepe, Ayberk] Connet Transportat Grp, Travel Modeling &amp; Analyt, 3111 N Univ Dr,Suite 725, Coral Springs, FL 33065 USA; [Ozkul, Seckin] Univ S Florida, Muma Coll Business, Mkt Dept, Operat &amp; Supply Chain Fac, 4202 E Fowler Ave,BSN 3403, Tampa, FL 33620 USA; [Ozguven, Eren Erman; Sobanjo, John Olusegun; Moses, Ren] FAMU FSU Coll Engn, Dept Civil &amp; Environm Engn, 2525 Pottsdamer St, Tallahassee, FL 32310 USA</t>
  </si>
  <si>
    <t>State University System of Florida; University of South Florida; State University System of Florida; Florida A&amp;M University; Florida State University</t>
  </si>
  <si>
    <t>Ozguven, EE (corresponding author), FAMU FSU Coll Engn, Dept Civil &amp; Environm Engn, 2525 Pottsdamer St, Tallahassee, FL 32310 USA.</t>
  </si>
  <si>
    <t>ayberk.kocatepe@gmail.com; sozkul@usf.edu; eozguven@fsu.edu; jsobanjo@fsu.edu; rmoses@fsu.edu</t>
  </si>
  <si>
    <t>Ozkul, Seckin/0000-0003-1509-8795; Sobanjo, John/0000-0001-9892-8840; Ozguven, Eren/0000-0001-6006-7635</t>
  </si>
  <si>
    <t>US Department of Transportation [DTRT13-G-UTC42]</t>
  </si>
  <si>
    <t>US Department of Transportation</t>
  </si>
  <si>
    <t>This project was supported by US Department of Transportation grant DTRT13-G-UTC42 and administered by the Center for Accessibility and Safety for an Aging Population (ASAP) at Florida State University (FSU), Florida A&amp;M University (FAMU), and the University of North Florida (UNF).</t>
  </si>
  <si>
    <t>1874-463X</t>
  </si>
  <si>
    <t>1874-4621</t>
  </si>
  <si>
    <t>APPL SPAT ANAL POLIC</t>
  </si>
  <si>
    <t>Appl. Spat. Anal. Policy</t>
  </si>
  <si>
    <t>10.1007/s12061-019-09314-6</t>
  </si>
  <si>
    <t>Environmental Studies; Geography; Regional &amp; Urban Planning</t>
  </si>
  <si>
    <t>Environmental Sciences &amp; Ecology; Geography; Public Administration</t>
  </si>
  <si>
    <t>LN6EZ</t>
  </si>
  <si>
    <t>WOS:000533029500012</t>
  </si>
  <si>
    <t>Yerznkyan, BH; Fontana, KA</t>
  </si>
  <si>
    <t>Yerznkyan, Bagrat H.; Fontana, Karine A.</t>
  </si>
  <si>
    <t>Managing the Innovative Water Supply in Urban Economy</t>
  </si>
  <si>
    <t>JOURNAL OF COMPLEMENTARY MEDICINE RESEARCH</t>
  </si>
  <si>
    <t>Effective management; urban water resources; integrated approach; access to information; rational use of resources; innovative water supply; reuse of water; urban economy; sustainable development; circular economy; treated wastewater; automatic irrigation systems; water stress; legal and institutional framework; water hierarchy; alternative water sources; environmental risks</t>
  </si>
  <si>
    <t>Research of prospects for achieving sustainability of urban water supply systems as an integral part of the urban management system in order to reduce pressure on water resources and ensure continuous access of the population to quality water through the formation of an effective water management system and innovative water supply. Goal. Development of proposals for assessing the effectiveness of urban water management and highlighting the stages of the study of the feasibility of introducing innovative water supply from the standpoint of ensuring the sustainability of urban development in the direction of cities with water (i.e., the reuse of treated wastewater and the implementation of projects of automatic irrigation systems in the urban economy). Method or methodology. Analytical and logical methods, theoretical developments on water resources efficiency management in their interrelation with other sectors of the urban economy were used. The methodology of the research is based on the provisions of the general theory of systems and institutional economics. Results. It is shown that effective water management is an important element for overcoming the barriers to achieving sustainable development of the water sector and cities in general, as well as mitigating the negative impact of global trends. Suggestions are given for assessing the effectiveness of urban water management. Imperative requirements are formulated for integrating the water management complex into a single urban management system in order to smooth out the fragmented practice of managing various sectors of the urban economy that has developed in practice. It was emphasized that the achievement of sustainable urban development is impossible without innovative water supply - the introduction of the principles of a circular economy and the best available technologies in the urban economy. Automatic irrigation systems are an example of using the best available technologies for innovative water supply, which allow achieving significant savings in urban water resources, as well as use treated wastewater when irrigating urban areas. It is emphasized that such systems, with their proper design, installation and maintenance, can become an effective element in the environmentally sustainable development of urban economy in the direction of smart cities, cities with water, which also satisfy technological, social, environmental, economic, institutional, cultural requirements. It is shown that the practice of reuse of treated wastewater should be taken into account when developing a long-term strategy for the development of urban water management, taking into account socio-economic circumstances, environmental and climatic conditions, cultural and religious preferences, existing legislation, participation in international projects, as well as political readiness for their consideration and implementation. The constraining factors of the introduction of wastewater reuse and automatic irrigation systems (including those using treated wastewater) were highlighted The lack of a clear policy defining wastewater reuse as part of water resources, the institutional framework for the implementation of such projects, reliable quantitative and qualitative data, limited financial resources, environmental risks, as well as the lack of culture of maintaining landscape areas, and the lack of specialists for designing, modernize and maintain such systems. Suggestions are given for conducting a comprehensive phased study of the feasibility of introducing the practice of reuse of treated wastewater and automatic irrigation systems, which takes into account not only the expenditure and return on such projects, but also provides the opportunity to assess the effectiveness of using both of them in conjunction with the environmental reasonableness of their application, cultural and historical aspects, social priorities, quality of life in the city, economy and budget of the city. Scope of the results. They can be used by the executive structures of the municipal economy in the management of the city water management complex, as well as other state and local government bodies, in researches related to water supply and drainage, in the solution of ecological issues. Conclusions. It is proved that sustainable urban development is impossible without rational use of water resources, taking into account the principles of the water hierarchy, building an effective management system and using innovative water supply with elements of a circular economy (reuse of treated wastewater and the best available technologies (in particular, automatic irrigation systems)) Achieving these goals is impossible, among other things, without the free exchange of information between participants in the water process, the objectivity and transparency of WR management assessments, taking into account structural and market drivers. Proposals have been developed to assess the effectiveness of water resources management from the perspective of incorporating theoretical developments in the field of water supply into the general theory of city management and integrating water management strategic measures into the systemic practice of urban economy It is shown that the reuse of treated wastewater is one of the alternative sources of water in regions with limited water resources, which should be considered as part of the water hierarchy and sustainable development of water management in the framework of water management. And the effectiveness of projects using TWW, incl. in AIS, reflects specific urban tasks, taking into account the expansion of urban boundaries, population growth; local legislation, financial opportunities. The problems that hinder the expansion of the practice of reuse of treated wastewater and the wider introduction of automatic irrigation systems are identified. This is the lack of a clear policy defining wastewater reuse (RW) as part of WR; legal and institutional framework for the implementation of such projects; financial resources; environmental risks. Studies related to water RW are complicated by the lack of reliable quantitative and qualitative data, their fragmentation, and often their closeness. As for the AIS, one of the limitations of the wider implementation of modern AIS (including the use of TWW) is due to the lack of a common culture and knowledge of public officials about the advantages of these systems and the lack of an appropriate structure for their further operation and modernization.</t>
  </si>
  <si>
    <t>[Yerznkyan, Bagrat H.] Russian Acad Sci, Cent Econ &amp; Math Inst, Lab, Moscow, Russia; [Fontana, Karine A.] Russian Acad Sci, Cent Econ &amp; Math Inst, Moscow, Russia</t>
  </si>
  <si>
    <t>Russian Academy of Sciences; Central Economics &amp; Mathematics Institute RAS; Russian Academy of Sciences; Central Economics &amp; Mathematics Institute RAS</t>
  </si>
  <si>
    <t>Yerznkyan, BH (corresponding author), Russian Acad Sci, Cent Econ &amp; Math Inst, Lab, Moscow, Russia.</t>
  </si>
  <si>
    <t>Фонтана, Каринэ/0000-0002-8789-8786</t>
  </si>
  <si>
    <t>EJMANAGER LLC</t>
  </si>
  <si>
    <t>WILMINGTON</t>
  </si>
  <si>
    <t>913 N MARKET ST, STE 200, WILMINGTON, DE 19801 USA</t>
  </si>
  <si>
    <t>2146-8397</t>
  </si>
  <si>
    <t>2577-5669</t>
  </si>
  <si>
    <t>J COMPL MED RES</t>
  </si>
  <si>
    <t>J. Compl. Med. Res.</t>
  </si>
  <si>
    <t>10.5455/jcmr.2020.11.01.45</t>
  </si>
  <si>
    <t>Pharmacology &amp; Pharmacy</t>
  </si>
  <si>
    <t>PR2ID</t>
  </si>
  <si>
    <t>WOS:000607064100025</t>
  </si>
  <si>
    <t>Malevich, YV; Gorbunova, YN; Maslobonikova, NV</t>
  </si>
  <si>
    <t>Solovev, DB</t>
  </si>
  <si>
    <t>Malevich, Y., V; Gorbunova, Y. N.; Maslobonikova, N., V</t>
  </si>
  <si>
    <t>Major Aspects of the Customs and Logistics System Development in the Eurasian Economic Union</t>
  </si>
  <si>
    <t>PROCEEDINGS OF THE INTERNATIONAL SCIENTIFIC CONFERENCE - FAR EAST CON (ISCFEC 2020)</t>
  </si>
  <si>
    <t>AEBMR-Advances in Economics Business and Management Research</t>
  </si>
  <si>
    <t>International Scientific Conference on Far East Con (ISCFEC)</t>
  </si>
  <si>
    <t>OCT 01-04, 2019</t>
  </si>
  <si>
    <t>Vladivostok, RUSSIA</t>
  </si>
  <si>
    <t>For the further development of a single transport area, an increase in the export of transport services, the development of the transit potential of the EAEU member states and economic integration, special attention should be paid to improving transport, customs, and logistics infrastructures. The study examined the integration problems of the Union transport area elements such as places that are close to the state border of the EAEU member states, customs infrastructure, transport and logistics infrastructure, customs and logistics infrastructure. The authors consider the principles of customs, logistics and system analysis to be the fundamental basis for the organization of the customs and logistics system. From the standpoint of logistics theory, the EAEU is considered as a macro-logistical system. Logistics models and methods regarded as tools for solving key development tasks of the EAEU single transport area make it possible to identify the main problems of the customs and logistics systems of the EAEU member states and to develop measures to improve interaction models of customs authorities and foreign economic activity participants.</t>
  </si>
  <si>
    <t>[Malevich, Y., V] St Petersburg State Univ Econ, 21 Sadovaya St, St Petersburg 191023, Russia; [Gorbunova, Y. N.; Maslobonikova, N., V] Samara State Tech Univ, Molodogvardeyskaya St,Bldg 2244, Samara 443100, Russia</t>
  </si>
  <si>
    <t>Saint-Petersburg State University of Economics; Samara State Technical University</t>
  </si>
  <si>
    <t>Malevich, YV (corresponding author), St Petersburg State Univ Econ, 21 Sadovaya St, St Petersburg 191023, Russia.</t>
  </si>
  <si>
    <t>080505@mail.ru</t>
  </si>
  <si>
    <t>Malevich, Yulia/ABG-4906-2021</t>
  </si>
  <si>
    <t>ATLANTIS PRESS</t>
  </si>
  <si>
    <t>PARIS</t>
  </si>
  <si>
    <t>29 AVENUE LAVMIERE, PARIS, 75019, FRANCE</t>
  </si>
  <si>
    <t>2352-5428</t>
  </si>
  <si>
    <t>978-94-6252-929-8</t>
  </si>
  <si>
    <t>AEBMR ADV ECON</t>
  </si>
  <si>
    <t>Business; Economics; Management</t>
  </si>
  <si>
    <t>BS2HM</t>
  </si>
  <si>
    <t>WOS:000701397802062</t>
  </si>
  <si>
    <t>Yang, JC; Han, YR; Wang, YF; Jiang, B; Lv, ZH; Song, HB</t>
  </si>
  <si>
    <t>Yang, Jiachen; Han, Yurong; Wang, Yafang; Jiang, Bin; Lv, Zhihan; Song, Houbing</t>
  </si>
  <si>
    <t>Optimization of real-time traffic network assignment based on IoT data using DBN and clustering model in smart city</t>
  </si>
  <si>
    <t>FUTURE GENERATION COMPUTER SYSTEMS-THE INTERNATIONAL JOURNAL OF ESCIENCE</t>
  </si>
  <si>
    <t>Smart city; Dynamic transportation assignment; IoT; Large data; Real-time online stream; DBN</t>
  </si>
  <si>
    <t>INTELLIGENT TRANSPORTATION SYSTEMS; FACILITY LOCATION; ALGORITHM; DESIGN</t>
  </si>
  <si>
    <t>With the rapid development of the information age, smart city has gradually become the mainstream of urban construction. Dynamic transportation assignment has attracted more interest in the smart city construction under the new era of the Internet of things (IoT) because the urban road traffic is the heart of many problems in many fields, such as in the case of city congestion and processing center planning system. In this paper, we analyzed the processing center's economic indexes and optimized the dynamic transportation network assignment based on continuous big IoT input database, and a high performance computing model is proposed for the dynamic traffic planning. Specifically, while the previous methods exploited the geographical information system (GIS) or K-means separately, the proposed transportation planning is based on the real-time IoT and GIS data, which is processed by DBN and K-means to make the final solution close to the practice and meet the requirements of high performance computing and economic cost. which is regarded as the key target index. Moreover, considering the large data characteristic of real-time online stream, the deep belief network (DBN) model is built to preprocess the data to improve the clustering effect of the K-means. This study works on the example case of hotel service centers problem in Tianjin to evaluate the optimal dynamic traffic network planning result. The experiment test has proved that based on the performance of super high computing, the model is precisely helpful for the optimal planning of traffic network under real time mass data situation and low cost, and promoting the construction and development of the smart city. (C) 2017 Published by Elsevier B.V.</t>
  </si>
  <si>
    <t>[Yang, Jiachen; Han, Yurong; Wang, Yafang; Jiang, Bin] Tianjin Univ, Sch Elect &amp; Informat Engn, Tianjin, Peoples R China; [Lv, Zhihan] Qingdao Univ, Sch Data Sci &amp; Software Engn, Qingdao, Peoples R China; [Song, Houbing] Embry Riddle Aeronaut Univ, Dept Elect Comp Software &amp; Syst Engn, Daytona Beach, FL USA</t>
  </si>
  <si>
    <t>Tianjin University; Qingdao University; Embry-Riddle Aeronautical University</t>
  </si>
  <si>
    <t>Lv, ZH (corresponding author), Qingdao Univ, Sch Data Sci &amp; Software Engn, Qingdao, Peoples R China.</t>
  </si>
  <si>
    <t>yangjiachen@tju.edu.cn; hanyurong@tju.edu.cn; WangYF0739@tju.edu.cn; jiangbin@tju.edu.cn; lvzhihan@gmail.com; SONGH4@erau.edu</t>
  </si>
  <si>
    <t>Yang, Jiachen/ABH-5032-2020; Song, Houbing/E-3628-2010; Lyu, Zhihan/I-3187-2014; Song, Houbing/E-3628-2010; Bin, Jiang/ABE-9599-2020</t>
  </si>
  <si>
    <t>Song, Houbing/0000-0003-2631-9223; Lyu, Zhihan/0000-0003-2525-3074; Song, Houbing/0000-0003-2631-9223;</t>
  </si>
  <si>
    <t>National Natural Science Foundation of China [61471260]; Natural Science Foundation of Tianjin [16JCYBJC16000]; Shandong Provincial Natural Science Foundation [ZR2017QF015]</t>
  </si>
  <si>
    <t>National Natural Science Foundation of China(National Natural Science Foundation of China (NSFC)); Natural Science Foundation of Tianjin(Natural Science Foundation of Tianjin); Shandong Provincial Natural Science Foundation(Natural Science Foundation of Shandong Province)</t>
  </si>
  <si>
    <t>This work was supported in part by National Natural Science Foundation of China (No. 61471260), Natural Science Foundation of Tianjin (16JCYBJC16000), and Shandong Provincial Natural Science Foundation (ZR2017QF015).</t>
  </si>
  <si>
    <t>RADARWEG 29a, 1043 NX AMSTERDAM, NETHERLANDS</t>
  </si>
  <si>
    <t>0167-739X</t>
  </si>
  <si>
    <t>1872-7115</t>
  </si>
  <si>
    <t>FUTURE GENER COMP SY</t>
  </si>
  <si>
    <t>Futur. Gener. Comp. Syst.</t>
  </si>
  <si>
    <t>10.1016/j.future.2017.12.012</t>
  </si>
  <si>
    <t>LG6HO</t>
  </si>
  <si>
    <t>WOS:000528199900072</t>
  </si>
  <si>
    <t>Shi, N; Li, ZP; Zhou, L</t>
  </si>
  <si>
    <t>IOP</t>
  </si>
  <si>
    <t>Shi, Ning; Li, Zeping; Zhou, Li</t>
  </si>
  <si>
    <t>The construction elements of modern logistics system</t>
  </si>
  <si>
    <t>2018 INTERNATIONAL SEMINAR ON COMPUTER SCIENCE AND ENGINEERING TECHNOLOGY (SCSET 2018)</t>
  </si>
  <si>
    <t>International Seminar on Computer Science and Engineering Technology (SCSET)</t>
  </si>
  <si>
    <t>DEC 17-18, 2018</t>
  </si>
  <si>
    <t>The arrival of the Internet era has promoted the development of a large number of emerging technologies, and the logistics industry has also ushered in reform opportunities. To change the problems of high traditional logistics costs and low management level, it is necessary to build a modern logistics system to achieve the goal of reducing logistics costs and promoting national economic growth. The modern logistics system must establish the development goals of informatized, intelligent and traced, and the logistics infrastructure system, logistics operation system and logistics management system are constructed. The four major systems of logistics information system, as well as the infrastructure network, the operation organization network and the intelligent information network, realize the interconnection and interconnection of various systems and networks. In this paper, technologies such as big data, Internet, Internet of Things, cloud computing, blockchain and artificial intelligence are integrated into each system network, and a modern logistics system based on interconnection is creatively proposed.</t>
  </si>
  <si>
    <t>[Shi, Ning; Li, Zeping; Zhou, Li] Beijing Wuzi Univ, Sch Informat, Beijing, Peoples R China</t>
  </si>
  <si>
    <t>Beijing Wuzi University</t>
  </si>
  <si>
    <t>Shi, N (corresponding author), Beijing Wuzi Univ, Sch Informat, Beijing, Peoples R China.</t>
  </si>
  <si>
    <t>398807172@qq.com</t>
  </si>
  <si>
    <t>National Natural Science Foundation Project [71501015]; Beijing Great Wall Scholar [CIT TCD20170317]; Collaborative Innovation Center; China Logistics Association's 2018 key project Research on Interconnection of Modern Logistics Network System [2018CSLKT2-004]</t>
  </si>
  <si>
    <t>National Natural Science Foundation Project(National Natural Science Foundation of China (NSFC)); Beijing Great Wall Scholar; Collaborative Innovation Center; China Logistics Association's 2018 key project Research on Interconnection of Modern Logistics Network System</t>
  </si>
  <si>
    <t>This research is led by the China Logistics Association's 2018 key project Research on Interconnection of Modern Logistics Network System (2018CSLKT2-004), National Natural Science Foundation Project (71501015), Beijing Great Wall Scholar (No. CIT &amp; TCD20170317), Tongzhou Canal Project Leaders and The Intelligent Logistics System is funded by the Collaborative Innovation Center.</t>
  </si>
  <si>
    <t>10.1088/1742-6596/1176/4/042060</t>
  </si>
  <si>
    <t>Computer Science, Theory &amp; Methods; Engineering, Multidisciplinary</t>
  </si>
  <si>
    <t>BM9WY</t>
  </si>
  <si>
    <t>WOS:000471819100169</t>
  </si>
  <si>
    <t>Suchanek, M</t>
  </si>
  <si>
    <t>Intelligent Transport Systems (ITS) in Smart City</t>
  </si>
  <si>
    <t>CHALLENGES OF URBAN MOBILITY, TRANSPORT COMPANIES AND SYSTEMS</t>
  </si>
  <si>
    <t>Conference on Transport Development Challenges in the 21st Century (TranSopot)</t>
  </si>
  <si>
    <t>MAY 28-30, 2018</t>
  </si>
  <si>
    <t>Univ Gdansk, Fac Econ, Sopot, POLAND</t>
  </si>
  <si>
    <t>Univ Gdansk, Fac Econ</t>
  </si>
  <si>
    <t>Smart City; Smart mobility; Intelligent transport systems</t>
  </si>
  <si>
    <t>Contemporary cities are areas with diverse functions on which economic and social activities are concentrated. The concept of a Smart City as a progressive city of the future assumes sustainable urban development based on innovative technologies, the application of which is aimed at increasing the functionality of cities by economical, effective and ecological management. The purpose of intelligent technologies used in the city is to support the residents and provide them with comfortable, economical and safe lives. This concept covers economic, infrastructural, organizational and social issues. One of the elements of the Smart City concept is smart mobility in the sense of safe, effective and efficiently integrated management systems of transport, logistics, public transportation, bicycle traffic and parking-due to the use of intelligent transport systems, which constitute a wide collection of various tools based on information and telecommunications technology. The aim of the paper is to present selected ITS solutions that increase the efficiency and integration of the urban transport system.</t>
  </si>
  <si>
    <t>[Kos, Barbara] Univ Econ, PL-40287 Katowice, Poland</t>
  </si>
  <si>
    <t>Kos, B (corresponding author), Univ Econ, PL-40287 Katowice, Poland.</t>
  </si>
  <si>
    <t>978-3-030-17743-0</t>
  </si>
  <si>
    <t>10.1007/978-3-030-17743-0_10</t>
  </si>
  <si>
    <t>Business; Economics; Transportation; Urban Studies</t>
  </si>
  <si>
    <t>Business &amp; Economics; Transportation; Urban Studies</t>
  </si>
  <si>
    <t>BR9NF</t>
  </si>
  <si>
    <t>WOS:000678775100010</t>
  </si>
  <si>
    <t>Dong, M; Singh, V; Peters, D; Ukegbu, CCN; Collars, R; Dack, J; Duan, L</t>
  </si>
  <si>
    <t>Noyce, DA</t>
  </si>
  <si>
    <t>Dong, Maggie; Singh, Varanesh; Peters, Diniece; Ukegbu, Charles C. N.; Collars, Rosanna; Dack, Joseph; Duan, Lian</t>
  </si>
  <si>
    <t>Towards a Smart Urban Freight Plan</t>
  </si>
  <si>
    <t>INTERNATIONAL CONFERENCE ON TRANSPORTATION AND DEVELOPMENT 2019: SMARTER AND SAFER MOBILITY AND CITIES</t>
  </si>
  <si>
    <t>ASCE International Conference on Transportation and Development (ICTD)</t>
  </si>
  <si>
    <t>JUN 09-12, 2019</t>
  </si>
  <si>
    <t>Alexandria, VA</t>
  </si>
  <si>
    <t>Technological advancements in the transportation industry are changing the way planners envision, plan, and manage transportation systems. In the domain of urban freight planning, recently available real-time vehicle data and new analytical tools have opened up new opportunities for planners to enhance understanding and embrace a smarter and more rigorous policy-making process. In late 2016, the New York City Department of Transportation (NYCDOT) started a SMART Truck Management Plan as a key initiative to address the challenges of freight management and achieve the freight goals identified in NYCDOT's 2016 Strategic Plan. A notable feature of the plan is its keen commitment to the use of new data and tools throughout the development process. This paper provides a detailed description of this data-driven planning process. Specifically, it presents how planners leveraged truck activity data to (1) measure truck movement efficiency, (2) explore the environmental factors behind off-route driving behavior, and (3) identify and prioritize projects and strategies. Through these practices, the paper seeks to initiate a conversation on how today's cities can capitalize on new data and models to expand the capacity of their freight management systems and adopt a more robust, informed, and integrated planning process.</t>
  </si>
  <si>
    <t>[Dong, Maggie; Singh, Varanesh; Collars, Rosanna; Duan, Lian] Arup, 77 Water St, New York, NY 10005 USA; [Peters, Diniece; Ukegbu, Charles C. N.] New York City Dept Transportat, 55 Water St, New York, NY 10041 USA; [Dack, Joseph] HDR, 711 Westchester Ave, White Plains, NY 10604 USA</t>
  </si>
  <si>
    <t>Dong, M (corresponding author), Arup, 77 Water St, New York, NY 10005 USA.</t>
  </si>
  <si>
    <t>maggie.dong@arup.com; varanesh.singh@arup.com; dpeters@dot.nyc.gov; cujekbu@dot.nyc.gov; Rosanna.collar@arup.com; joseph.dack@hdrinc.com; lian.duan@arup.com</t>
  </si>
  <si>
    <t>978-0-7844-8257-5</t>
  </si>
  <si>
    <t>BP8WN</t>
  </si>
  <si>
    <t>WOS:000568192300033</t>
  </si>
  <si>
    <t>Mondragon, AEC; Lalwani, CS; Mondragon, ESC; Mondragon, CEC; Pawar, KS</t>
  </si>
  <si>
    <t>Mondragon, Adrian E. Coronado; Lalwani, Chandra S.; Mondragon, Etienne S. Coronado; Mondragon, Christian E. Coronado; Pawar, Kulwant S.</t>
  </si>
  <si>
    <t>Intelligent transport systems in multimodal logistics: A case of role and contribution through wireless vehicular networks in a sea port location</t>
  </si>
  <si>
    <t>14th International Symposium on Logistics of Global Supply Chains and Inter-Firm Networks</t>
  </si>
  <si>
    <t>JUL 05-08, 2009</t>
  </si>
  <si>
    <t>Multimodal logistics; Sea ports; Road haulage; Intelligent transport systems; Wireless vehicle communications; Dedicated short range communications (DSRC)</t>
  </si>
  <si>
    <t>The growing complexity of logistics and its importance as a major economic activity has raised the profile of information and communication technology (ICT) as means to improve the levels of visibility, responsiveness and efficiency in supply chains relying in multimodal transport operations. With the use of wireless vehicular networks, Intelligent Transport Systems (ITS) have the potential to shape the future of multimodal logistics. In the absence of sophisticated ICT tools, the potential role and contribution of ITS and in particular wireless vehicular networks play in logistics is investigated in a multimodal case of a port terminal handling bulk material transported by sea, which is unloaded into haulage vehicles. Event flow mapping and network modelling analysis are used to determine the feasibility of ITS to support real-time data traffic related to the exchange (If messages, which are representative of the flow of events taking place in multimodal logistics and which can be associated to high-impact capabilities with economic repercussions such as track and trace. (C) 2011 Elsevier B.V. All rights reserved.</t>
  </si>
  <si>
    <t>[Mondragon, Adrian E. Coronado] Royal Holloway Univ London, Sch Management, Egham, Surrey, England; [Lalwani, Chandra S.] Univ Hull, Logist Inst, Kingston Upon Hull HU6 7RX, N Humberside, England; [Mondragon, Etienne S. Coronado] Networking &amp; Telecommun Profess Serv, Montreal, PQ, Canada; [Mondragon, Christian E. Coronado] Mem Univ Newfoundland, Inst Marine, Sch Ocean Technol, St John, NF, Canada; [Pawar, Kulwant S.] Univ Nottingham, Sch Business, Nottingham NG7 2RD, England</t>
  </si>
  <si>
    <t>University of London; Royal Holloway University London; University of Hull; Memorial University Newfoundland; University of Nottingham</t>
  </si>
  <si>
    <t>Mondragon, AEC (corresponding author), Royal Holloway Univ London, Sch Management, Egham, Surrey, England.</t>
  </si>
  <si>
    <t>adrian.coronado@rhul.ac.uk; c.s.lalwani@hull.ac.uk; etienne.coronado@gmail.com; christian.coronado@mi.mun.ca; kulwant.pawar@nottingham.ac.uk</t>
  </si>
  <si>
    <t>Coronado, Christian/0009-0009-9471-527X</t>
  </si>
  <si>
    <t>Engineering and Physical Sciences Research Council [EP/F067119/1] Funding Source: researchfish</t>
  </si>
  <si>
    <t>Engineering and Physical Sciences Research Council(UK Research &amp; Innovation (UKRI)Engineering &amp; Physical Sciences Research Council (EPSRC))</t>
  </si>
  <si>
    <t>10.1016/j.ijpe.2011.11.006</t>
  </si>
  <si>
    <t>922DL</t>
  </si>
  <si>
    <t>WOS:000302526900017</t>
  </si>
  <si>
    <t>Ren, QL; Li, H; Zhang, CM; Chen, TT</t>
  </si>
  <si>
    <t>Meen, TH</t>
  </si>
  <si>
    <t>Ren, Qi-Long; Li, Hui; Zhang, Chun-Mei; Chen, Ting-Ting</t>
  </si>
  <si>
    <t>The Layout Optimization of Logistic Nodes System for Industry in Dalian</t>
  </si>
  <si>
    <t>PROCEEDINGS OF 2019 IEEE EURASIA CONFERENCE ON BIOMEDICAL ENGINEERING, HEALTHCARE AND SUSTAINABILITY (IEEE ECBIOS 2019)</t>
  </si>
  <si>
    <t>IEEE Eurasia Conference on Biomedical Engineering, Healthcare and Sustainability (IEEE ECBIOS)</t>
  </si>
  <si>
    <t>MAY 31-JUN 03, 2019</t>
  </si>
  <si>
    <t>Okinawa, JAPAN</t>
  </si>
  <si>
    <t>Regional Logistics; Logistics Nodes; Network Analyst; Dalian</t>
  </si>
  <si>
    <t>LOCATION; IMPACT; SIZE</t>
  </si>
  <si>
    <t>In this paper, the layout scheme that can define the location, number, scale, service scope and hierarchical relationship of regional logistics nodes were constructed by using the network analyst technology of GIS. we used this scheme for the industrial logistics nodes system of Dalian, and a two-level logistics nodes system with 7-25 logistics nodes were obtained. The research results are helpful to promote the sustainable development of Dalian's logistics.</t>
  </si>
  <si>
    <t>[Ren, Qi-Long; Li, Hui; Zhang, Chun-Mei; Chen, Ting-Ting] Huaiyin Normal Univ, Inst Land &amp; Urban Rural Planning, 111 Changjiang West Rd, Huaian 223300, Peoples R China; [Li, Hui] Capital Normal Univ, Coll Resources Environm &amp; Tourism, 105 North Rd,West Third Ring Rd, Beijing 100048, Peoples R China</t>
  </si>
  <si>
    <t>Huaiyin Normal University; Capital Normal University</t>
  </si>
  <si>
    <t>Ren, QL (corresponding author), Huaiyin Normal Univ, Inst Land &amp; Urban Rural Planning, 111 Changjiang West Rd, Huaian 223300, Peoples R China.</t>
  </si>
  <si>
    <t>RenqL2008@163.com; Lihui3469@163.com; hysfzcm@outlook.com; 3445986502@qq.com</t>
  </si>
  <si>
    <t>; Zhang, Chunmei/AAE-3845-2022</t>
  </si>
  <si>
    <t>Zhang, Chunmei Zhang/0000-0003-0862-1883; Ren, Qilong/0000-0003-1830-5147</t>
  </si>
  <si>
    <t>978-1-7281-0763-9</t>
  </si>
  <si>
    <t>10.1109/ecbios.2019.8807839</t>
  </si>
  <si>
    <t>Green &amp; Sustainable Science &amp; Technology; Health Care Sciences &amp; Services; Engineering, Biomedical</t>
  </si>
  <si>
    <t>Science &amp; Technology - Other Topics; Health Care Sciences &amp; Services; Engineering</t>
  </si>
  <si>
    <t>BP1JB</t>
  </si>
  <si>
    <t>WOS:000539483300034</t>
  </si>
  <si>
    <t>Horazdovsky, P; Svítek, M</t>
  </si>
  <si>
    <t>Ruzicka, J</t>
  </si>
  <si>
    <t>Horazdovsky, Patrik; Svitek, Miroslav</t>
  </si>
  <si>
    <t>Dynamic Service of Public Transport in Smart City and Region</t>
  </si>
  <si>
    <t>2017 SMART CITY SYMPOSIUM PRAGUE (SCSP)</t>
  </si>
  <si>
    <t>Smart City Symposium Prague (SCSP)</t>
  </si>
  <si>
    <t>MAY 25-26, 2017</t>
  </si>
  <si>
    <t>Public transport; mobile application; Smart City; dynamic service</t>
  </si>
  <si>
    <t>Smart City and Industry 4.0 are now frequently used terms to describe today's modern technology and systems, especially in the field of telematics. The aim of this paper is to provide an approach for evaluation of some smart city and industry 4.0 solution in public transport. The main topic is focused on public transport dynamic service in areas quite far from the city centre with using modern technology.</t>
  </si>
  <si>
    <t>[Horazdovsky, Patrik; Svitek, Miroslav] Czech Tech Univ, Fac Transportat Sci, Prague, Czech Republic</t>
  </si>
  <si>
    <t>Horazdovsky, P (corresponding author), Czech Tech Univ, Fac Transportat Sci, Prague, Czech Republic.</t>
  </si>
  <si>
    <t>Horažďovský, Patrik/0000-0003-4431-8179</t>
  </si>
  <si>
    <t>Project AIReasoning [CZ.02.1.01/0.0/0.0/15_003/0000466]; European Regional Development Fund; Student grant competition of Czech technical university in Prague [SGS17/107/OHK2/1T/16]</t>
  </si>
  <si>
    <t>Project AIReasoning; European Regional Development Fund(European Union (EU)); Student grant competition of Czech technical university in Prague</t>
  </si>
  <si>
    <t>This work was also supported by the Project AI&amp;Reasoning CZ.02.1.01/0.0/0.0/15_003/0000466 and the European Regional Development Fund and it was also supported by Student grant competition of Czech technical university in Prague SGS17/107/OHK2/1T/16</t>
  </si>
  <si>
    <t>978-1-5386-3825-5</t>
  </si>
  <si>
    <t>10.1109/SCSP.2017.7973858</t>
  </si>
  <si>
    <t>Computer Science, Artificial Intelligence; Computer Science, Interdisciplinary Applications; Urban Studies</t>
  </si>
  <si>
    <t>Computer Science; Urban Studies</t>
  </si>
  <si>
    <t>BK8QN</t>
  </si>
  <si>
    <t>WOS:000443416600032</t>
  </si>
  <si>
    <t>He, ML; Shen, JR; Wu, XH; Luo, JQ</t>
  </si>
  <si>
    <t>He, Meiling; Shen, Jiaren; Wu, Xiaohui; Luo, Jianqiang</t>
  </si>
  <si>
    <t>Logistics Space: A Literature Review from the Sustainability Perspective</t>
  </si>
  <si>
    <t>logistics space; sprawl; cluster; influencing factors; sustainability</t>
  </si>
  <si>
    <t>SUPPLY CHAIN MANAGEMENT; SPATIAL CONCENTRATION; LOCATIONAL DYNAMICS; REGIONAL LOGISTICS; FREIGHT TRANSPORT; SERVICE PROVIDERS; PARIS REGION; LAND-USE; ACCESSIBILITY; SPRAWL</t>
  </si>
  <si>
    <t>The acceleration of economic globalization and integration has led to a dramatic increase in the flow of goods worldwide and changes in the spatial location of logistics facilities. The location of logistics facilities affects not only the cost and efficiency of cargo transportation activities, but also the rational allocation of logistics resources. Recently, the two major perspectives of logistics space research-cluster (the concentration of logistics facilities and functions in geography) and sprawl (movement of facilities from the urban core to peripheral places) have received extensive attention from academia and policy makers. The evolution of logistics space is influenced by land prices, traffic accessibility, market demand, agglomeration advantages and government policies. The purpose of this study is to present a literature review of logistics space, including data sources, research methods as well as research theories, and to study the impact of logistics space from the perspective of sustainable development. The research results provide some reference for logistics space researchers and logistics facility planners, and play a role in formulating new logistics development strategies and promoting the sustainable development of logistics.</t>
  </si>
  <si>
    <t>[He, Meiling; Shen, Jiaren; Wu, Xiaohui] Jiangsu Univ, Sch Automobile &amp; Traff Engn, Zhenjiang 212013, Peoples R China; [Luo, Jianqiang] Jiangsu Univ, Sch Management, Zhenjiang 212013, Peoples R China</t>
  </si>
  <si>
    <t>Jiangsu University; Jiangsu University</t>
  </si>
  <si>
    <t>He, ML (corresponding author), Jiangsu Univ, Sch Automobile &amp; Traff Engn, Zhenjiang 212013, Peoples R China.</t>
  </si>
  <si>
    <t>hemeiling@ujs.edu.cn; shenjiarenujs@163.com; wuxiaohui@ujs.edu.cn; luojianqiang@ujs.edu.cn</t>
  </si>
  <si>
    <t>He, Meiling/0000-0002-2144-8520</t>
  </si>
  <si>
    <t>Natural Science Foundation of Jiangsu Province [BK20160512]; Humanity and Social Science Youth foundation of Ministry of Education of China [16YJCZH027]; Social Science Foundation of Jiangsu Province [15GLC004]; National Natural Science Foundation of China [71772080]</t>
  </si>
  <si>
    <t>Natural Science Foundation of Jiangsu Province(Natural Science Foundation of Jiangsu Province); Humanity and Social Science Youth foundation of Ministry of Education of China; Social Science Foundation of Jiangsu Province; National Natural Science Foundation of China(National Natural Science Foundation of China (NSFC))</t>
  </si>
  <si>
    <t>This research was supported by the Natural Science Foundation of Jiangsu Province, (Grants No BK20160512), the Humanity and Social Science Youth foundation of Ministry of Education of China, (Grants No 16YJCZH027), the Social Science Foundation of Jiangsu Province, (Grants No 15GLC004), the National Natural Science Foundation of China, (Grant No. 71772080).</t>
  </si>
  <si>
    <t>10.3390/su10082815</t>
  </si>
  <si>
    <t>GW3CI</t>
  </si>
  <si>
    <t>WOS:000446767700231</t>
  </si>
  <si>
    <t>Sun, H; Fang, HX; Ji, LY</t>
  </si>
  <si>
    <t>Sun, Hui; Fang, Huixing; Ji, Lanyang</t>
  </si>
  <si>
    <t>Performance Modeling and Analysis for Traffic Path Guidance System</t>
  </si>
  <si>
    <t>2018 CROSS STRAIT QUAD-REGIONAL RADIO SCIENCE AND WIRELESS TECHNOLOGY CONFERENCE (CSQRWC)</t>
  </si>
  <si>
    <t>Cross Strait Quad-Regional Radio Science and Wireless Technology Conference (CSQRWC)</t>
  </si>
  <si>
    <t>JUL 21-24, 2018</t>
  </si>
  <si>
    <t>Xuzhou, PEOPLES R CHINA</t>
  </si>
  <si>
    <t>ITS; TPGS; PEPA; Performance Evaluation</t>
  </si>
  <si>
    <t>With the rapid development of economic and the acceleration of urbanization, traffic problems in China are very prominent. Moreover, the advent of the information era has accelerated the development of Internet of Thing (IoT). For purpose of improving the current situation of urban transport, and in the context of rapid development of IoT, intelligent transportation system (ITS) has received extensive attention. Traffic path guidance system (TPGS) is an important research field of ITS, which improves the traffic condition of road network by guiding user's travel behaviors, and ultimately realizes the reasonable distribution of traffic flow in each section of road network. In this paper, we adopt Performance Evaluation Process Algebra (PEPA) to model the process of path guidance in TPGS, and analyze performance indexes on the response time of the model by simulation method.</t>
  </si>
  <si>
    <t>[Sun, Hui; Fang, Huixing; Ji, Lanyang] Yangzhou Univ, Sch Informat Engn, Yangzhou 225000, Jiangsu, Peoples R China</t>
  </si>
  <si>
    <t>Yangzhou University</t>
  </si>
  <si>
    <t>Sun, H (corresponding author), Yangzhou Univ, Sch Informat Engn, Yangzhou 225000, Jiangsu, Peoples R China.</t>
  </si>
  <si>
    <t>SunHuiFREE@163.com</t>
  </si>
  <si>
    <t>National Natural Science Foundation of China [61472343]</t>
  </si>
  <si>
    <t>The authors acknowledge the financial support by the National Natural Science Foundation of China under Grant No. 61472343.</t>
  </si>
  <si>
    <t>978-1-5386-6423-0</t>
  </si>
  <si>
    <t>BL0JJ</t>
  </si>
  <si>
    <t>WOS:000446004100145</t>
  </si>
  <si>
    <t>Djokic, V; Krstic, V; trajkovic, JR</t>
  </si>
  <si>
    <t>Chova, LG; Martinez, AL; Torres, IC</t>
  </si>
  <si>
    <t>Djokic, V; Krstic, V; trajkovic, J. Ristic</t>
  </si>
  <si>
    <t>THE SMART CITY CONCEPT IN DESIGN EDUCATION AND RESEARCH</t>
  </si>
  <si>
    <t>11TH INTERNATIONAL CONFERENCE OF EDUCATION, RESEARCH AND INNOVATION (ICERI2018)</t>
  </si>
  <si>
    <t>ICERI Proceedings</t>
  </si>
  <si>
    <t>11th Annual International Conference of Education, Research and Innovation (ICERI)</t>
  </si>
  <si>
    <t>NOV 12-14, 2018</t>
  </si>
  <si>
    <t>Smart city concept; ICT; design teaching; sustainability; architectural and urban design</t>
  </si>
  <si>
    <t>Today's cities are often faced with complex and multifaceted urban problems calling for more flexibility in the approaches and proposed solutions. The concept of smart city is becoming increasingly used and beginning to include a variety of different spatial patterns of urban space. For this reason, implementation of innovative approaches relying on technology and smart concepts has surfaced as a promising and much needed solution. Such a situation encourages a divergent thinking engaged with both bottom up and up down methods of urban development. This paper deals with the potentials and benefits of using the smart city concept in architectural design education and research especially in student practical work in areas with particular architectural and historical values, character and atmosphere, where it is usually difficult and often highly problematic to intervene in standard modes of regeneration. The paper argues that smart solutions do not have to change the physical appearance of the environment, nor its character, in order to change and promote the way in which activities take place. It is also assumed that the application of the concept of smart city may be especially useful in urban areas with specific spatial authenticity and visual appearance, where there is a need for promoting the quality of life without affecting their spatial pattern and preserve their visual character. The paper presents the research of the possibilities of application the concept of smart cities in student research and design, especially as an experimental ground for exploring the possibilities of spatial improvement of specific urban areas through the use of smart technologies. The utilization of ICT (Information and Communication Technologies) in contemporary design education is both inevitable and necessary. The application of ICT is an initiative aimed at stimulating economic, environmental and social aspects of urban growth; however, as a substantial part of city economy it brings many dangers and negative aspects as well, making the smart city concept a frequent subject of criticism. This paper highlights the benefits of applying ICT in the context of creating better living conditions in urban areas and settlements which possess authentic historical character and ambience or in which there are no possibilities for the transformation of spatial structure. Accordingly, this approach is very important in education for sustainability in design disciplines. The students work reveals that the application of ICT solutions may significantly improve the quality of life, without disturbing the integrity of architectural expression and identity. Smart technologies are applied with the aim of promoting the community's sustainable growth, which is based on achieving economic and social sustainability and long-term management of environmental resources. Thus, discussing smart city concepts becomes one of the tools for realizing the goals of sustainable development.</t>
  </si>
  <si>
    <t>[Djokic, V; Krstic, V; trajkovic, J. Ristic] Univ Belgrade, Fac Architecture, Belgrade, Serbia</t>
  </si>
  <si>
    <t>Djokic, V (corresponding author), Univ Belgrade, Fac Architecture, Belgrade, Serbia.</t>
  </si>
  <si>
    <t>Djokic, Vladan/HGD-1097-2022; Ristic Trajkovic, Jelena/ADP-7058-2022; Krstic, Verica/KHV-4777-2024</t>
  </si>
  <si>
    <t>Swiss National Science Foundation [JRP/IP IZ73Z0_152599]; Ministry of Education and Science of the Republic of Serbia [43007, TR36034]</t>
  </si>
  <si>
    <t>Swiss National Science Foundation(Swiss National Science Foundation (SNSF)); Ministry of Education and Science of the Republic of Serbia(Ministry of Education, Science &amp; Technological Development, Serbia)</t>
  </si>
  <si>
    <t>The research was conducted within the project JRP/IP IZ73Z0_152599 `Smart and creative cities for knowledge-based societies' funded by The Swiss National Science Foundation. Also, part of the research is conducted within the projects `Studying climate change and its influence on the environment: impacts, adaptation and mitigation' (43007) and `Research and systematization of housing development in Serbia in the context of globalization and European integrations for the purpose of improving housing quality and standards' (TR36034), financed by the Ministry of Education and Science of the Republic of Serbia for the period 2011-2018.</t>
  </si>
  <si>
    <t>IATED-INT ASSOC TECHNOLOGY EDUCATION &amp; DEVELOPMENT</t>
  </si>
  <si>
    <t>VALENICA</t>
  </si>
  <si>
    <t>LAURI VOLPI 6, VALENICA, BURJASSOT 46100, SPAIN</t>
  </si>
  <si>
    <t>2340-1095</t>
  </si>
  <si>
    <t>978-84-09-05948-5</t>
  </si>
  <si>
    <t>ICERI PROC</t>
  </si>
  <si>
    <t>Education &amp; Educational Research</t>
  </si>
  <si>
    <t>BP9DJ</t>
  </si>
  <si>
    <t>WOS:000568991702034</t>
  </si>
  <si>
    <t>Jiang, LL</t>
  </si>
  <si>
    <t>Jiang Lingli</t>
  </si>
  <si>
    <t>Smart city, Smart transportation-Recommendations of the logistics platform construction</t>
  </si>
  <si>
    <t>2015 INTERNATIONAL CONFERENCE ON INTELLIGENT TRANSPORTATION, BIG DATA AND SMART CITY (ICITBS)</t>
  </si>
  <si>
    <t>International Conference on Intelligent Transportation, Big Data and Smart City (ICITBS)</t>
  </si>
  <si>
    <t>DEC 19-20, 2015</t>
  </si>
  <si>
    <t>Vietnam, AUSTRIA</t>
  </si>
  <si>
    <t>Transportation; Low efficiency; Smart; Platform</t>
  </si>
  <si>
    <t>Smart transportation is one aspect of the smart city. Because the low efficiency, the transportation has became the second largest industry of carbon emissions. It's not only affect the smart transportation, but also affect the smart environment. So, improve the efficiency of the transportation is very important to the smart transportation and smart city. The logistics platform is a new business model, which can be improve the un-load rate and decrease the carbon emissions. But, the logistics platforms are at the early development. How to build is a very important issue. This paper has given three suggestions to it. Firstly, to clarify the roles what you will to be; secondly, to choose the model of the platform which fit for your company; thirdly, using an iterative development model to design the product.</t>
  </si>
  <si>
    <t>[Jiang Lingli] China Merchants Grp Postdoctoral Shenzhen, Shenzhen 518003, Peoples R China</t>
  </si>
  <si>
    <t>Jiang, LL (corresponding author), China Merchants Grp Postdoctoral Shenzhen, Shenzhen 518003, Peoples R China.</t>
  </si>
  <si>
    <t>185579548@qq.com</t>
  </si>
  <si>
    <t>978-1-5090-0464-5</t>
  </si>
  <si>
    <t>10.1109/ICITBS.2015.184</t>
  </si>
  <si>
    <t>BG0AY</t>
  </si>
  <si>
    <t>WOS:000386103000178</t>
  </si>
  <si>
    <t>Dablanc, L; Ross, C</t>
  </si>
  <si>
    <t>Dablanc, Laetitia; Ross, Catherine</t>
  </si>
  <si>
    <t>Atlanta: a mega logistics center in the Piedmont Atlantic Megaregion (PAM)</t>
  </si>
  <si>
    <t>Logistics sprawl; Warehouse geography; Megaregions; Freight planning; Regional planning</t>
  </si>
  <si>
    <t>DYNAMICS; REGIONS; SPRAWL; LAND</t>
  </si>
  <si>
    <t>This paper looks at spatial patterns of freight and logistics activities and the planning and policy issues associated with them. Two important characteristics of the geography of the logistics industry are analyzed: (1) Logistics sprawl, i.e. the spatial deconcentration of logistics facilities and distribution centers in metropolitan areas, and (2) the polarization of logistics activities, i.e. the concentration of logistics activities in very large metropolitan areas. The paper focuses on Atlanta, one of the largest metropolitan areas in the United States (US). Like other very large cities in the US, in recent years logistics activities have increased considerably in Atlanta. The paper also examines the Piedmont Atlantic Megaregion (PAM), which has a total population of 15 million and includes Birmingham, Atlanta, Raleigh-Durham and Charlotte. PAM contains many distribution centers with a national and international market area, and is one of the country's fastest growing locations for logistics hubs. The megaregion concept is particularly well-suited to the analysis of freight transport systems, because freight transport's market areas, driven by global supply chains, are largely disconnected from a single city and spatially organized on a regional and multicity basis. Another focus of the paper is the question of planning for a more efficient locational pattern of freight facilities across metropolitan areas and within megaregions. Local governments compete for jobs and activities that generate tax revenues, and logistics has become a significant activity for many US metropolitan areas. The megaregion concept can contribute to a more collaborative regional planning approach. (C) 2012 Elsevier Ltd. All rights reserved.</t>
  </si>
  <si>
    <t>[Dablanc, Laetitia] IFSTTAR SPLOTT, F-93166 Paris Noisy Le Grand, France; [Ross, Catherine] Georgia Inst Technol, Ctr Qual Growth &amp; Reg Dev, Atlanta, GA 30308 USA</t>
  </si>
  <si>
    <t>Universite Gustave-Eiffel; University System of Georgia; Georgia Institute of Technology</t>
  </si>
  <si>
    <t>Dablanc, L (corresponding author), IFSTTAR SPLOTT, 2 Rue Butte Verte, F-93166 Paris Noisy Le Grand, France.</t>
  </si>
  <si>
    <t>laetitia.dablanc@ifsttar.fr; catherine.ross@coa.gatech.edu</t>
  </si>
  <si>
    <t>dablanc, laetitia/0000-0002-5225-4438</t>
  </si>
  <si>
    <t>10.1016/j.jtrangeo.2012.05.001</t>
  </si>
  <si>
    <t>016BY</t>
  </si>
  <si>
    <t>WOS:000309493500040</t>
  </si>
  <si>
    <t>Ndhaief, N; Bistorin, O; Rezg, N</t>
  </si>
  <si>
    <t>Framinan, JM; Gonzalez, PP; Artiba, A</t>
  </si>
  <si>
    <t>Ndhaief, Nadia; Bistorin, Olivier; Rezg, Nidhal</t>
  </si>
  <si>
    <t>Problem Analysis of Logistic Platform based on Combined Forward and Reverse Flows: a Case Study</t>
  </si>
  <si>
    <t>2015 INTERNATIONAL CONFERENCE ON INDUSTRIAL ENGINEERING AND SYSTEMS MANAGEMENT (IESM)</t>
  </si>
  <si>
    <t>International Conference on Industrial Engineering and Systems Management</t>
  </si>
  <si>
    <t>OCT 21-23, 2015</t>
  </si>
  <si>
    <t>Urban logistic; logistic platform; reverse logistic; reverse flow</t>
  </si>
  <si>
    <t>In this paper, we present the deployment of logistic platforms and analyze their issues. This proposal is motivated by the emergent need of modern cities to have an appropriate infrastructure with functional, ecological, technical and geographical features for the optimization of urban transit of goods. Nevertheless, existing solutions for logistics platforms require a big investment in terms of investment and operational cost. This presents a drawback when dealing with budget's restrictions. To that end, we present an experiment of logistic platform solutions supporting urban freight distribution based on real scenario in Metz city (France). Based on the experiment feedback, we propose a mixed approach using reverse logistics as a solution to cover logistic platform cost. Moreover, we discuss the integration of such approach to create benefits for logistic platforms.</t>
  </si>
  <si>
    <t>[Ndhaief, Nadia; Bistorin, Olivier; Rezg, Nidhal] Univ Lorraine Ile de Saulcy, LGIPM, F-57000 Metz, France</t>
  </si>
  <si>
    <t>Universite de Lorraine</t>
  </si>
  <si>
    <t>Ndhaief, N (corresponding author), Univ Lorraine Ile de Saulcy, LGIPM, F-57000 Metz, France.</t>
  </si>
  <si>
    <t>nadia.ndhaief@univ-lorraine.fr; olivier.bistorin@univ-lorraine.fr; nidhal.rezg@univ-lorraine.fr</t>
  </si>
  <si>
    <t>BISTORIN, Olivier/0000-0001-7351-9039</t>
  </si>
  <si>
    <t>978-2-9600532-6-5</t>
  </si>
  <si>
    <t>BF2CD</t>
  </si>
  <si>
    <t>WOS:000380454700072</t>
  </si>
  <si>
    <t>Schilk, G; Seemann, L</t>
  </si>
  <si>
    <t>Papaioannou, P</t>
  </si>
  <si>
    <t>Schilk, Gerhard; Seemann, Lukas</t>
  </si>
  <si>
    <t>Use of ITS technologies for multimodal transport operations - River Information Services (RIS) transport logistics services</t>
  </si>
  <si>
    <t>TRANSPORT RESEARCH ARENA 2012</t>
  </si>
  <si>
    <t>Conference on Transport Research Arena</t>
  </si>
  <si>
    <t>APR 23-26, 2012</t>
  </si>
  <si>
    <t>Athens, GREECE</t>
  </si>
  <si>
    <t>Inland Navigation; Inland Waterway Transport (IWT); River Information Services (RIS); Intelligent Transport Systems (ITS); Information and Communication Technologies (ICT); multimodal transport; interoperability</t>
  </si>
  <si>
    <t>Interoperable and interconnected solutions for the next generation of multimodal transport management and information systems are the ultimate objectives of both the European transport logistics operators and of the European Commission. In the field of Inland Navigation River information Services (RIS) is the corresponding Intelligent Transport System (ITS) primarily addressing administrative services. However, traffic information can also generate benefits for commercial stakeholders of the European transport and logistics sector by improving transport planning and management processes along multimodal transport chains. (C) 2012 Published by Elsevier Ltd. Selection and/or peer review under responsibility of the Programme Committee of the Transport Research Arena 2012</t>
  </si>
  <si>
    <t>[Schilk, Gerhard; Seemann, Lukas] Osterreich Wasserstr Gesell MbH, A-1220 Vienna, Austria</t>
  </si>
  <si>
    <t>Schilk, G (corresponding author), Osterreich Wasserstr Gesell MbH, A-1220 Vienna, Austria.</t>
  </si>
  <si>
    <t>gerhard.schilk@via-donau.org</t>
  </si>
  <si>
    <t>10.1016/j.sbspro.2012.06.1040</t>
  </si>
  <si>
    <t>BDO55</t>
  </si>
  <si>
    <t>WOS:000314227500059</t>
  </si>
  <si>
    <t>Zhao, Y</t>
  </si>
  <si>
    <t>Liu, C; Cheung, KS</t>
  </si>
  <si>
    <t>Zhao, Yu</t>
  </si>
  <si>
    <t>Research on Regional Logistics Integration of Wuhan City Circle under the Background of Big Data</t>
  </si>
  <si>
    <t>PROCEEDINGS OF THE 2017 INTERNATIONAL CONFERENCE ON MANAGEMENT, EDUCATION AND SOCIAL SCIENCE (ICMESS 2017)</t>
  </si>
  <si>
    <t>Advances in Social Science Education and Humanities Research</t>
  </si>
  <si>
    <t>International Conference on Management, Education and Social Science (ICMESS)</t>
  </si>
  <si>
    <t>JUN 23-25, 2017</t>
  </si>
  <si>
    <t>Qingdao, PEOPLES R CHINA</t>
  </si>
  <si>
    <t>Big data; Wuhan City Circle; Logistics Integration</t>
  </si>
  <si>
    <t>Wuhan city circle refers to the city circle which is made up of various prefecture cities with the radius of 100 kilometers around the center of Wuhan. The establishment of efficient Wuhan city circle regional logistics integration system can promote the coordinated development of the urban circle, and adjust the industrial structure, and reduce the logistics costs. In Wuhan city circle the e-commerce rises rapidly in this internet era, the big data technology for Wuhan city circle regional logistics integration system construction, development and innovation has very important application value. Relying on the use of big data technology optimizes Wuhan city circle regional logistics integration of cyber source configuration, and forms Wuhan city circle mutual integration, reduces costs effectively and improves logistics efficiency, realizes the target of regional logistics integration in Wuhan city circle.</t>
  </si>
  <si>
    <t>[Zhao, Yu] Hubei Finance &amp; Taxat Coll, Dept Business Adm, Wuhan 430064, Hubei, Peoples R China</t>
  </si>
  <si>
    <t>Zhao, Y (corresponding author), Hubei Finance &amp; Taxat Coll, Dept Business Adm, Wuhan 430064, Hubei, Peoples R China.</t>
  </si>
  <si>
    <t>2352-5398</t>
  </si>
  <si>
    <t>978-94-6252-348-7</t>
  </si>
  <si>
    <t>ADV SOC SCI EDUC HUM</t>
  </si>
  <si>
    <t>BI9GX</t>
  </si>
  <si>
    <t>WOS:000416086100102</t>
  </si>
  <si>
    <t>He, JD</t>
  </si>
  <si>
    <t>Lee, G</t>
  </si>
  <si>
    <t>He, Jidong</t>
  </si>
  <si>
    <t>The Restricted Factors of Hub-Model Economy Development and Proposals-An Example from China</t>
  </si>
  <si>
    <t>2016 5TH EEM INTERNATIONAL CONFERENCE ON PUBLIC ADMINISTRATION &amp; MANAGEMENT (EEM-PAM 2016)</t>
  </si>
  <si>
    <t>Advances in Education Research</t>
  </si>
  <si>
    <t>Chinese</t>
  </si>
  <si>
    <t>5th EEM International Conference on Public Administration and Management (EEM-PAM 2016)</t>
  </si>
  <si>
    <t>DEC 20-21, 2016</t>
  </si>
  <si>
    <t>Nadi, FIJI</t>
  </si>
  <si>
    <t>Restricted factors; Hub economy proposals</t>
  </si>
  <si>
    <t>The low level of hub economy function lies in the low level of industrialization, the surrounding undeveloped economy, regional competition and the traditional model of logistics. The proposals lie in promoting economic development hub to strengthen infrastructure, vigorously creating city brand; Making industrial cluster. At the same time the integration of regional logistics industry, logistics and international logistics industry development characteristics, building efficient logistics system is necessary.</t>
  </si>
  <si>
    <t>[He, Jidong] Shangqiu Normal Univ, Econ &amp; Management Dept, Shangqiu, Peoples R China</t>
  </si>
  <si>
    <t>Shangqiu Normal University</t>
  </si>
  <si>
    <t>He, JD (corresponding author), Shangqiu Normal Univ, Econ &amp; Management Dept, Shangqiu, Peoples R China.</t>
  </si>
  <si>
    <t>hejidong2005@126.com</t>
  </si>
  <si>
    <t>INFORMATION ENGINEERING RESEARCH INST, USA</t>
  </si>
  <si>
    <t>NEWARK</t>
  </si>
  <si>
    <t>100 CONTINENTAL DR, NEWARK, DE 19713 USA</t>
  </si>
  <si>
    <t>2160-1070</t>
  </si>
  <si>
    <t>978-1-61275-504-5</t>
  </si>
  <si>
    <t>ADV EDUC RES</t>
  </si>
  <si>
    <t>BH1BW</t>
  </si>
  <si>
    <t>WOS:000397677300024</t>
  </si>
  <si>
    <t>Tan, XY</t>
  </si>
  <si>
    <t>Zhang, H</t>
  </si>
  <si>
    <t>Tan, Xiaoya</t>
  </si>
  <si>
    <t>Integration of Beijing, Tianjin, Hebei and Efficient City Construction-Public Logistics Vehicles to Solve Distribution Problems</t>
  </si>
  <si>
    <t>2016 6TH INTERNATIONAL CONFERENCE ON EDUCATION AND SPORTS EDUCATION (ESE 2016), PT 2</t>
  </si>
  <si>
    <t>Lecture Notes in Management Science</t>
  </si>
  <si>
    <t>6th International Conference on Education and Sports Education (ESE 2016)</t>
  </si>
  <si>
    <t>MAR 22-23, 2016</t>
  </si>
  <si>
    <t>Kuala Lumpur, MALAYSIA</t>
  </si>
  <si>
    <t>Beijing; Tianjin Logistics Delivery</t>
  </si>
  <si>
    <t>Beijing, Tianjin region is one of the most promising areas of economic development, but also one of the busiest areas of logistics. Beijing, the capital advantage is very prominent in various fields, the number of cargo throughput very much; Tianjin as the largest northern port city, its logistics throughput can imagine, and as Hebei surrounds Beijing and Tianjin, its economy is based in the Beijing-Tianjin region, the logistics is also very prosperous, but even logistics prosperity, but there have been many problems. We solve these problems by means of innovative distribution model and optimization path.</t>
  </si>
  <si>
    <t>[Tan, Xiaoya] North China Elect Power Univ, Econ &amp; Management, Baoding, Hebei, Peoples R China</t>
  </si>
  <si>
    <t>North China Electric Power University</t>
  </si>
  <si>
    <t>Tan, XY (corresponding author), North China Elect Power Univ, Econ &amp; Management, Baoding, Hebei, Peoples R China.</t>
  </si>
  <si>
    <t>1581227198@qq.com</t>
  </si>
  <si>
    <t>SINGAPORE MANAGEMENT &amp; SPORTS SCIENCE INST PTE LTD</t>
  </si>
  <si>
    <t>8 TEMASEK BOULEVARD # 34-03 SUNTEC TOWER THREE, SINGAPORE, 038988, SINGAPORE</t>
  </si>
  <si>
    <t>2251-3051</t>
  </si>
  <si>
    <t>978-981-09-7911-9</t>
  </si>
  <si>
    <t>LECT N MANAG SCI</t>
  </si>
  <si>
    <t>Education &amp; Educational Research; Hospitality, Leisure, Sport &amp; Tourism; Management</t>
  </si>
  <si>
    <t>Education &amp; Educational Research; Social Sciences - Other Topics; Business &amp; Economics</t>
  </si>
  <si>
    <t>BF9TR</t>
  </si>
  <si>
    <t>WOS:000385897700093</t>
  </si>
  <si>
    <t>Janecki, R</t>
  </si>
  <si>
    <t>Mikulski, J</t>
  </si>
  <si>
    <t>Janecki, Ryszard</t>
  </si>
  <si>
    <t>Telematics in Sustainability of Urban Mobility in Silesian Agglomerations</t>
  </si>
  <si>
    <t>CHALLENGE OF TRANSPORT TELEMATICS, TST 2016</t>
  </si>
  <si>
    <t>16th International Conference on Transport Systems Telematics (TST)</t>
  </si>
  <si>
    <t>MAR 16-19, 2016</t>
  </si>
  <si>
    <t>Katowice Ustron, POLAND</t>
  </si>
  <si>
    <t>Objectives of sustainable mobility; Urban agglomeration; Intelligent transportation systems ITS; Transport telematics; Challenges of urban mobility; Concept of ITS</t>
  </si>
  <si>
    <t>CITIES; MODEL</t>
  </si>
  <si>
    <t>Positive importance of a modernized and sustainable urban transport for the development of cities and agglomerations of the region is a key prerequisite to intensify activities to improve the sustainability of users of transport systems. Shaping contemporary balanced as much as possible urban transport systems in the region, should take advantage of the opportunities created by the solutions of the Intelligent Transport Systems (ITS). The considerations contained in the article confirms the importance of telematics as one means of sustainability of urban mobility.</t>
  </si>
  <si>
    <t>[Janecki, Ryszard] Univ Econ Katowice, 1 Maja 50, PL-40287 Katowice, Poland</t>
  </si>
  <si>
    <t>Janecki, R (corresponding author), Univ Econ Katowice, 1 Maja 50, PL-40287 Katowice, Poland.</t>
  </si>
  <si>
    <t>ryszard.janecki@ue.katowice.pl</t>
  </si>
  <si>
    <t>Janecki, Ryszard/S-8998-2018</t>
  </si>
  <si>
    <t>Janecki, Ryszard/0000-0001-8782-4165</t>
  </si>
  <si>
    <t>SPRINGER INT PUBLISHING AG</t>
  </si>
  <si>
    <t>978-3-319-49646-7; 978-3-319-49645-0</t>
  </si>
  <si>
    <t>10.1007/978-3-319-49646-7_28</t>
  </si>
  <si>
    <t>BH3QZ</t>
  </si>
  <si>
    <t>WOS:000399946300028</t>
  </si>
  <si>
    <t>Li, ZJ; Zhang, WJ</t>
  </si>
  <si>
    <t>DEStech Publicat Inc</t>
  </si>
  <si>
    <t>Li, Zhengjun; Zhang, Wenjie</t>
  </si>
  <si>
    <t>Research on Collaborative Solution Path of the Last-Mile Issue</t>
  </si>
  <si>
    <t>2015 INTERNATIONAL CONFERENCE ON COMPUTATIONAL SCIENCE AND ENGINEERING APPLICATIONS (CSEA 2015)</t>
  </si>
  <si>
    <t>International Conference on Computational Science and Engineering Applications (CSEA)</t>
  </si>
  <si>
    <t>DEC 26-27, 2015</t>
  </si>
  <si>
    <t>Sanya, PEOPLES R CHINA</t>
  </si>
  <si>
    <t>E-commerce Logistics; Local Distribution; Urban Public Transport System; Collaborative Solution Path; the Last-Mile Issue</t>
  </si>
  <si>
    <t>Both of the urban public transport system and local logistics distribution can be collaborative developed in E-business circumstance. We should conscientiously do a good job of collaborative design from the three aspects of organization, business processes and information, and establish and perfect the public information platform, to improve integration level of logistics management, to be more careful with resources and reduce logistics cost. At last, the whole service level of the E-commerce logistics can be achieved and the Last-Mile issue in city distribution can be solved.</t>
  </si>
  <si>
    <t>[Li, Zhengjun; Zhang, Wenjie] Hunan Univ Technol, Inst Logist Engn, Zhuzhou 412007, Hunan, Peoples R China</t>
  </si>
  <si>
    <t>Hunan University of Technology</t>
  </si>
  <si>
    <t>Li, ZJ (corresponding author), Hunan Univ Technol, Inst Logist Engn, Zhuzhou 412007, Hunan, Peoples R China.</t>
  </si>
  <si>
    <t>381565812@qq.com; 775795687@qq.com</t>
  </si>
  <si>
    <t>978-1-60595-296-3</t>
  </si>
  <si>
    <t>BF1BQ</t>
  </si>
  <si>
    <t>WOS:000380291000100</t>
  </si>
  <si>
    <t>Yuan, SY</t>
  </si>
  <si>
    <t>Mao, E; Xu, LL; Tian, W</t>
  </si>
  <si>
    <t>Yuan Shiyu</t>
  </si>
  <si>
    <t>Structure Analysis of Logistics and Transport Information Platform Based on GPS/GIS</t>
  </si>
  <si>
    <t>EMERGING COMPUTATION AND INFORMATION TECHNOLOGIES FOR EDUCATION</t>
  </si>
  <si>
    <t>Advances in Intelligent and Soft Computing</t>
  </si>
  <si>
    <t>International Conference on Emerging Computation and Information teChnologies for Education (ECICE 2012)</t>
  </si>
  <si>
    <t>JAN 15-16, 2012</t>
  </si>
  <si>
    <t>Hangzhou, PEOPLES R CHINA</t>
  </si>
  <si>
    <t>GPS; GIS; logistics information; transport; information platform; System Architecture</t>
  </si>
  <si>
    <t>Transport is the main bearer of the logistics function, in the whole logistics system, its main function is to transport goods to achieve spatial displacement, namely, the achievement of goods space-efficient. GPS/GIS technology in the logistics industry is mainly reflected in the transport sectors, with the GPS/GIS technology, can provide location-based services to logistics and transport related information, logistics and transportation for the rational and efficient management to provide strong technical support. This point of focus from the system analysis and elaboration based on GPS/GIS logistics information platform to build the framework, system design and implementation issues.</t>
  </si>
  <si>
    <t>Guangxi Technol Coll Machinery &amp; Elect, Nanning, Peoples R China</t>
  </si>
  <si>
    <t>Yuan, SY (corresponding author), Guangxi Technol Coll Machinery &amp; Elect, Nanning, Peoples R China.</t>
  </si>
  <si>
    <t>1867-5662</t>
  </si>
  <si>
    <t>978-3-642-28465-6</t>
  </si>
  <si>
    <t>ADV INTEL SOFT COMPU</t>
  </si>
  <si>
    <t>BCL52</t>
  </si>
  <si>
    <t>WOS:000310561900021</t>
  </si>
  <si>
    <t>Lv, B</t>
  </si>
  <si>
    <t>SCI RES PUBL</t>
  </si>
  <si>
    <t>Lv Bo</t>
  </si>
  <si>
    <t>The Empirical Analysis and the Theoretical Analysis on Logistics Channel</t>
  </si>
  <si>
    <t>EBM 2010: INTERNATIONAL CONFERENCE ON ENGINEERING AND BUSINESS MANAGEMENT, VOLS 1-8</t>
  </si>
  <si>
    <t>International Conference on Engineering and Business Management</t>
  </si>
  <si>
    <t>MAR 25-27, 2010</t>
  </si>
  <si>
    <t>Chengdu, PEOPLES R CHINA</t>
  </si>
  <si>
    <t>Logistics channel; Western region; Logistics Park; Empirical analysis</t>
  </si>
  <si>
    <t>According to the realities of western region's logistics, the paper puts forward the concept of logistics channels in an innovative manner, studies the methods of calculating, and provides the empirical analysis based on the logistics park in Guilin. The paper's study results show that it should provide more space for development to depend on the Logistics channel if the traffic conditions are very favorable for the city in western region.</t>
  </si>
  <si>
    <t>[Lv Bo] Beijing Wuzi Univ, Sch Business, Beijing 101149, Peoples R China</t>
  </si>
  <si>
    <t>lubopc2003@yahoo.com.cn</t>
  </si>
  <si>
    <t>978-1-935068-05-1</t>
  </si>
  <si>
    <t>BOB05</t>
  </si>
  <si>
    <t>WOS:000276079501048</t>
  </si>
  <si>
    <t>Zhang, XY; Zhang, Y</t>
  </si>
  <si>
    <t>Zhang, Xiuyuan; Zhang, Ying</t>
  </si>
  <si>
    <t>Systems Methodology and Models for The TPL Organization in Extend Beijing Region</t>
  </si>
  <si>
    <t>IEEE/SOLI'2008: PROCEEDINGS OF 2008 IEEE INTERNATIONAL CONFERENCE ON SERVICE OPERATIONS AND LOGISTICS, AND INFORMATICS, VOLS 1 AND 2</t>
  </si>
  <si>
    <t>IEEE International Conference on Service Operations and Logistics and Informatics</t>
  </si>
  <si>
    <t>OCT 12-15, 2008</t>
  </si>
  <si>
    <t>Beijing Jiaoton Univ, Beijing, PEOPLES R CHINA</t>
  </si>
  <si>
    <t>Beijing Jiaoton Univ</t>
  </si>
  <si>
    <t>the third party logistics; bi-level programming; collection and distribution system</t>
  </si>
  <si>
    <t>LOCATION</t>
  </si>
  <si>
    <t>Application of Intelligent transportation system in information management has got much progress, it makes people much rely on traffic, logistic information service. In this paper we introduces a design of function of third part logistics virtual enterprise information management (TPL-VEIM) in urban clusters, and take the third part logistics enterprise organization of Beijing-tianjin and some cities in hebei province, called Extend-Beijing Region (BTHR) for example. After the discussion on recently study trend in systems science, the systems methodology for knowledge and logistics organization management of TPL-VEIM is proposed in order to form TPL in urban clusters. Finally, we sum up the organization negotiation and human knowledge management model in the BTRH.</t>
  </si>
  <si>
    <t>[Zhang, Xiuyuan; Zhang, Ying] Beijing Jiaotong Univ, Sch Traff &amp; Transportat, Beijing 100044, Peoples R China</t>
  </si>
  <si>
    <t>Zhang, XY (corresponding author), Beijing Jiaotong Univ, Sch Traff &amp; Transportat, Beijing 100044, Peoples R China.</t>
  </si>
  <si>
    <t>zhangxiuyuan@jtys.bjtu.edu.cn; ysxt2001@163.com</t>
  </si>
  <si>
    <t>978-1-4244-2012-4</t>
  </si>
  <si>
    <t>10.1109/SOLI.2008.4683016</t>
  </si>
  <si>
    <t>Engineering, Electrical &amp; Electronic; Operations Research &amp; Management Science</t>
  </si>
  <si>
    <t>BIL58</t>
  </si>
  <si>
    <t>WOS:000260563001255</t>
  </si>
  <si>
    <t>Hwang, HS; Kim, HG</t>
  </si>
  <si>
    <t>Liu, L; Zhao, X; Gen, M; Li, L; Li, Y</t>
  </si>
  <si>
    <t>Hwang, Heung-Suk; Kim, Ho Gyun</t>
  </si>
  <si>
    <t>Location-based logistics system using 3-D GIS</t>
  </si>
  <si>
    <t>Proceedings of the Third International Conference on Information and Management Sciences</t>
  </si>
  <si>
    <t>Series of Information and Management Sciences</t>
  </si>
  <si>
    <t>3rd International Conference on Information and Management Science</t>
  </si>
  <si>
    <t>JUN 05-10, 2004</t>
  </si>
  <si>
    <t>Dunhuang, PEOPLES R CHINA</t>
  </si>
  <si>
    <t>3-d GIS; GIS-Logistics; vehicle routing model; e-logistics</t>
  </si>
  <si>
    <t>Recently, a new trend of considering GIS, geographical information system becomes one of the evident area of important points in logistics/SCM system design. Since the process layout on logistics includes geo-referenced spatial data. GIS can be strongly offered among the information on systems for the management of process by taking constructive solution approaches to controlling the logistics problems. This paper provides an overview on GIS interacted location-based Logistics/SCM especially in following areas: 1) New paradigm of logistics/SCM, 2) Customer aided logistics system, 3)) New 3-D GIS based delivery and tracking system, 4) Comparative research on vehicle routing model based on various distances, lp-distance, GIS distance, 3-b GIS-based Logistics. We developed a GUI-type- computer program and have shown the computational results. It was known that the proposed method is very effective on a set of test problems.</t>
  </si>
  <si>
    <t>Dong Eui Univ, Dept Informat &amp; Ind Engn, Pusan 614714, South Korea</t>
  </si>
  <si>
    <t>Dong-Eui University</t>
  </si>
  <si>
    <t>Hwang, HS (corresponding author), Dong Eui Univ, Dept Informat &amp; Ind Engn, Gaya Dong San 24, Pusan 614714, South Korea.</t>
  </si>
  <si>
    <t>CALIFORNIA POLYTECHNIC STATE UNIV</t>
  </si>
  <si>
    <t>SAN LUIS OBISPO</t>
  </si>
  <si>
    <t>CAL POLY, SAN LUIS OBISPO, CA 93407 USA</t>
  </si>
  <si>
    <t>1539-2023</t>
  </si>
  <si>
    <t>SER INF MANAGE SCI</t>
  </si>
  <si>
    <t>BEI21</t>
  </si>
  <si>
    <t>WOS:000237307500057</t>
  </si>
  <si>
    <t>Li, YS; Xiong, Q</t>
  </si>
  <si>
    <t>Zhang, R; Zhang, Z; Liu, K; Zhang, J</t>
  </si>
  <si>
    <t>Li, Yisong; Xiong, Qian</t>
  </si>
  <si>
    <t>The Road Network Optimization of Logistics Hub Based on the Interactions Between Logistics and City Development</t>
  </si>
  <si>
    <t>LISS 2013</t>
  </si>
  <si>
    <t>3rd International Conference on Logistics, Informatics and Service Science (LISS)</t>
  </si>
  <si>
    <t>AUG 21-24, 2013</t>
  </si>
  <si>
    <t>Beijing Jiaotong Univ, Sch Econ &amp; Management, Reading, ENGLAND</t>
  </si>
  <si>
    <t>Beijing Jiaotong Univ, Sch Econ &amp; Management</t>
  </si>
  <si>
    <t>Logistics hub; City development; Directional distribution procedure; Road network planning</t>
  </si>
  <si>
    <t>FACILITY</t>
  </si>
  <si>
    <t>The development of logistics hub can enhance the development of the city, which will then promote the city's economic growth. Also, the new demand brought about by the development of a city in the coming years may become a key factor which should be taken into consideration in the logistics hub planning. This paper described the mutual effect of logistics hubs planning and city development. Then we presented a method of road network planning for logistics hub based on that bidirectional influence. Finally a case study of Feng Run Logistics Hub is presented in the paper.</t>
  </si>
  <si>
    <t>[Li, Yisong; Xiong, Qian] Beijing Jiaotong Univ, Sch Econ &amp; Management, Beijing 100044, Peoples R China</t>
  </si>
  <si>
    <t>Xiong, Q (corresponding author), Beijing Jiaotong Univ, Sch Econ &amp; Management, Beijing 100044, Peoples R China.</t>
  </si>
  <si>
    <t>ysli@bjtu.edu.cn; 12120635@bjtu.edu.cn</t>
  </si>
  <si>
    <t>Xiong, Qian/KSM-7350-2024</t>
  </si>
  <si>
    <t>978-3-642-40660-7; 978-3-642-40659-1</t>
  </si>
  <si>
    <t>10.1007/978-3-642-40660-7_62</t>
  </si>
  <si>
    <t>BD1WS</t>
  </si>
  <si>
    <t>WOS:000358441900062</t>
  </si>
  <si>
    <t>Zhai, XQ; Lian, PY; Zhang, X; Yu, J</t>
  </si>
  <si>
    <t>Duserick, F</t>
  </si>
  <si>
    <t>Zhai, Xiaoqing; Lian, Peiyuan; Zhang, Xin; Yu, Jie</t>
  </si>
  <si>
    <t>Planning of Logistics Corridor in Wuhan City Circle in China</t>
  </si>
  <si>
    <t>NINTH WUHAN INTERNATIONAL CONFERENCE ON E-BUSINESS, VOLS I-III</t>
  </si>
  <si>
    <t>9th Wuhan International Conference on E-Business</t>
  </si>
  <si>
    <t>MAY 29-30, 2010</t>
  </si>
  <si>
    <t>Wuhan city circle; logistics corridor; transport mode</t>
  </si>
  <si>
    <t>To speed up the development of modern logistics industry plays an important role to promote the economic development for Wuhan city circle. As a significant part of logistics system, logistics corridor is the essential element to form logistics operating system having regional economic influence. Therefore, this paper starts from the status quo of the logistics channel in Wuhan city circle. Combined with specific regional practice, it inducts and summarizes the evidence of logistics corridor planning for Wuhan city circle, and make recommendations accordingly.</t>
  </si>
  <si>
    <t>[Zhai, Xiaoqing; Lian, Peiyuan; Zhang, Xin; Yu, Jie] China Univ Geosci, Sch Econ &amp; Management, Wuhan, Peoples R China</t>
  </si>
  <si>
    <t>China University of Geosciences</t>
  </si>
  <si>
    <t>87zixaoqing@163.com</t>
  </si>
  <si>
    <t>978-0-9800510-3-2</t>
  </si>
  <si>
    <t>BRR19</t>
  </si>
  <si>
    <t>WOS:000283469200469</t>
  </si>
  <si>
    <t>Kervall, M; Palsson, H</t>
  </si>
  <si>
    <t>Kervall, Mikael; Palsson, Henrik</t>
  </si>
  <si>
    <t>A Multi-Stakeholder Perspective on Barriers to a Fossil-Free Urban Freight System</t>
  </si>
  <si>
    <t>urban freight; urban logistics; urban freight system; city logistics; system perspective; barriers to change; barriers to sustainable development; barriers to fossil-free; taxonomy of barriers</t>
  </si>
  <si>
    <t>STRATEGIC-PLANNING PROCESS; LOGISTICS; TRANSPORT; SUSTAINABILITY; MANAGEMENT; GOVERNANCE; CITIES</t>
  </si>
  <si>
    <t>The purpose of this study is to provide a system perspective on the barriers to the development of a fossil-free and thus more sustainable urban freight system and to provide insights regarding these barriers and how they impede progress. The system perspective complements earlier research, where barriers were identified in delimited parts of freight systems. Here, the urban freight system in a Swedish city is explored using an inductive and qualitative approach, according to which barriers are both detailed and categorized. This study is based on empirical data concerning the perceptions of multiple stakeholders in one system. The interrelationships between barrier categories and changes to the urban freight system are explored through management theory. This study provides a unique overview of the barriers to development in one system and insights concerning these barriers and how they impede development of the system. Ten categories of barriers are identified: technology, infrastructure, economy, knowledge, policy, goals, organization, cooperation, politics, and societal factors. The categories can be divided into four different types, which are related to each other and to the overall system in various ways, based on how they impede the development toward sustainability. Future research could advance this theoretical knowledge by continuing to study urban freight system development processes and by adding insights from other contexts, stakeholders, and theoretical areas.</t>
  </si>
  <si>
    <t>[Kervall, Mikael; Palsson, Henrik] Lund Univ, Fac Engn, POB 118, S-22100 Lund, Sweden</t>
  </si>
  <si>
    <t>Lund University</t>
  </si>
  <si>
    <t>Kervall, M (corresponding author), Lund Univ, Fac Engn, POB 118, S-22100 Lund, Sweden.</t>
  </si>
  <si>
    <t>mikael.kervall@plog.lth.se</t>
  </si>
  <si>
    <t>City of Helsingborg, Kompetensfonden [2204]</t>
  </si>
  <si>
    <t>City of Helsingborg, Kompetensfonden</t>
  </si>
  <si>
    <t>This research was funded by the City of Helsingborg, Kompetensfonden, grant number 2204.</t>
  </si>
  <si>
    <t>10.3390/su15010186</t>
  </si>
  <si>
    <t>7R0FK</t>
  </si>
  <si>
    <t>WOS:000909755600001</t>
  </si>
  <si>
    <t>Li, SY; Liang, YJ; Wang, ZJ; Zhang, DZ</t>
  </si>
  <si>
    <t>Li, Shuangyan; Liang, Yijing; Wang, Zhenjie; Zhang, Dezhi</t>
  </si>
  <si>
    <t>An Optimization Model of a Sustainable City Logistics Network Design Based on Goal Programming</t>
  </si>
  <si>
    <t>bi-level goal programming model; logistics infrastructure investment; CO2 emission taxes; logistics network design</t>
  </si>
  <si>
    <t>FREIGHT TRANSPORT; HUB LOCATION; STATE; EQUILIBRIUM; MANAGEMENT; ECONOMIES; GAME</t>
  </si>
  <si>
    <t>This paper investigates the joint optimization problem on the logistics infrastructure investment and CO2 emission taxes for a sustainable city logistics network design by a goal programming approach where the cost recovery, service level and CO2 emission reduction goals are involved. The above multi-objective logistics infrastructure capacity investment and CO2 emission taxes problem is formulated as a bi-level goal programming model. Given the priority structure of the goals, the total deviations from predetermined goals are minimized in the upper level, while the lower level of the model serves as the service route choice equilibrium problem of logistics users. To solve the proposed model, a genetic algorithm is developed, where the method of successive average (MSA) is embedded. The case study focusing on the urban logistics network of Changsha, China demonstrates the effectiveness of the bi-level goal programming model and the genetic algorithm. The findings reveal that the priority rankings of the goals have a significant impact on the joint decisions of CO2 emission taxes and logistics infrastructure capacity investment. The proposed methodology provides an avenue to balance multiple conflicting objectives and obtain an economical and environmental city logistics network.</t>
  </si>
  <si>
    <t>[Li, Shuangyan] Cent South Univ Forestry &amp; Technol, Coll Logist &amp; Transportat, Changsha 410004, Peoples R China; [Liang, Yijing] Nanjing Univ, Sch Management &amp; Engn, Nanjing 210093, Peoples R China; [Wang, Zhenjie; Zhang, Dezhi] Cent South Univ, Sch Traff &amp; Transportat Engn, Changsha 410075, Peoples R China</t>
  </si>
  <si>
    <t>Central South University of Forestry &amp; Technology; Nanjing University; Central South University</t>
  </si>
  <si>
    <t>Liang, YJ (corresponding author), Nanjing Univ, Sch Management &amp; Engn, Nanjing 210093, Peoples R China.</t>
  </si>
  <si>
    <t>lishuangyan585@163.com; liangyj@smail.nju.edu.cn; wangzhenjie@csu.edu.cn; dzzhang@csu.edu.cn</t>
  </si>
  <si>
    <t>li, shuangyan/D-1990-2015; , wangzhenjie/AHE-4537-2022; zhang, dezhi/MTG-4224-2025</t>
  </si>
  <si>
    <t>WANG, ZHENJIE/0000-0002-5135-7101</t>
  </si>
  <si>
    <t>National Natural Science Foundation of China [71672193]; Hunan Provincial Social Science Fund Project [19YBA378]; Smart Logistics Technology Hunan Provincial Key Laboratory Project [2019TP1015]</t>
  </si>
  <si>
    <t>National Natural Science Foundation of China(National Natural Science Foundation of China (NSFC)); Hunan Provincial Social Science Fund Project; Smart Logistics Technology Hunan Provincial Key Laboratory Project</t>
  </si>
  <si>
    <t>This research was funded by the National Natural Science Foundation of China (Grant No. 71672193), Hunan Provincial Social Science Fund Project (Grant No. 19YBA378), Smart Logistics Technology Hunan Provincial Key Laboratory Project (Grant No. 2019TP1015).</t>
  </si>
  <si>
    <t>10.3390/su13137418</t>
  </si>
  <si>
    <t>TF9CB</t>
  </si>
  <si>
    <t>WOS:000671010900001</t>
  </si>
  <si>
    <t>Savin, GV</t>
  </si>
  <si>
    <t>Savin, Gleb, V</t>
  </si>
  <si>
    <t>The smart city transport and logistics system: Theory, methodology and practice</t>
  </si>
  <si>
    <t>UPRAVLENETS-THE MANAGER</t>
  </si>
  <si>
    <t>municipal administration; smart city; intelligent transportation system; highly autonomous vehicles; bibliometric analysis</t>
  </si>
  <si>
    <t>SUSTAINABLE CITIES; MOBILITY; BLOCKCHAIN; DELIVERY; DESIGN; ENVIRONMENT; MANAGEMENT; FRAMEWORK</t>
  </si>
  <si>
    <t>Forming the systems of flow processes management in the context of limited resources and a sharing economy is among the most pressing problems of digitalization. The scientific review analyses the theoretical and methodological foundations and special features of forming the smart city transport and logistics systems in practice, as well as the promising trends in their development aimed at increasing the level of mobility. Methodologically, the study rests on institutional and evolutionary economics theories, sustainable development theory, as well as the provisions of the quantitative school of management. The methods of systemic, comparative and cluster analysis were applied. Using VOSviewer software, the author analyses research publications indexed in the Russian and global citation databases and selects the articles dedicated to the latest trends in the field of mobility, transport and logistics. The research outlines the dominant trends and specifics of the smart mobility services development in real time for businesses and individuals, as well as intelligent transportation systems and highly autonomous vehicles in smart cities worldwide. The findings prove that the development of the Internet of Things underlies all trends, and a tendency to the formation of a multimodal environment, in particular. The study substantiates the necessity to develop the concept of urban logistics as a tool that expands the opportunities for forming sustainable systems of flow processes management in an urban area. The research results can complement the research trends in the development of the smart city transport and logistics system, formulate the norms and rules for cooperation of economic agents, and also serve as a theoretical and methodological framework for further research.</t>
  </si>
  <si>
    <t>[Savin, Gleb, V] Ural State Univ Econ, Logist &amp; Commerce Dept, 62-45 8 Marta Narodnoy Voli St, Ekaterinburg 620144, Russia</t>
  </si>
  <si>
    <t>Ural State University of Economics</t>
  </si>
  <si>
    <t>Savin, GV (corresponding author), Ural State Univ Econ, Logist &amp; Commerce Dept, 62-45 8 Marta Narodnoy Voli St, Ekaterinburg 620144, Russia.</t>
  </si>
  <si>
    <t>glebsavin@ya.ru</t>
  </si>
  <si>
    <t>Savin, Gleb/T-9145-2019</t>
  </si>
  <si>
    <t>URAL STATE UNIV ECONOMICS</t>
  </si>
  <si>
    <t>YEKATERINBURG</t>
  </si>
  <si>
    <t>8 MARTA/NARODNOY VOLI ST., 62/45, OFFICE 355, YEKATERINBURG, 620144, RF, RUSSIA</t>
  </si>
  <si>
    <t>2218-5003</t>
  </si>
  <si>
    <t>UPRAVLENETS</t>
  </si>
  <si>
    <t>Upravlenets</t>
  </si>
  <si>
    <t>10.29141/2218-5003-2021-12-6-5</t>
  </si>
  <si>
    <t>YZ0YI</t>
  </si>
  <si>
    <t>WOS:000755208700005</t>
  </si>
  <si>
    <t>Tümenbatur, A; Avsar, II</t>
  </si>
  <si>
    <t>Tumenbatur, Atiye; Avsar, Ilker Ibrahim</t>
  </si>
  <si>
    <t>SUSTAINABLE CITY LOGISTICS AND THE FUTURE OF URBAN LIVING: A PARADIGM IN TRANSITION</t>
  </si>
  <si>
    <t>LOGFORUM</t>
  </si>
  <si>
    <t>Sustainable city logistics; sustainable development goals; scientific mapping; bibliometric analysis</t>
  </si>
  <si>
    <t>Background: Urbanisation is undergoing a significant transformation, driven by rapid population shifts towards urban centres. This expansion places increasing pressure on urban infrastructure, particularly in large cities, and raises questions about the efficiency of existing systems. As a result, restructuring urban logistics has become imperative. Traditional logistics models are increasingly inadequate for addressing growing traffic congestion, environmental impacts, rising energy consumption, and diversified service demands. In response, sustainable city logistics (SCL) has emerged as a comprehensive framework that integrates economic efficiency, environmental stewardship, and urban liveability. SCL leverages innovative logistics practices and advanced information and communication technologies to create smarter, faster, and less polluting urban transportation systems. Core components include electric vehicles, micro distribution centres, and delivery systems driven by real-time data and temporal optimisation. Methods: This study employs bibliometric analysis to systematically examine the scientific output on SCL. Bibliometric techniques allow quantitative assessment of the structure, development, and conceptual landscape of a research field. The Web of Science (WoS) and Scopus databases were selected for their reliability and comprehensive coverage. Relevant publications were identified using predefined keywords and screened according to specific inclusion criteria. The final dataset was analysed using indicators such as publication type, year of publication, citation counts, and subject classifications. These metrics provide insight into the scope of academic production and help identify dominant themes, trends, and potential research gaps within the SCL literature. Results: The findings indicate a marked acceleration in SCL-related research, particularly since 2019. The most frequently recurring keywords include vehicle routing, e-commerce, last-mile delivery, crowd logistics, electric vehicles, carbon emissions, logistics hubs, optimisation, and software technologies. These terms constitute the core vocabulary of the SCL literature. Conclusions: As a rapidly developing research area, SCL presents substantial opportunities to enrich academic discourse and support the creation of sustainable, innovative, and practical urban logistics solutions. Scholars, industry practitioners, and policymakers should incorporate current SCL trends into strategic decision-making to enhance urban liveability and advance global sustainability goals.</t>
  </si>
  <si>
    <t>[Tumenbatur, Atiye] Maltepe Univ, Fac Business &amp; Management Sci, Dept Int Trade &amp; Logist, Istanbul, Turkiye; [Avsar, Ilker Ibrahim] Osmaniye Korkut Ata Univ, Bahce Vocat Sch, Dept Logist, Bahce Osmaniye, Turkiye</t>
  </si>
  <si>
    <t>Maltepe University; Osmaniye Korkut Ata University</t>
  </si>
  <si>
    <t>Tümenbatur, A (corresponding author), Maltepe Univ, Fac Business &amp; Management Sci, Dept Int Trade &amp; Logist, Istanbul, Turkiye.</t>
  </si>
  <si>
    <t>atiyetumenbatur@maltepe.edu.tr; iibrahimavsar@osmaniye.edu.tr</t>
  </si>
  <si>
    <t>POZNAN SCH LOGISTICS</t>
  </si>
  <si>
    <t>POZNAN</t>
  </si>
  <si>
    <t>UL E ESTKOWSKIEGO 6, POZNAN, 61-755, POLAND</t>
  </si>
  <si>
    <t>1895-2038</t>
  </si>
  <si>
    <t>1734-459X</t>
  </si>
  <si>
    <t>LogForum</t>
  </si>
  <si>
    <t>10.17270/J.LOG.001297</t>
  </si>
  <si>
    <t>A3055</t>
  </si>
  <si>
    <t>WOS:001619388700009</t>
  </si>
  <si>
    <t>Settey, T; Gnap, J; Synak, F; Skrucany, T; Dockalik, M</t>
  </si>
  <si>
    <t>Settey, Tomas; Gnap, Jozef; Synak, Frantisek; Skrucany, Tomas; Dockalik, Marek</t>
  </si>
  <si>
    <t>Research into the Impacts of Driving Cycles and Load Weight on the Operation of a Light Commercial Electric Vehicle</t>
  </si>
  <si>
    <t>electric vehicle; sustainable city logistics; urban driving cycle</t>
  </si>
  <si>
    <t>ENERGY MANAGEMENT STRATEGY; URBAN FREIGHT; CITY LOGISTICS; TRANSPORT; FLEET</t>
  </si>
  <si>
    <t>The European Parliament has adopted Directive 2019/1161 on the promotion of environmentally friendly and energy-efficient road transport vehicles, which also defines the obligations and forms of support for the procurement of environmentally friendly vehicles in urban logistics. The increase in the number of shipments delivered within e-commerce, which is also the result of the COVID-19 pandemic, requires a transition to a sustainable logistics system. New research questions are being raised in the preparation of new projects for the introduction of small electric commercial vehicles in particular. One of the main research questions about deployment itself is whether light commercial electric vehicles are able to fully replace conventionally powered vehicles. What operating conditions are optimal for the operation of them? How does load weight affect the energy efficiency of operating a light commercial electric vehicle? The authors decided to carry out research into the impacts of weight and the nature of a driving cycle under laboratory conditions to eliminate all external factors that could distort individual measurements and their results. In order to simulate driving cycles, an urban driving cycle was designed on the basis of the course of speed, acceleration, deceleration and slope conditions of roads in the selected regional city of Zilina (Slovakia). In the case of the operation of an electrically powered light commercial vehicle, the impact of load weight on the range of the vehicle is low, and is below the level of the theoretical maximum range of the vehicle in urban logistics applications. The operation of electrically powered vehicles in hilly terrains with relatively longer gradients and steeper slopes increases electricity consumption and, thereby, reduces their range.</t>
  </si>
  <si>
    <t>[Settey, Tomas; Gnap, Jozef; Synak, Frantisek; Skrucany, Tomas; Dockalik, Marek] Univ Zilina, Fac Operat &amp; Econ Transport &amp; Commun, Dept Rd &amp; Urban Transport, Zilina 01026, Slovakia</t>
  </si>
  <si>
    <t>tomas.settey@fpedas.uniza.sk; jozef.gnap@fpedas.uniza.sk; frantisek.synak@fpedas.uniza.sk; tomas.skrucany@fpedas.uniza.sk; dockalik@stud.uniza.sk</t>
  </si>
  <si>
    <t>Gnap, Jozef/B-9940-2017; Skrucany, Tomas/J-9883-2016; Settey, Tomáš/AAB-5227-2021; Synák, František/HDM-9651-2022; Gnap, Jozef/AAF-2567-2021; Skrúcaný, Tomáš/J-9883-2016</t>
  </si>
  <si>
    <t>Gnap, Jozef/0000-0002-0833-7850; Dočkalik, Marek/0000-0002-5434-0719; Skrucany, Tomas/0000-0002-1610-4643; Synák, František/0000-0001-7998-8960; Settey, Tomáš/0000-0001-6115-372X;</t>
  </si>
  <si>
    <t>European Regional Development Fund [313011AUX5]</t>
  </si>
  <si>
    <t>This research was facilitated by the support under the Operational Program Integrated Infrastructure for the following project: Identification and possibilities of the implementation of new technological measures in transport to achieve safe mobility during a pandemic caused by COVID-19 (ITMS code: 313011AUX5), co-financed by the European Regional Development Fund.</t>
  </si>
  <si>
    <t>10.3390/su132413872</t>
  </si>
  <si>
    <t>XZ1YD</t>
  </si>
  <si>
    <t>WOS:000737454800001</t>
  </si>
  <si>
    <t>Martins, AL; Ferreira, JC; Maia, R</t>
  </si>
  <si>
    <t>Ferreira, JC; Martins, AL; Monteiro, V</t>
  </si>
  <si>
    <t>Martins, Ana Lucia; Ferreira, Joao Carlos; Maia, Rui</t>
  </si>
  <si>
    <t>Collaborative Gamified Approach for Transportation</t>
  </si>
  <si>
    <t>INTELLIGENT TRANSPORT SYSTEMS, FROM RESEARCH AND DEVELOPMENT TO THE MARKET UPTAKE, INTSYS 2018</t>
  </si>
  <si>
    <t>Lecture Notes of the Institute for Computer Sciences Social Informatics and Telecommunications Engineering</t>
  </si>
  <si>
    <t>2nd EAI International Conference on Intelligent Transport Systems (INTSYS)</t>
  </si>
  <si>
    <t>NOV 21-23, 2018</t>
  </si>
  <si>
    <t>Guimaraes, PORTUGAL</t>
  </si>
  <si>
    <t>Fleet management; Logistics; Transportation; Collaboration; Gamification</t>
  </si>
  <si>
    <t>LOGISTICS; FRAMEWORK; SYSTEM</t>
  </si>
  <si>
    <t>Transportation-related costs are responsible for a large portion of the logistics cost. This is particularly important in city logistics process where it is not easy to aggregate deliveries. Fleet management if often based on efficiency criteria which does not always is compatible with customers' service requests. Models supported by ICT, blockchain and gamification tools are developed to raise collaboration and share of resources in urban logistics process, in a kind of Logistics-as-uber concept, where operators share resource and ICT system support than giving advice, handle transactions. The discussion is provided on how such a framework can contribute to simultaneously reduce logistics costs, improve service delivery, reduce traffic in cities and reduce pollution.</t>
  </si>
  <si>
    <t>[Martins, Ana Lucia; Ferreira, Joao Carlos] Inst Univ Lisboa ISCTE IUL, Lisbon, Portugal; [Martins, Ana Lucia] Business Res Unit BRU IUL, Lisbon, Portugal; [Ferreira, Joao Carlos] Informat Sci Technol &amp; Architecture Res Ctr ISTAR, Lisbon, Portugal; [Ferreira, Joao Carlos; Maia, Rui] Inov Inesc Inovacao Inst Novas Tecnol, Lisbon, Portugal; [Maia, Rui] Inst Super Tecn, Lisbon, Portugal</t>
  </si>
  <si>
    <t>Instituto Universitario de Lisboa; Instituto Universitario de Lisboa; INOV INESC Inovacao; Universidade de Lisboa</t>
  </si>
  <si>
    <t>Martins, AL (corresponding author), Inst Univ Lisboa ISCTE IUL, Lisbon, Portugal.;Martins, AL (corresponding author), Business Res Unit BRU IUL, Lisbon, Portugal.</t>
  </si>
  <si>
    <t>almartins@iscte-iul.pt</t>
  </si>
  <si>
    <t>Martins, Ana Lucia/A-6204-2014; Amaro Ferreira, Joao Carlos/B-5351-2009; ferreira, joao/JJE-8433-2023; Martins, Ana/S-9676-2019</t>
  </si>
  <si>
    <t>Martins, Ana Lucia/0000-0002-8533-6595; Amaro Ferreira, Joao Carlos/0000-0002-6662-0806;</t>
  </si>
  <si>
    <t>1867-8211</t>
  </si>
  <si>
    <t>1867-822X</t>
  </si>
  <si>
    <t>978-3-030-14757-0; 978-3-030-14756-3</t>
  </si>
  <si>
    <t>L N INST COMP SCI SO</t>
  </si>
  <si>
    <t>10.1007/978-3-030-14757-0_3</t>
  </si>
  <si>
    <t>Computer Science, Interdisciplinary Applications; Telecommunications; Transportation; Transportation Science &amp; Technology</t>
  </si>
  <si>
    <t>Computer Science; Telecommunications; Transportation</t>
  </si>
  <si>
    <t>BQ6RN</t>
  </si>
  <si>
    <t>WOS:000613008200003</t>
  </si>
  <si>
    <t>Capacity-sharing in logistics solutions: A new pathway towards sustainability</t>
  </si>
  <si>
    <t>SIMULATION; MODELS; MANAGEMENT; EXAMPLE</t>
  </si>
  <si>
    <t>The sharing economy concept - an extension of the internet of things concept - has contributed to the emergence of a new paradigm of freight transportation, where the main players are puppet masters in controlling data and not only physical assets. This new economic model is based on the use of technology to allow companies, citizens and other actors to share and monetize the excess capacity of their assets (vehicles, houses, parking spaces, etc.). The potential effects of this model are difficult to quantify, but it has been ventured that this new economic relationship will yield greater efficiency to businesses across the world, especially in the supply chain and city logistics processes. Such prospect relies on the fact that it is based on the provision of opportunities to monetize resources that already exist, instead of creating additional infrastructures in order to meet the demand. In this context, the application of the shared economy model to logistics brings up concepts of logistics sharing capacity. Logistics sharing capacity assumes the access and sharing of operational capabilities, either by vehicle sharing, by vehicle capacity sharing, sharing warehousing or infrastructure sharing. The potential of logistic sharing solutions and respective transport capabilities to reduce emissions and mitigate the transport sector's impacts on climate change comes along with benefits to companies with the reduction of overall operating expenses, by reducing transport costs per kilogram and cutting maintenance and personnel costs, as fewer assets are needed. To the public sector, the benefits are still mostly felt in terms of environment as a consequence of the more effective use of resources. In fact, in spite the recent emergence of logistics sharing solutions, the topic has not been sufficiently explored under a perspective that: a) highlights the role that municipalities can play to benefit from the sharing economy model and; b) analyzes case studies in which municipalities provide owned assets to be shared by logistics players. The objective of this paper is to contribute to reduce that hiatus on research by assessing the impact of logistic sharing solutions under a public good perspective. Therefore, the paper analyses the potential impacts of promoting the shared usage of logistic parking infrastructure owned by public authorities. As a demonstration of that potential, the possible benefits of sharing parking spaces dedicated to urban logistics operations by other users were studied, in particular the parents taking children to kindergartens located in the area. The paper is supported by a case study carried out in a Portuguese city and the effects are quantified in metrics of transport performance, energy and environmental criteria. The scenario is compared to a baseline situation (BAU) and results show significant reductions in delay times, travel times, queue lengths and stopped times and increases in average speeds. Also, fuel consumption and emissions present considerable reductions in the tested scenario. As a result, the paper concludes that municipalities can take advantage of a sharing economy context, in which logistics sharing solutions can be exploited, by using their assets in a joint and more effective way. Those benefits are translated into the reduction of externalities and improvement of the quality of life in the city and, therefore, municipalities benefit from playing an active role in the emergent context of a sharing economy.</t>
  </si>
  <si>
    <t>[Melo, Sandra] Univ Lisbon, IDMEC, Inst Engn Mecan, Inst Super Tecn, Ave Rovisco Pais 1, P-1049001 Lisbon, Portugal; [Macedo, Joaquim] Univ Aveiro, RISCO, Dept Engn Civil, Campus Univ Santiago, P-3810193 Aveiro, Portugal; [Baptista, Patricia] Univ Lisbon, IN, Ctr Innovat Technol &amp; Policy Res, Inst Super Tecn, Lisbon, Portugal</t>
  </si>
  <si>
    <t>Melo, S (corresponding author), Univ Lisbon, IDMEC, Inst Engn Mecan, Inst Super Tecn, Ave Rovisco Pais 1, P-1049001 Lisbon, Portugal.</t>
  </si>
  <si>
    <t>Baptista, Patricia/A-5356-2012; Macedo, Joaquim/AAA-6089-2020; Melo, Sandra/ABE-1000-2021</t>
  </si>
  <si>
    <t>Baptista, Patricia/0000-0003-1559-9151; Macedo, Joaquim/0000-0001-9057-8057;</t>
  </si>
  <si>
    <t>Fundacao para a Ciencia e a Tecnologia [MITP-TB/C S/0026/2013, SFRH/BPD/74080/2010]; FCT, through IDMEC, under LAETA [UID/EMS/50022/2013]; FCT, through the research unit RISCO [UID/ECI/04450/2013]; FCT through IN + Strategic Project [UID/EEA/50009/2013]; Fundação para a Ciência e a Tecnologia [SFRH/BPD/74080/2010] Funding Source: FCT</t>
  </si>
  <si>
    <t>Fundacao para a Ciencia e a Tecnologia(Fundacao para a Ciencia e a Tecnologia (FCT)); FCT, through IDMEC, under LAETA(Fundacao para a Ciencia e a Tecnologia (FCT)); FCT, through the research unit RISCO; FCT through IN + Strategic Project; Fundação para a Ciência e a Tecnologia</t>
  </si>
  <si>
    <t>The authors acknowledge Fundacao para a Ciencia e a Tecnologia for project grants (SusCity Project, MITP-TB/C S/0026/2013) and Post Doctoral financial support (SFRH/BPD/74080/2010). This work was also supported by FCT, through IDMEC, under LAETA, project UID/EMS/50022/2013 and through the research unit RISCO (UID/ECI/04450/2013). Thanks are due to FCT through support from the IN + Strategic Project UID/EEA/50009/2013, to Brisa Inovacao and Camara Municipal do Porto.</t>
  </si>
  <si>
    <t>10.1016/j.tranpol.2018.07.003</t>
  </si>
  <si>
    <t>HE4LS</t>
  </si>
  <si>
    <t>WOS:000453339000012</t>
  </si>
  <si>
    <t>Fan, KR; Tian, YL; Yao, LQ; Qiu, R</t>
  </si>
  <si>
    <t>Xu, J; Altiparmak, F; Hassan, MHA; Marquez, FPG; Hajiyev, A</t>
  </si>
  <si>
    <t>Fan, Keru; Tian, Yalou; Yao, Liqing; Qiu, Rui</t>
  </si>
  <si>
    <t>Urban Logistics Vehicle Routing Problem Under the Carbon Trading Market</t>
  </si>
  <si>
    <t>PROCEEDINGS OF THE SIXTEENTH INTERNATIONAL CONFERENCE ON MANAGEMENT SCIENCE AND ENGINEERING MANAGEMENT, VOL 2</t>
  </si>
  <si>
    <t>16th International Conference on Management Science and Engineering Management (ICMSEM)</t>
  </si>
  <si>
    <t>AUG 03-06, 2022</t>
  </si>
  <si>
    <t>Ankara, TURKEY</t>
  </si>
  <si>
    <t>Vehicle routing; Carbon trading schemes; Urban logistics</t>
  </si>
  <si>
    <t>The road-based logistics industry has seen a significant increase in energy consumption and high carbon emissions associated with the boom in online shopping. To design a low-carbon distribution network, this study designs a model of city logistics distribution under rail transport, intending to reduce carbon emissions in the 'last mile', and examines the transport paths in this phase. In the context of China's carbon trading scheme, the cost of carbon emissions is incorporated into the route planning objective, with the lowest cost of delivery as the goal. Practical case studies are also used to demonstrate its practicality and efficiency in mitigating carbon emissions. The impact of different factors such as emission reduction policies and vehicle travel speeds on distribution costs and carbon emissions is also carried out. By comparing with current distribution options, our results highlight the sensitivity of the level and volatility of carbon prices in carbon trading. These results provide insights into logistics management for emitters and suggest that governments should maintain a reasonable and stable carbon price and develop carbon trading markets to play a regulatory and constraining role on corporate carbon emissions.</t>
  </si>
  <si>
    <t>[Fan, Keru; Tian, Yalou; Yao, Liqing; Qiu, Rui] Sichuan Univ, Sch Business, Chengdu 610065, Peoples R China</t>
  </si>
  <si>
    <t>Sichuan University</t>
  </si>
  <si>
    <t>Qiu, R (corresponding author), Sichuan Univ, Sch Business, Chengdu 610065, Peoples R China.</t>
  </si>
  <si>
    <t>qiuruicd@scu.edu.cn</t>
  </si>
  <si>
    <t>National Natural Science Foundation of China [71901157]; China Postdoctoral Science Foundation [2019M660244]</t>
  </si>
  <si>
    <t>National Natural Science Foundation of China(National Natural Science Foundation of China (NSFC)); China Postdoctoral Science Foundation(China Postdoctoral Science Foundation)</t>
  </si>
  <si>
    <t>This research was supported by the National Natural Science Foundation of China under Grant No. 71901157, and the China Postdoctoral Science Foundation under Grant No. 2019M660244.</t>
  </si>
  <si>
    <t>978-3-031-10385-8; 978-3-031-10384-1</t>
  </si>
  <si>
    <t>10.1007/978-3-031-10385-8_25</t>
  </si>
  <si>
    <t>Engineering, Multidisciplinary; Operations Research &amp; Management Science</t>
  </si>
  <si>
    <t>BU1WE</t>
  </si>
  <si>
    <t>WOS:000882974200025</t>
  </si>
  <si>
    <t>Gallo, SA; Maheut, J</t>
  </si>
  <si>
    <t>Alvarez Gallo, Sandra; Maheut, Julien</t>
  </si>
  <si>
    <t>Multi-Criteria Analysis for the Evaluation of Urban Freight Logistics Solutions: A Systematic Literature Review</t>
  </si>
  <si>
    <t>MATHEMATICS</t>
  </si>
  <si>
    <t>MCDM; multi-criteria decision analysis; multiple-criteria decision making; multi-criteria; decision making; urban freight logistics; urban logistics; literature review</t>
  </si>
  <si>
    <t>DECISION-MAKING TECHNIQUES; CITY LOGISTICS; LOCATION SELECTION; POLICY MEASURES; SMART CITY; TRANSPORT; CRITERIA; MODEL; METHODOLOGY; DELIVERIES</t>
  </si>
  <si>
    <t>The tension between city logistics and its impact on sustainable urban development is evident. Often, local environmental decisions overlook the effects on urban freight logistics, lacking consideration for stakeholders. To address this, utilizing multi-criteria analysis becomes relevant for informed urban planning and management decision making. In this context, this paper conducts a systematic literature review from 2012 to 2022, focused on implementing the multi-criteria analysis methodology to evaluate alternatives for solutions in urban freight logistics. The PRISMA tool was used in the review to select publications and categorize the information obtained to address the research questions. Results display the most prominent authors and publications, authors' country affiliations, annual publication frequency, research objectives, used frameworks, involved actors, defined evaluation criteria, types of alternatives for solutions considered, and MCDM methods applied. The main finding is that the most commonly used MCDM methods were AHP hybrid followed by MAMCA. In addition, no clear correlation between the pursued objectives and the MCDM methods employed by the researchers is identified. It is important to note that all publications with the highest number of citations use fuzzy methods in their analyses.</t>
  </si>
  <si>
    <t>[Alvarez Gallo, Sandra] Inst Univ Pascual Bravo, Prod Dept, Medellin 050034, Colombia; [Maheut, Julien] Univ Politecn Valencia, Business Org Dept, ROGLE, Camino Vera S-N, Valencia 46022, Spain</t>
  </si>
  <si>
    <t>Gallo, SA (corresponding author), Inst Univ Pascual Bravo, Prod Dept, Medellin 050034, Colombia.</t>
  </si>
  <si>
    <t>sandra.alvarezga@pascualbravo.edu.co; juma2@upv.es</t>
  </si>
  <si>
    <t>; Maheut, Julien/H-6800-2012</t>
  </si>
  <si>
    <t>ALVAREZ, SANA/0000-0002-9787-8973; Maheut, Julien/0000-0002-5796-9053</t>
  </si>
  <si>
    <t>2227-7390</t>
  </si>
  <si>
    <t>MATHEMATICS-BASEL</t>
  </si>
  <si>
    <t>10.3390/math11194089</t>
  </si>
  <si>
    <t>U4GY2</t>
  </si>
  <si>
    <t>WOS:001084410300001</t>
  </si>
  <si>
    <t>Dudek, T; Kaskosz, K</t>
  </si>
  <si>
    <t>Dudek, Tomasz; Kaskosz, Karolina</t>
  </si>
  <si>
    <t>Optimizing drone logistics in complex urban industrial infrastructure</t>
  </si>
  <si>
    <t>Sustainable development; Urban logistics; Unmanned aerial vehicle (UAV); Routing problem; Multifloor manufacturing; Data collection</t>
  </si>
  <si>
    <t>LOADING/UNLOADING BAYS; FREIGHT; TRANSPORTATION; EFFICIENCY</t>
  </si>
  <si>
    <t>This article introduces innovative model addressing the Drone Routing Problem within multifloor manufacturing sites. The focus aims on developing a strategy to minimize energy costs and reduce delivery times amidst variable spatial conditions. Factors such as facility architecture, dynamic production changes, and urban industrial infrastructure are analysed. The study incorporates environmental aspects, exploring the eco-efficiency of drone-based logistics in industrial settings within the context of sustainable development, city logistics data collection processes, a comprehensive understanding of effectiveness in the contemporary multifloor manufacturing complexes. This research highlights new perspectives for internal logistics optimization with drones while aligning environmentally conscious practices in sophisticated urban industrial infrastructure. The solution may significantly minimize the share of vehicle fleet in the area of production facility. Presented process may significantly reduce the level of traffic congestion in the cities where such production facilities are located, and may also become one of the elements promoting sustainable development.</t>
  </si>
  <si>
    <t>[Dudek, Tomasz; Kaskosz, Karolina] Maritime Univ Szczecin, Waly Chrobrego 1-2, PL-70500 Szczecin, Poland</t>
  </si>
  <si>
    <t>Dudek, T (corresponding author), Maritime Univ Szczecin, Waly Chrobrego 1-2, PL-70500 Szczecin, Poland.</t>
  </si>
  <si>
    <t>t.dudek@pm.szczecin.pl</t>
  </si>
  <si>
    <t>Dudek, Tomasz/AAD-2137-2020</t>
  </si>
  <si>
    <t>Kaśkosz, Karolina/0000-0002-9895-8537</t>
  </si>
  <si>
    <t>Polish-Norwegian Financial Mechanism</t>
  </si>
  <si>
    <t>Acknowledgements The research outcome has been achieved under the GReen And SuStainable-kNowledge EXpanded freight Transport in cities project financed under the Polish-Norwegian Financial Mechanism.</t>
  </si>
  <si>
    <t>10.1016/j.trd.2025.104610</t>
  </si>
  <si>
    <t>U0Z5W</t>
  </si>
  <si>
    <t>WOS:001409181500001</t>
  </si>
  <si>
    <t>Machado, B; Pimentel, C; de Sousa, A</t>
  </si>
  <si>
    <t>Machado, Bruno; Pimentel, Carina; de Sousa, Amaro</t>
  </si>
  <si>
    <t>Integration planning of freight deliveries into passenger bus networks: Exact and heuristic algorithms</t>
  </si>
  <si>
    <t>Urban logistics; Bus network planning; Heuristics; GRASP; Integration of passenger and freight; transportation</t>
  </si>
  <si>
    <t>ROBUST OPTIMIZATION; URBAN LOGISTICS; CITY LOGISTICS; TIME WINDOWS; TRANSPORT; SYSTEM; PICKUP; MODEL; GOODS</t>
  </si>
  <si>
    <t>With the increasing population living in cities, a growing number of small daily urban freight deliveries are performed, typically by private companies. Recently, more environmentally friendly urban logistics services have emerged to mitigate the negative effects of such activities. One example is the integration of freight deliveries into bus networks, traditionally dedicated to passenger transportation, to perform urban logistics activities within cities. In this paper, the integration of the freight delivery process into the urban bus passenger network is addressed where freight parcels are dropped by clients at bus hubs located outside the city center, transported by bus services from the hub to bus stops located in the city center, and delivered to the destination address by a last mile operator. Since bus vehicles supporting both passenger and freight flows need to be physically adapted, the aim is to support the decision-maker to select the minimum number of bus services that must be adapted for freight transportation. The optimization problem considers the freight demand uncertainty in terms of number of freight parcels, destination address, delivery time windows and last mile operator constraints which are modelled by a set of demand scenarios. An exact method based on an integer linear programming (ILP) and two heuristic algorithms based on a greedy randomized adaptive search procedure (GRASP) are proposed. The results show that the proposed optimization methods are efficient, giving valuable insights to stakeholders, in the fields of policy and practice, for the strategic decision of selecting the minimum number of buses to be physically adapted for freight transportation. In particular, the results show that all proposed optimization methods are of interest in practice since the type of problem instances for which each method is more efficient is clearly identified in the obtained computational results. Moreover, in the early stages of the integrated passenger and freight flows service, the impact on the required number of adapted bus services is mainly given by the last mile operator capacity of delivering freight from bus hubs to final parcel destinations, while the other factors (delivery time windows and distributions parcel destination addresses) do not have a significant impact on the required number of bus services.</t>
  </si>
  <si>
    <t>[Machado, Bruno; Pimentel, Carina] Univ Aveiro, Dept Econ Management Ind Engn &amp; Tourism DEGEIT, Governance Competitiveness &amp; Publ Policies Res Uni, Aveiro, Portugal; [de Sousa, Amaro] Univ Aveiro, Dept Elect Telecommun &amp; Informat DETI, Inst Telecomunicacoes IT, Aveiro, Portugal; [Pimentel, Carina] Univ Minho, Sch Engn, Prod &amp; Syst Dept, Algoritmi Res Unit, Campus Azurem, P-4800058 Guimaraes, Portugal</t>
  </si>
  <si>
    <t>Universidade de Aveiro; Universidade de Aveiro; Universidade do Minho</t>
  </si>
  <si>
    <t>Machado, B (corresponding author), Univ Aveiro, Dept Econ Management Ind Engn &amp; Tourism DEGEIT, Governance Competitiveness &amp; Publ Policies Res Uni, Aveiro, Portugal.</t>
  </si>
  <si>
    <t>brunocruzmachado@ua.pt; carina.pimentel@ua.pt; asou@ua.pt</t>
  </si>
  <si>
    <t>; Pimentel, Carina/B-2717-2013; de Sousa, Amaro/J-3571-2016</t>
  </si>
  <si>
    <t>Machado, Bruno/0000-0002-3037-1764; Pimentel, Carina/0000-0003-4284-1628;</t>
  </si>
  <si>
    <t>European Regional Development Fund (FEDER) through COMPETE 2020 (Operational Program for Competitiveness and Internationalization) [POCI-01-0247-FEDER-039870]; FCT [UIDB/04058/2020]</t>
  </si>
  <si>
    <t>European Regional Development Fund (FEDER) through COMPETE 2020 (Operational Program for Competitiveness and Internationalization)(Marie Curie ActionsEuropean Union (EU)); FCT(Fundacao para a Ciencia e a Tecnologia (FCT))</t>
  </si>
  <si>
    <t>This work was co -financed by the European Regional Development Fund (FEDER) through COMPETE 2020 (Operational Program for Competitiveness and Internationalization) through the project SOLFI- Urban logistics optimization system with integrated freight and passenger flows (POCI-01-0247-FEDER-039870) . The work was also supported by the research unit Governance, Competitiveness and Public Policy (UIDB/04058/2020) funded by national funds through FCT.</t>
  </si>
  <si>
    <t>10.1016/j.tra.2023.103645</t>
  </si>
  <si>
    <t>MAR 2023</t>
  </si>
  <si>
    <t>N3CD2</t>
  </si>
  <si>
    <t>WOS:001035825000001</t>
  </si>
  <si>
    <t>de Oliveira, LK; Nascimento, CDL; de Sousa, PR; de Resende, PTV; da Silva, FGF</t>
  </si>
  <si>
    <t>de Oliveira, Leise Kelli; Leite Nascimento, Carla de Oliveira; de Sousa, Paulo Renato; Vilela de Resende, Paulo Tarso; Ferreira da Silva, Francisco Gildemir</t>
  </si>
  <si>
    <t>Transport Service Provider Perception of Barriers and Urban Freight Policies in Brazil</t>
  </si>
  <si>
    <t>urban freight transport; transport service provider companies; principal component analysis; probabilistic preference; urban logistics plan</t>
  </si>
  <si>
    <t>OFF-HOUR DELIVERIES; CITY LOGISTICS; CONSOLIDATION CENTER; ELECTRIC VEHICLES; CARGO BIKES; NUMBER; SUSTAINABILITY; IMPACTS; GROWTH; CITIES</t>
  </si>
  <si>
    <t>The aim of this paper is to analyze the perceptions of the transport service providers on the barriers in urban freight transport and the restrictions imposed on freight vehicles, identifying which urban freight transport policies can improve this activity in Brazil. Principal component analysis allowed us to identify which are barriers in urban cargo transport and the restrictions imposed on freight vehicles. In addition, we evaluated freight policies that can improve the activity using probabilistic preference. We obtained the database from a web-based survey of transport service providers in Brazil. The results indicate that the urban freight vehicle restriction is related to congestion and availability of loading and unloading areas. The freight vehicle restriction is a result of the lack of information and data. The theft of cargo significantly impacts urban freight transport. Transport service provider company perceptions indicate an urban mobility plan as the most-required freight policy to improve freight mobility. To reduce the barriers to urban freight planning, an understanding of the problem involving the stakeholders is needed. To do so, the challenge is to change the culture in the transportation planning process by integrating various actors to create an urban logistics plan that generates opportunities for the city.</t>
  </si>
  <si>
    <t>[de Oliveira, Leise Kelli; Leite Nascimento, Carla de Oliveira] Univ Fed Minas Gerais, Dept Transport &amp; Geotech Engn, BR-31515212 Belo Horizonte, MG, Brazil; [de Sousa, Paulo Renato; Vilela de Resende, Paulo Tarso] Fundacao Dom Cabral, Res &amp; Dev Ctr Logist, Supply Chain &amp; Infrastruct, BR-34018006 Nova Lima, Brazil; [Ferreira da Silva, Francisco Gildemir] Univ Fed Ceara, Econ Grad Program, BR-6002060 Fortaleza, Ceara, Brazil</t>
  </si>
  <si>
    <t>Universidade Federal de Minas Gerais; Universidade Federal do Ceara</t>
  </si>
  <si>
    <t>de Oliveira, LK (corresponding author), Univ Fed Minas Gerais, Dept Transport &amp; Geotech Engn, BR-31515212 Belo Horizonte, MG, Brazil.</t>
  </si>
  <si>
    <t>leise@etg.ufmg.br; carla.oln@gmail.com; paulorenato@fdc.org.br; pauloresende@fdc.org.br; gildemir@ufc.br</t>
  </si>
  <si>
    <t>; Oliveira, Leise Kelli/Y-3946-2018; Da Silva, Francisco Gildemir Ferreira/G-6930-2017</t>
  </si>
  <si>
    <t>Oliveira, Leise Kelli de/0000-0002-4756-4183; Da Silva, Francisco Gildemir Ferreira/0000-0002-5890-3769</t>
  </si>
  <si>
    <t>National Council for Scientific and Technological Development (CNPq); Coordination for the Improvement of Higher-Level Personnel (CAPES)</t>
  </si>
  <si>
    <t>National Council for Scientific and Technological Development (CNPq)(Conselho Nacional de Desenvolvimento Cientifico e Tecnologico (CNPQ)); Coordination for the Improvement of Higher-Level Personnel (CAPES)(Coordenacao de Aperfeicoamento de Pessoal de Nivel Superior (CAPES))</t>
  </si>
  <si>
    <t>The authors acknowledge the support of the National Council for Scientific and Technological Development (CNPq) and Coordination for the Improvement of Higher-Level Personnel (CAPES). The authors thank all the companies that responded to the survey.</t>
  </si>
  <si>
    <t>10.3390/su11246890</t>
  </si>
  <si>
    <t>KC0SU</t>
  </si>
  <si>
    <t>WOS:000506899000008</t>
  </si>
  <si>
    <t>Gruber, J; Plener, M; Damer, L; Dubernet, I</t>
  </si>
  <si>
    <t>Gruber, Johannes; Plener, Martin; Damer, Lara; Dubernet, Ilka</t>
  </si>
  <si>
    <t>Car or Cargo Bike? Determinants for the Use of a Small Vehicle Type in Urban Logistics: A Stated Preference Survey Among Commercial Transport Operators</t>
  </si>
  <si>
    <t>urban freight transportation; city logistics and last-mile strategies; electric bicycles; cargo bikes; stated preference; mode choice; travel behavior</t>
  </si>
  <si>
    <t>FREIGHT; MESSENGERS; CYCLES</t>
  </si>
  <si>
    <t>To address the adverse effects of urban freight, downshifting to smaller vehicles, such as cargo bikes, has been indicated as a viable solution. Existing literature on freight mode choice rarely considers vehicles smaller than truck size. We aimed to fill this research gap by quantifying how vehicular, operational, trip-based, contextual, and individual determinants influenced the decision between cargo bikes and cars in urban logistics. To that end, a stated preference survey was conducted among 537 German organizations after they had been familiarized with cargo bikes through a 3-month vehicle trial period. Participants then took part in a survey in which they had to choose between the modes cargo bike, car, or neither of these two alternatives. The survey data were analyzed using a mixed logit model with 4,833 observations. The model estimations demonstrated that the values and signs of parameters were in accordance with both our expectations and the literature. The results indicated that cargo bikes were an attractive alternative to cars for delivery and service trips of short duration in fair weather. The probability of choosing a cargo bike over a car could be further increased by improving bike infrastructure or imposing parking limitations. The preference for cargo bike could be observed for respondents in dense urban centers and low-density parts of the country alike. Around 3 out of 10 respondents decided to buy their own cargo bike after the study, demonstrating the effectiveness of low-threshold testing programs in changing habits toward more sustainable mobility solutions.</t>
  </si>
  <si>
    <t>[Gruber, Johannes; Plener, Martin; Damer, Lara; Dubernet, Ilka] Inst Transport Res, German Aerosp Ctr DLR, Berlin, Germany</t>
  </si>
  <si>
    <t>Helmholtz Association; German Aerospace Centre (DLR)</t>
  </si>
  <si>
    <t>Gruber, J (corresponding author), Inst Transport Res, German Aerosp Ctr DLR, Berlin, Germany.</t>
  </si>
  <si>
    <t>johannes.gruber@dlr.de</t>
  </si>
  <si>
    <t>Plener, Martin/0009-0006-0573-2499; Dubernet, Ilka/0000-0003-4130-8303; Gruber, Johannes/0000-0001-5537-5473; Damer, Lara/0009-0004-5528-6111</t>
  </si>
  <si>
    <t>Federal Ministry for the Environment and the Federal Ministry for Economic Affairs and Climate Action [03KF0066, 67KF0154]</t>
  </si>
  <si>
    <t>Federal Ministry for the Environment and the Federal Ministry for Economic Affairs and Climate Action</t>
  </si>
  <si>
    <t>The authors disclosed receipt of the following financial support for the research, authorship, and/or publication of this article: Generation and publication of the results shown were made possible by the projects ''Ich entlaste Stadte'' (grant no.03KF0066) and ''Ich entlaste Stadte 2'' (grant no. 67KF0154) of the German National Climate Initiative, funded by the Federal Ministry for the Environment and the Federal Ministry for Economic Affairs and Climate Action.</t>
  </si>
  <si>
    <t>10.1177/03611981241245676</t>
  </si>
  <si>
    <t>WOS:001277837100001</t>
  </si>
  <si>
    <t>Dellbrügge, M; Rudolf, S; Kreuz, F; Juraschek, M; Herrmann, C; Clausen, U</t>
  </si>
  <si>
    <t>Dellbrugge, M; Clausen, U</t>
  </si>
  <si>
    <t>Dellbruegge, Marius; Rudolf, Sina; Kreuz, Felix; Juraschek, Max; Herrmann, Christoph; Clausen, Uwe</t>
  </si>
  <si>
    <t>Resilience of Urban Factories and Their Supply Chains - Identification of Indicators and Recommendations for Increasing Resilience</t>
  </si>
  <si>
    <t>ADVANCES IN RESILIENT AND SUSTAINABLE TRANSPORT, ICPLT 2023</t>
  </si>
  <si>
    <t>Lecture Notes in Logistics</t>
  </si>
  <si>
    <t>6th Interdisciplinary Conferences on Production, Logistics and Traffic (ICPLT)</t>
  </si>
  <si>
    <t>MAR 22-23, 2023</t>
  </si>
  <si>
    <t>TU Dortmund Univ, Dortmund, GERMANY</t>
  </si>
  <si>
    <t>TU Dortmund Univ</t>
  </si>
  <si>
    <t>Urban factories; Urban production; Urban logistics; Supply chain management; City logistics; Resilience; Resilient production systems</t>
  </si>
  <si>
    <t>Resilience is becoming an increasingly important trait for global and lean supply chains, especially due to recent external shocks or disruptions to supply chains, such as the Covid-19 pandemic, the Suez Canal blockage or the container shortage. Furthermore, megatrends and ongoing developments as for instance a rapidly growing global population, advancing urbanization, resource scarcity and digitalization intensify the question of resilient and sustainable production and logistics systems. Cities are a hotspot for value creation and are connected to specific opportunities and challenges at the same time for manufacturing industry in urban factories. To cope with these developments, a structured process has been designed to analyze the influence and linkages between the characteristics of urban factories and resilience indicators. With these connections, opportunities and challenges for urban factories and their supply chains regarding resilience indicators can be identified. The results can be utilized to create more resilient production sites and supply chains in an urban environment and in general.</t>
  </si>
  <si>
    <t>[Dellbruegge, Marius; Kreuz, Felix; Clausen, Uwe] TU Dortmund Univ, Inst Transport Logist, Dortmund, Germany; [Rudolf, Sina; Juraschek, Max; Herrmann, Christoph] Tech Univ Carolo Wilhelmina Braunschweig, Inst Machine Tools &amp; Prod Technol IWF, Chair Sustainable Mfg &amp; Life Cycle Engn, Braunschweig, Germany</t>
  </si>
  <si>
    <t>Dortmund University of Technology; Braunschweig University of Technology</t>
  </si>
  <si>
    <t>Dellbrügge, M (corresponding author), TU Dortmund Univ, Inst Transport Logist, Dortmund, Germany.</t>
  </si>
  <si>
    <t>marius.dellbruegge@tu-dortmund.de</t>
  </si>
  <si>
    <t>; Juraschek, Max/MTB-9947-2025</t>
  </si>
  <si>
    <t>Herrmann, Christoph/0000-0002-5621-1822; Dellbrügge, Marius/0000-0002-4065-2930; Clausen, Uwe/0000-0002-5488-8485;</t>
  </si>
  <si>
    <t>2194-8917</t>
  </si>
  <si>
    <t>978-3-031-28235-5; 978-3-031-28236-2; 978-3-031-28196-9</t>
  </si>
  <si>
    <t>LECT NOTES LOGISTICS</t>
  </si>
  <si>
    <t>10.1007/978-3-031-28236-2_18</t>
  </si>
  <si>
    <t>Green &amp; Sustainable Science &amp; Technology; Management; Operations Research &amp; Management Science; Transportation Science &amp; Technology</t>
  </si>
  <si>
    <t>Science &amp; Technology - Other Topics; Business &amp; Economics; Operations Research &amp; Management Science; Transportation</t>
  </si>
  <si>
    <t>BV6KW</t>
  </si>
  <si>
    <t>WOS:001058876400018</t>
  </si>
  <si>
    <t>Muñoz-Villamizar, A; Santos, J; Montoya-Torres, JR; Velázquez-Martínez, JC</t>
  </si>
  <si>
    <t>Munoz-Villamizar, Andres; Santos, Javier; Montoya-Torres, Jairo R.; Velazquez-Martinez, Josue C.</t>
  </si>
  <si>
    <t>Measuring environmental performance of urban freight transport systems: A case study</t>
  </si>
  <si>
    <t>Urban freight transport; Goods transportation; Environmental performance; Optimization; Urban logistics</t>
  </si>
  <si>
    <t>VEHICLE-ROUTING PROBLEM; CO2 EMISSIONS; CITY LOGISTICS; ROAD TRANSPORT; SUSTAINABILITY; MANAGEMENT; CITIES; PERSPECTIVE; FRAMEWORK; FUTURE</t>
  </si>
  <si>
    <t>Environmental sustainability is a requirement for modern urban freight transport systems. On a global scale, most resources are currently consumed in cities, contributing to the economic importance of urban freight transport as well as its poor environmental performance. However, there is a lack of knowledge about how to correctly quantify the environmental efficiency of urban freight systems. In this context, this paper proposes a new methodology for evaluating the environmental performance of urban freight transport systems by applying the Overall Greenness Performance (OGP) tool. OGP is a lean-based hierarchy of metrics that uses the value-added concept to relate a company's productivity with its environmental performance. The proposed methodology uses a mixed-integer linear programming model to assess the environmental impact of the activities and/or requirements in an urban freight transportation system. This paper examines how company context, the supply chain and value stream activity types, namely value adding, necessary but non-value adding and nonvalue adding, affect a system's performance, operational costs and environmental impact. Real data from the city of Bogota, Colombia, were used to validate this approach. A sensitivity analysis was performed with different companies, demands and costs in order to evaluate the trade-offs between economic performance and environmental impact.</t>
  </si>
  <si>
    <t>[Munoz-Villamizar, Andres; Velazquez-Martinez, Josue C.] MIT, Ctr Transportat &amp; Logist, 77 Massachusetts Ave, Cambridge, MA 02139 USA; [Munoz-Villamizar, Andres] Univ La Sabana, Escuela Int Ciencias Econ &amp; Adm, Chia, Colombia; [Munoz-Villamizar, Andres; Santos, Javier] Univ Navarra, TECNUN Escuela Ingenieros, San Sebastian, Spain; [Montoya-Torres, Jairo R.] Univ La Sabana, Fac Ingn, Grp Invest Sistemas Logist, Chia, Colombia</t>
  </si>
  <si>
    <t>Massachusetts Institute of Technology (MIT); Universidad de La Sabana; University of Navarra; Universidad de La Sabana</t>
  </si>
  <si>
    <t>Muñoz-Villamizar, A (corresponding author), Univ La Sabana, Operat &amp; Supply Chain Management Res Grp, Escuela Int Ciencias Econ &amp; Adm, Chia, Colombia.</t>
  </si>
  <si>
    <t>andresmunvi@unisabana.edu.co</t>
  </si>
  <si>
    <t>Muñoz-Villamizar, Andrés/E-2642-2017; Santos, Javier/K-3571-2014; Montoya-Torres, Jairo/B-8681-2009; Velazquez Martinez, Josue Cuauhtemoc/AFU-7386-2022; Velazquez Martinez, Josue/AFU-7386-2022; Muñoz-Villamizar, Andrés/E-2642-2017</t>
  </si>
  <si>
    <t>Muñoz-Villamizar, Andrés/0000-0003-2542-0645; Santos, Javier/0000-0001-7612-0533; Montoya-Torres, Jairo R/0000-0002-6251-3667; Velazquez Martinez, Josue Cuauhtemoc/0000-0001-8863-6609; Muñoz-Villamizar, Andrés/0000-0003-2542-0645</t>
  </si>
  <si>
    <t>European Union, through the LIFE programme [LIFE15 ENV/ES/000379]; Special Patrimonial Fund at Universidad de La Sabana; TECNUN Escuela de Ingenieros, Universidad de Navarra; MIT Sustainable Logistics Initiative; AdP</t>
  </si>
  <si>
    <t>European Union, through the LIFE programme; Special Patrimonial Fund at Universidad de La Sabana; TECNUN Escuela de Ingenieros, Universidad de Navarra; MIT Sustainable Logistics Initiative; AdP</t>
  </si>
  <si>
    <t>The authors are deeply grateful to the anonymous reviewers for their suggestions, which have greatly contributed to the improvement of this paper. The work presented in this paper was carried out within the framework of the LIFE MCUBO research project funded by the European Union (LIFE15 ENV/ES/000379), through the LIFE programme. In addition, the authors would like to acknowledge the support received from AdP, the Special Patrimonial Fund at Universidad de La Sabana, the doctoral grant from TECNUN Escuela de Ingenieros, Universidad de Navarra and MIT Sustainable Logistics Initiative.</t>
  </si>
  <si>
    <t>10.1016/j.scs.2019.101844</t>
  </si>
  <si>
    <t>JX9PF</t>
  </si>
  <si>
    <t>WOS:000504058400051</t>
  </si>
  <si>
    <t>A Metro-Based System as Sustainable Alternative for Urban Logistics in the Era of E-Commerce</t>
  </si>
  <si>
    <t>city logistics; last-mile innovation; urban rail freight; sustainable development; e-commerce; externality</t>
  </si>
  <si>
    <t>FREIGHT TRANSPORTATION; NETWORK</t>
  </si>
  <si>
    <t>Business to consumer e-commerce (B2C) has increased sharply in recent years driven by a growing online population and changes in consumer behavior. In metropolitan areas, the Amazon effect (online retailers' vast selection, fast shipping, free returns, and low prices) has led to an increased use of light goods vehicles. This is affecting the rational functioning of the transport system, including a high degree of fragmentation, low load optimization, and, among other externalities, higher traffic congestion. This paper investigates the potential of a metro system, in a big city like Madrid, to provide delivery services by leveraging its existing carrying capacity and using the metro stations to collect parcels in lockers. It would be a new mixed distribution model for last-mile deliveries associated with e-commerce. To that end, the paper evaluates the cost and impacts of two alternative scenarios for managing the unused space in rolling stock (shared trains) or specific full train services (dedicated trains) on existing lines. The external costs of the proposed scenarios are compared with current e-commerce delivery scenario (parcel delivery by road). The results show that underground transport of parcels could significantly reduce congestion costs, accidents, noise, GHG emissions, and air pollution.</t>
  </si>
  <si>
    <t>[Villa, Rafael] Camilo Jose Cela Univ, Sch Technol &amp; Sci, Madrid 28692, Spain; [Monzon, Andres] Univ Politecn Madrid, Transport Res Ctr TRANSyT, Madrid 28040, Spain</t>
  </si>
  <si>
    <t>Villa, R (corresponding author), Camilo Jose Cela Univ, Sch Technol &amp; Sci, Madrid 28692, Spain.</t>
  </si>
  <si>
    <t>Monzón, Andrés/M-3803-2017; Villa Martinez, Rafael/AGG-6919-2022; MONZON DE CACERES, ANES/M-3803-2017</t>
  </si>
  <si>
    <t>Villa Martinez, Rafael/0000-0001-5382-161X; MONZON DE CACERES, ANES/0000-0001-7265-2663</t>
  </si>
  <si>
    <t>10.3390/su13084479</t>
  </si>
  <si>
    <t>RU7SB</t>
  </si>
  <si>
    <t>WOS:000645342300001</t>
  </si>
  <si>
    <t>Lu, H; Bao, J</t>
  </si>
  <si>
    <t>Lu, Hao; Bao, Jie</t>
  </si>
  <si>
    <t>Spatial Differentiation Effect of Rural Logistics in Urban Agglomerations in China Based on the Fuzzy Neural Network</t>
  </si>
  <si>
    <t>sustainable development; urban agglomeration; rural logistics; Chengdu-Chongqing agglomeration; fuzzy neural network; GIS</t>
  </si>
  <si>
    <t>CITY LOGISTICS; SPEED PREDICTION; RISK-MANAGEMENT; SYSTEM; TRANSPORT; FRAMEWORK; AREAS; PORT</t>
  </si>
  <si>
    <t>Rural logistics is particularly important for the sustainable development of Chinese urban agglomeration, which features the coexistence of urban circles and vast countryside. However, the existing literature generally focuses on urban logistics while ignoring rural logistics. Taking the Chengdu-Chongqing agglomeration as an example, this study constructed a rural logistics index system and proposed a new dynamic assessment model for rural logistics development using a fuzzy neural network, Moran index, and Kernel density estimation. The results are as follows: the development of rural logistics has been enhanced, and gaps among cities have gradually narrowed over the past decade. In particular, the spatial distribution of rural logistics showcases a dual-core structure in the Chengdu-Chongqing agglomeration, which is different from the unipolar structure manifested in other urban agglomerations. Because of administrative barriers, the impact from the dual-core cities is very different: Chengdu has a significant spillover effect on its surrounding cities, which is not the case for Chongqing. The findings are of great significance for local governments to provide decision-making support for the sustainable development of urban agglomerations.</t>
  </si>
  <si>
    <t>[Lu, Hao; Bao, Jie] Chongqing Jiaotong Univ, Sch Econ &amp; Management, Chongqing 400074, Peoples R China</t>
  </si>
  <si>
    <t>Chongqing Jiaotong University</t>
  </si>
  <si>
    <t>Bao, J (corresponding author), Chongqing Jiaotong Univ, Sch Econ &amp; Management, Chongqing 400074, Peoples R China.</t>
  </si>
  <si>
    <t>622200910005@mails.cgjtu.edu.cn</t>
  </si>
  <si>
    <t>bao, jiemeng/NPI-9850-2025</t>
  </si>
  <si>
    <t>National Natural Science Foundation of China [71901043]; Chongqing Municipal Education Commission Project [KJQN201900739]; Chongqing Social Science Planning Project [2017PY40]; Science and Technology Bureau Foundation and Frontier Project of Chongqing [cstc2019jcyj-msxmX0629]</t>
  </si>
  <si>
    <t>National Natural Science Foundation of China(National Natural Science Foundation of China (NSFC)); Chongqing Municipal Education Commission Project; Chongqing Social Science Planning Project; Science and Technology Bureau Foundation and Frontier Project of Chongqing</t>
  </si>
  <si>
    <t>This research was funded by [the National Natural Science Foundation of China] grant number [71901043], [the Chongqing Municipal Education Commission Project] grant number [KJQN201900739], [Chongqing Social Science Planning Project] grant number [2017PY40], and [the Science and Technology Bureau Foundation and Frontier Project of Chongqing] grant number [cstc2019jcyj-msxmX0629].</t>
  </si>
  <si>
    <t>10.3390/su14159268</t>
  </si>
  <si>
    <t>3R8HJ</t>
  </si>
  <si>
    <t>WOS:000839146800001</t>
  </si>
  <si>
    <t>Zunder, TH</t>
  </si>
  <si>
    <t>Zunder, Thomas H.</t>
  </si>
  <si>
    <t>A semi-systematic literature review, identifying research opportunities for more sustainable, receiver-led inbound urban logistics flows to large higher education institutions</t>
  </si>
  <si>
    <t>Urban freight; Logistics; Literature review; Sustainability; Procurement; Higher education institutions</t>
  </si>
  <si>
    <t>SUPPLY CHAIN MANAGEMENT; CITY LOGISTICS; FREIGHT TRANSPORT; EVALUATION FRAMEWORK; PURCHASING BEHAVIOR; DATA-COLLECTION; CARGO BIKES; GOODS; CONSOLIDATION; PROCUREMENT</t>
  </si>
  <si>
    <t>This paper reports a semi-systematic literature review, identifying research opportunities for more sustainable, receiver-led, inbound logistics flows to large Higher Education Institutions (HEIs). Methods The literature - a body of 229 works - was reviewed using online scholarly databases: the NOVELOG toolkit database; a CASP checklist; followed by re-reading of the refined set of works. A two-stage approach was deployed: first scoping, using a semi-systematic approach, then a narrative review, guided by the systematic review in terms of literature survey and selection. Findings The field was found to be emergent, with 77% of all articles published after 2011. Key concepts were identified and grouped as recurring, or with noticeable gaps - and therefore suitable for further research. The key gaps identified as worthy of note at this stage were: urban freight and procurement activity; private purchasing behaviour; HEIs and freight; barriers to sustainable procurement; engaging with Action Research in purchasing and supply chain management; little or no theory development; and the use of electric vehicles (EVs) in freight.</t>
  </si>
  <si>
    <t>[Zunder, Thomas H.] Newcastle Univ, Newcastle Upon Tyne, Tyne &amp; Wear, England</t>
  </si>
  <si>
    <t>Newcastle University - UK</t>
  </si>
  <si>
    <t>Zunder, TH (corresponding author), Newcastle Univ, Newcastle Upon Tyne, Tyne &amp; Wear, England.</t>
  </si>
  <si>
    <t>tom.zunder@ncl.ac.uk</t>
  </si>
  <si>
    <t>Zunder, Thomas/C-5211-2013; Zunder, Thomas/C-5211-2013</t>
  </si>
  <si>
    <t>Zunder, Thomas/0000-0002-1865-6548; Zunder, Thomas/0000-0002-1865-6548</t>
  </si>
  <si>
    <t>MAY 17</t>
  </si>
  <si>
    <t>10.1186/s12544-021-00487-1</t>
  </si>
  <si>
    <t>SD5YA</t>
  </si>
  <si>
    <t>WOS:000651451200002</t>
  </si>
  <si>
    <t>Rothbard, S; Cossu, P; Cartolano, F; Rapin, P; Mejía, H; Rubio, DG; Escobar, RU</t>
  </si>
  <si>
    <t>Rothbard, Sandra; Cossu, Paola; Cartolano, Fabio; Rapin, Philippe; Mejia, Hernan; Rubio, David Garcia; Escobar, Raul Urbano</t>
  </si>
  <si>
    <t>Curbside Management: A Digital Solution Space Optimisation</t>
  </si>
  <si>
    <t>Curbside; Urban logistics; Loading zones; Parking; Public space</t>
  </si>
  <si>
    <t>Curbside management has become a point of contention for municipalities as multiple road users, including transit, bicyclists, micromobility, shared vehicles, personal cars, city logistics and others, compete for access. Logistics service providers (LSPs) have difficulty finding safe and legal loading and unloading spaces near delivery receivers. With tight schedules, demanding customers, congestion, heavy cargo and few delivery zones, delivery drivers tend to double park in travel lanes, making it unsafe for them and other road users and contributing to congestion and an increase in emissions. To combat this problem, EIT Urban Mobility invested in FlexCurb, a two-part digital solution to help municipalities better visualise critical curb usage data (FlexCurb Planning Platform) and to help delivery drivers find available loading zones (FlexCurb Driver App). Four cities: Funchal, Portugal, Leuven, Belgium, Strasbourg, France and Toulouse, France were chosen to pilot the FlexCurb platform, evaluating curb regulations, viewing activity patterns, and identifying allocation imbalances. The pro-cess helped cities pinpoint which data they need to gather and how to use existing data to answer complex questions about the curb. Testing and further development of the tools will continue as EIT Urban Mobility has included FlexCurb in its innovation project portfolio for a second year.</t>
  </si>
  <si>
    <t>[Rothbard, Sandra] Freight Matters, Atlanta, GA 30349 USA; [Cossu, Paola; Cartolano, Fabio] FIT Consulting Srl, Rome, Italy; [Rapin, Philippe; Mejia, Hernan] Urban Radar, Reims, France; [Rubio, David Garcia; Escobar, Raul Urbano] Automot Technol Ctr Galicia, CTAG, Porrino, Spain</t>
  </si>
  <si>
    <t>Cartolano, F (corresponding author), FIT Consulting Srl, Rome, Italy.</t>
  </si>
  <si>
    <t>cartolano@fitconsulting.it</t>
  </si>
  <si>
    <t>EIT Urban Mobility, an initiative of the European Institute of Innovation and Technology (EIT), a body of the European Union</t>
  </si>
  <si>
    <t>FlexCurb is supported by EIT Urban Mobility, an initiative of the European Institute of Innovation and Technology (EIT), a body of the European Union. Views and opinions expressed are however those of the author(s) only and do not necessarily reflect those of the European Union or European Institute of Innovation and Technology. Neither the European nor the granting authority can be held responsible for them.</t>
  </si>
  <si>
    <t>10.1007/978-3-031-95284-5_46</t>
  </si>
  <si>
    <t>WOS:001576316800046</t>
  </si>
  <si>
    <t>Alho, AR; Sakai, T; Oh, S; Cheng, C; Seshadri, R; Chong, WH; Hara, Y; Caravias, J; Cheah, L; Ben-Akiva, M</t>
  </si>
  <si>
    <t>Alho, Andre Romano; Sakai, Takanori; Oh, Simon; Cheng, Cheng; Seshadri, Ravi; Chong, Wen Han; Hara, Yusuke; Caravias, Julia; Cheah, Lynette; Ben-Akiva, Moshe</t>
  </si>
  <si>
    <t>A Simulation-Based Evaluation of a Cargo-Hitching Service for E-Commerce Using Mobility-on-Demand Vehicles</t>
  </si>
  <si>
    <t>same-day delivery; agent-based simulation; city logistics; urban freight; mobility-on-demand</t>
  </si>
  <si>
    <t>DELIVERIES; TRANSPORTATION; IMPACTS; SYSTEM</t>
  </si>
  <si>
    <t>Time-sensitive parcel deliveries-shipments requested for delivery in a day or less-are an increasingly important aspect of urban logistics. It is challenging to deal with these deliveries from a carrier perspective. These require additional planning constraints, preventing the efficient consolidation of deliveries that is possible when demand is well known in advance. Furthermore, such time-sensitive deliveries are requested to a wider spatial scope than retail centers, including homes and offices. Therefore, an increase in such deliveries is considered to exacerbate negative externalities, such as congestion and emissions. One of the solutions is to leverage spare capacity in passenger transport modes. This concept is often denominated as cargo hitching. While there are various system designs, it is crucial that such a solution does not deteriorate the quality of service of passenger trips. This research aims to evaluate the use of mobility-on-demand (MOD) services that perform same-day parcel deliveries. To test the MOD-based solutions, we utilize a high-resolution agent- and activity-based simulation platform of passenger and freight flows. E-commerce demand carrier data collected in Singapore are used to characterize simulated parcel delivery demand. We explore operational scenarios that aim to minimize the adverse effects of fulfilling deliveries with MOD service vehicles on passenger flows. Adverse effects are measured in fulfillment, wait, and travel times. A case study on Singapore indicates that the MOD services have potential to fulfill a considerable amount of parcel deliveries and decrease freight vehicle traffic and total vehicle kilometers travelled without compromising the quality of MOD for passenger travel. Insights into the operational performance of the cargo-hitching service are also provided.</t>
  </si>
  <si>
    <t>[Alho, Andre Romano; Caravias, Julia; Ben-Akiva, Moshe] MIT, Intelligent Transportat Syst Lab, Cambridge, MA 02139 USA; [Sakai, Takanori] Tokyo Univ Marine Sci &amp; Technol, Dept Logist &amp; Informat Engn, Tokyo 1358533, Japan; [Oh, Simon] Korea Univ, Dept Autonomous Mobil, Sejong 30019, South Korea; [Cheng, Cheng; Chong, Wen Han] Agcy Sci Technol &amp; Res, A STAR, Singapore 138632, Singapore; [Seshadri, Ravi] Tech Univ Denmark, Dept Technol Management &amp; Econ, DK-2800 Lyngby, Denmark; [Hara, Yusuke] Univ Tokyo, Intelligent Syst &amp; Informat Lab, Tokyo 1138654, Japan; [Cheah, Lynette] Singapore Univ Technol &amp; Design, Engn Syst &amp; Design, Singapore 487372, Singapore</t>
  </si>
  <si>
    <t>Massachusetts Institute of Technology (MIT); Tokyo University of Marine Science &amp; Technology; Korea University; Agency for Science Technology &amp; Research (A*STAR); Technical University of Denmark; University of Tokyo; Singapore University of Technology &amp; Design</t>
  </si>
  <si>
    <t>Alho, AR (corresponding author), MIT, Intelligent Transportat Syst Lab, Cambridge, MA 02139 USA.</t>
  </si>
  <si>
    <t>aromanoa@mit.edu; tsakai2@kaiyodai.ac.jp; simonoh@korea.ac.kr; ccheng3@outlook.com; ravse@dtu.dk; wenhan@mit.edu; hara@tohoku.ac.jp; caravias@mit.edu; lynette@sutd.edu.sg; mba@mit.edu</t>
  </si>
  <si>
    <t>; Cheah, Lynette/ABB-1629-2020; Seshadri, Ravi/C-3274-2008; Oh, Simon/HZM-0136-2023; Oh, Simon/V-1693-2017; Alho, Andre/AAG-9934-2019</t>
  </si>
  <si>
    <t>Cheah, Lynette/0000-0001-6312-0331; Sakai, Takanori/0000-0002-8426-7452; Seshai, Ravi/0000-0002-9327-9455; Alho, André/0000-0003-3275-7174; Oh, Simon/0000-0001-7013-9997;</t>
  </si>
  <si>
    <t>National Research Foundation, Prime Minister's Office, Singapore, under its CREATE programme, Singapore-MIT Alliance for Research and Technology (SMART) Future Urban Mobility (FM) IRG; SUTD-MIT International Design Centre (IDC) [IDG21800101]; Land Transport Authority (LTA) of Singapore</t>
  </si>
  <si>
    <t>National Research Foundation, Prime Minister's Office, Singapore, under its CREATE programme, Singapore-MIT Alliance for Research and Technology (SMART) Future Urban Mobility (FM) IRG(National Research Foundation, SingaporeSingapore-MIT Alliance for Research &amp; Technology Centre (SMART)); SUTD-MIT International Design Centre (IDC)(Singapore University of Technology &amp; Design); Land Transport Authority (LTA) of Singapore</t>
  </si>
  <si>
    <t>The research was funded in part by the National Research Foundation, Prime Minister's Office, Singapore, under its CREATE programme, Singapore-MIT Alliance for Research and Technology (SMART) Future Urban Mobility (FM) IRG; and funded in part by the SUTD-MIT International Design Centre (IDC) under the grant (IDG21800101). We acknowledge the support of the Land Transport Authority (LTA) of Singapore in providing the road network for this study. Any findings, conclusions, recommendations, or opinions expressed are those of the authors only.</t>
  </si>
  <si>
    <t>10.3390/futuretransp1030034</t>
  </si>
  <si>
    <t>ZG9P1</t>
  </si>
  <si>
    <t>WOS:001274264500001</t>
  </si>
  <si>
    <t>Singh, A; Hauge, JB; Wiktorsson, M</t>
  </si>
  <si>
    <t>Singh, Amita; Hauge, Jannicke Baalsrud; Wiktorsson, Magnus</t>
  </si>
  <si>
    <t>Simulation-Based Participatory Modelling in Urban and Production Logistics: A Review on Advances and Trends</t>
  </si>
  <si>
    <t>participatory modelling; stakeholders participation; urban logistics; production logistics; thematic analysis</t>
  </si>
  <si>
    <t>CITY LOGISTICS; SUSTAINABILITY ASSESSMENT; GREEN INFRASTRUCTURE; PUBLIC-PARTICIPATION; WATER MANAGEMENT; SYSTEM DYNAMICS; GAMING APPROACH; CO-DESIGN; TRANSPORT; FRAMEWORK</t>
  </si>
  <si>
    <t>Simulation-based participatory modelling allows integration of all types of knowledge including empirical, technical and scientific from all disciplines and domains. Thus, in recent years, the use of participatory modelling has been continuously increasing in many fields including logistics. With a view of achieving better understanding of the subject, this article systematically reviews the advances made in participatory modelling in the field of urban and production logistics in the last decade. It further reports the findings transparently following a categorization based on (i) the purpose of participatory modelling in the domain, and (ii) depending on the purpose how data is collected, processed and outcomes are presented. The review resulted in 97 articles which were analysed and categorized based on the above two questions formulated in the literature surveyed. The review revealed that apart from the three existing categories of purposes, namely, reflexive, descriptive and normative there is an emerging fourth category that was analytical in nature and 15 out of 97 articles analyzed belonged to this category. The authors decided to call this category analytical field empirical modelling which is primarily based on mathematical modelling and use of computational methods. We present these results with the help of a categorization. During the analysis for the second research question, we discovered that though the conventional ways of data collection and processing, such as interviews and workshops, which remain significantly present, in electronic data crowdsourcing and data processing via computational methods are emerging.</t>
  </si>
  <si>
    <t>[Singh, Amita; Hauge, Jannicke Baalsrud; Wiktorsson, Magnus] KTH Royal Inst Technol, Kvarnbergagatan 12, S-15136 Sodertalje, Sweden</t>
  </si>
  <si>
    <t>Royal Institute of Technology</t>
  </si>
  <si>
    <t>Singh, A (corresponding author), KTH Royal Inst Technol, Kvarnbergagatan 12, S-15136 Sodertalje, Sweden.</t>
  </si>
  <si>
    <t>amitas@kth.se; jmbh@kth.se; magwik@kth.se</t>
  </si>
  <si>
    <t>; Singh, Amita/ABM-9096-2022; Wiktorsson, Magnus/M-1703-2015</t>
  </si>
  <si>
    <t>Singh, Amita/0000-0002-4566-0171; Wiktorsson, Magnus/0000-0001-7935-8811</t>
  </si>
  <si>
    <t>Interreg Baltic Sea Region [R105 (S5010EU)]; [HUPMOBILE R105 (S5010EU)]</t>
  </si>
  <si>
    <t>Interreg Baltic Sea Region;</t>
  </si>
  <si>
    <t>This research was funded by an EU-project HUPMOBILE R105 (S5010EU) of the Interreg Baltic Sea Region.</t>
  </si>
  <si>
    <t>10.3390/su14010017</t>
  </si>
  <si>
    <t>YS9VP</t>
  </si>
  <si>
    <t>WOS:000751019200001</t>
  </si>
  <si>
    <t>Haag, P; Jünger, HC</t>
  </si>
  <si>
    <t>Haag, Phillip; Juenger, Hans Christian</t>
  </si>
  <si>
    <t>Turning a spotlight on construction logistics for a sustainable urban environment-a review of current policy concepts and literature</t>
  </si>
  <si>
    <t>FRONTIERS IN BUILT ENVIRONMENT</t>
  </si>
  <si>
    <t>construction logistics; city logistics; urban area; sustainability; policy concepts; literature review</t>
  </si>
  <si>
    <t>FREIGHT; MANAGEMENT; TRANSPORT; STORAGE; IMPACT</t>
  </si>
  <si>
    <t>Construction logistics is an influential participant in the overall urban freight network and a bottle neck for an efficient construction process. Especially in the urban area professionalization of its management may reduce negative impacts on the environment from which stakeholders, like construction companies, policymakers and residents, do profit. In order to shed light on construction logistics in the urban environment in particular, a two-step methodological approach was pursued, which reconciles scientific findings with consideration in policies for the first time. Therefore, the current state of research was investigated by performing a systematic literature review and applying bibliometric keyword co-occurrence analyses in the first place. Moreover, policy papers (grey literature) on urban freight transportation of the 20 biggest cities in the DACH-region (Germany, Austria, Switzerland) were analyzed for their consideration of construction logistics in an initial case study. The results demonstrate limited consideration with only four cities paying deliberate attention within their overall logistics policy concepts and just one city providing construction logistics-specific policy recommendations. This is in line with the findings that although construction logistics in the urban environment is an emerging topic in academia, it is currently underrepresented in the context of urban logistics research. Therefore, combined results suggest insufficient translation of research findings into actionable policies despite existing literature providing possible ways to design future policies, e.g., by supporting decision-making. In conclusion, strategic management of construction logistics in the urban environment should be paid more attention to from both policy and academia in proportion to its environmental and socio-economic effects as well as its impact on the whole construction process. In that regard, predominately robust empirical data is needed in order to legitimate effective and sustainable concepts for urban construction logistics for both public and private actors.</t>
  </si>
  <si>
    <t>[Haag, Phillip; Juenger, Hans Christian] Univ Stuttgart, Inst Construct Management, Stuttgart, Germany</t>
  </si>
  <si>
    <t>University of Stuttgart</t>
  </si>
  <si>
    <t>Haag, P (corresponding author), Univ Stuttgart, Inst Construct Management, Stuttgart, Germany.</t>
  </si>
  <si>
    <t>phillip.haag@ibl.uni-stuttgart.de</t>
  </si>
  <si>
    <t>Haag, Phillip/0000-0001-5747-0407</t>
  </si>
  <si>
    <t>Deutsche Forschungsgemeinschaft (DFG, German Research Foundation) under Germanys Excellence Strategy [EXC 2120/1-390831618]</t>
  </si>
  <si>
    <t>Deutsche Forschungsgemeinschaft (DFG, German Research Foundation) under Germanys Excellence Strategy(German Research Foundation (DFG))</t>
  </si>
  <si>
    <t>Supported by the Deutsche Forschungsgemeinschaft (DFG, German Research Foundation) under Germanys Excellence Strategy-EXC 2120/1-390831618.</t>
  </si>
  <si>
    <t>2297-3362</t>
  </si>
  <si>
    <t>FRONT BUILT ENVIRON</t>
  </si>
  <si>
    <t>Front. Built Environ.</t>
  </si>
  <si>
    <t>OCT 16</t>
  </si>
  <si>
    <t>10.3389/fbuil.2023.1202091</t>
  </si>
  <si>
    <t>W1LA5</t>
  </si>
  <si>
    <t>WOS:001089300100001</t>
  </si>
  <si>
    <t>Lagorio, A; Pinto, R; Golini, R</t>
  </si>
  <si>
    <t>Lagorio, Alexandra; Pinto, Roberto; Golini, Ruggero</t>
  </si>
  <si>
    <t>Research in urban logistics: a systematic literature review</t>
  </si>
  <si>
    <t>INTERNATIONAL JOURNAL OF PHYSICAL DISTRIBUTION &amp; LOGISTICS MANAGEMENT</t>
  </si>
  <si>
    <t>City logistics; Systematic literature review; Urban logistics; Urban freight transport</t>
  </si>
  <si>
    <t>FREIGHT-TRANSPORTATION SYSTEMS; SUPPLY CHAIN MANAGEMENT; CITY LOGISTICS; METHODOLOGY; POLICY; FRAMEWORK; ONTOLOGY; VEHICLES; MODEL</t>
  </si>
  <si>
    <t>Purpose - The last decades have witnessed an increased interest in urban logistics originating from both the research and the practitioners' communities. Sustainable freight transports today are on the political, social and technological agenda of many actors operating in urban contexts. Due to the extent of the covered areas and the continuous progress in many fields, the resulting body of research on urban logistics appears quite fragmented. From an engineering management perspective, the purpose of this paper is to present a systematic literature review (SLR) that aims to consolidate the knowledge on urban logistics, analyse the development of the discipline, and provide future research directions. Design/methodology/approach - The paper discusses the main evidence emerging from a SLR on urban logistics. The corpus resulting from the SLR has been used to perform a citation network analysis and a main path analysis that together underpin the identification of the most investigated topics and methodologies in the field. Findings - Through the analysis of a corpus of 104 articles, the most important research contributions on urban logistics that represent the structural backbone in the development of the research over time in the field are detected. Based on these findings, this work identifies and discusses three areas of potential interest for future research. Originality/value - This paper presents an SLR related to a research area in which the literature is extremely fragmented. The results provide insights about the research path, current trends and future research directions in the field of urban logistics.</t>
  </si>
  <si>
    <t>[Lagorio, Alexandra] Univ Bergamo, Dept Engn, Dalmine, Italy; [Lagorio, Alexandra; Pinto, Roberto; Golini, Ruggero] Univ Bergamo, Dept Management Informat &amp; Prod Engn, Dalmine, Italy</t>
  </si>
  <si>
    <t>University of Bergamo; University of Bergamo</t>
  </si>
  <si>
    <t>Lagorio, A (corresponding author), Univ Bergamo, Dept Engn, Dalmine, Italy.;Lagorio, A (corresponding author), Univ Bergamo, Dept Management Informat &amp; Prod Engn, Dalmine, Italy.</t>
  </si>
  <si>
    <t>alexandra.lagorio@unibg.it</t>
  </si>
  <si>
    <t>Lagorio, Alexandra/ABD-6319-2020; Golini, Ruggero/D-1796-2014</t>
  </si>
  <si>
    <t>Golini, Ruggero/0000-0002-8632-2793; Lagorio, Alexana/0000-0003-1489-0625</t>
  </si>
  <si>
    <t>0960-0035</t>
  </si>
  <si>
    <t>1758-664X</t>
  </si>
  <si>
    <t>INT J PHYS DISTR LOG</t>
  </si>
  <si>
    <t>Int. J. Phys. Distrib. Logist. Manag.</t>
  </si>
  <si>
    <t>10.1108/IJPDLM-01-2016-0008</t>
  </si>
  <si>
    <t>EI0QL</t>
  </si>
  <si>
    <t>WOS:000392179200002</t>
  </si>
  <si>
    <t>Kijewska, K; Jedlinski, M</t>
  </si>
  <si>
    <t>Kijewska, Kinga; Jedlinski, Mariusz</t>
  </si>
  <si>
    <t>The Concept of Urban Freight Transport Projects Durability and Its Assessment within the Framework of a Freight Quality Partnership</t>
  </si>
  <si>
    <t>logistics; urban freight transport; Freight Quality Partnership; project durability</t>
  </si>
  <si>
    <t>CITY LOGISTICS; MANAGEMENT; STAKEHOLDERS; SUCCESS; CITIES; MODEL</t>
  </si>
  <si>
    <t>This article focuses on the role of Urban Freight Transport (UFT) projects in improving the life quality of city inhabitants. The main focus of the deliberations is the aspect of UFT projects' durability. The authors take an original approach to the definition of UFT project durability and also provide the results of a research study carried out in 2018. This made it possible to furnish an answer to the research questions that boiled down to the analysis of the current status of the relevant academic literature, to attempt to define the total durability of a UFT project, and to indicate the critical gaps in perception among the key stakeholders of the projects. In this study, particular attention is paid to the terminological synthesis and the conclusion resulting from adopting induction and deduction as the methods of solving research study problems. A novelty is the approach adopted in the project evaluation emphasising the mentioned durability aspect as one of the major success factors. This is particularly important for implementation of a Freight Quality Partnership as a solution enabling development of sustainable systems of urban logistics. The solution was treated as a specific implementation project for which the issue of key importance is the identification of success factors in the context of satisfying the needs of diverse groups of UFT stakeholders. It should be stressed that durability of projects in the area of UFT is critically important, even though there is a significant conceptual gap in that regard. The research study involved the originally developed concept of the Pyramid of Stakeholders Survey. By means of this concept, FQP durability was analysed on the example of the experience gained in the course of the solution functioning in Szczecin.</t>
  </si>
  <si>
    <t>[Kijewska, Kinga; Jedlinski, Mariusz] Maritime Univ Szczecin, Fac Econ &amp; Engn Transport, 11 Poboznego Str, PL-70507 Szczecin, Poland</t>
  </si>
  <si>
    <t>Kijewska, K (corresponding author), Maritime Univ Szczecin, Fac Econ &amp; Engn Transport, 11 Poboznego Str, PL-70507 Szczecin, Poland.</t>
  </si>
  <si>
    <t>k.kijewska@am.szczecin.pl; m.jedlinski@am.szczecin.pl</t>
  </si>
  <si>
    <t>Kijewska, Kinga/AGE-9889-2022; Jedliński, Mariusz/AAH-5370-2021</t>
  </si>
  <si>
    <t>Jedliński, Mariusz/0000-0002-4227-2755; Kijewska, Kinga/0000-0003-4980-9372</t>
  </si>
  <si>
    <t>Ministry of Science and Higher Education [1/S/IZT/2018]</t>
  </si>
  <si>
    <t>Ministry of Science and Higher Education</t>
  </si>
  <si>
    <t>This paper has been founded under grant No 1/S/IZT/2018 Analysis of logistic determinants of sustainable urban development financed with a subsidy from the Ministry of Science and Higher Education for statutory activities.</t>
  </si>
  <si>
    <t>10.3390/su10072226</t>
  </si>
  <si>
    <t>GP5WQ</t>
  </si>
  <si>
    <t>WOS:000440947600117</t>
  </si>
  <si>
    <t>Palacios-Argüello, L; Gonzalez-Feliu, J; Gondran, N; Badeig, F</t>
  </si>
  <si>
    <t>Palacios-Arguello, Laura; Gonzalez-Feliu, Jesus; Gondran, Natacha; Badeig, Fabien</t>
  </si>
  <si>
    <t>Assessing the economic and environmental impacts of urban food systems for public school canteens: case study of Great Lyon region</t>
  </si>
  <si>
    <t>Urban food distribution; School canteens; Food chains; Sustainable supply chains</t>
  </si>
  <si>
    <t>Urban logistics is a subject that interests both city planners and researchers. Although many works are found in non-food distribution, food-based logistics is less studied in an urban context, and sustainability issues of urban food systems remain little analysed, but it is a crucial element for local public authorities. This paper proposes a methodology for assessing scenarios of advanced urban food logistics; more precisely to answer the question of how school canteen distribution scenarios can be assessed in an economic and environmental viewpoint. To deal with those issues, the paper proposes to develop a scenario assessment framework combining a demand estimation model, a transport supply estimation method and a set of evaluation indicators (for both economic and environmental impacts). The demand estimation model generates first a number of meals per canteen then transforms it into a food quantity, based on carrier's information and other practice's feedbacks; the transport estimation is made with a combination of route construction algorithms that reproduce the logic of current Transportation Management System (TMS). The economic evaluation is made via direct operational costs estimation (both fixed and variable) and the environmental evaluation using COPERT V for direct emission's assessment. Three scenarios are assessed: the current situation with the operational warehouse, the use of an alternative platform in another location and the combination of both. To address the application issues, the proposed framework is compared to the use of disconnected commercial tools on the three scenarios. We observe that the first two scenarios are close in terms of travelled distances, times and costs. The third scenario, which involves two platforms, results on higher distances and times, and consequently on higher costs and higher for some of the environmental emissions. That scenario does not allow, with the considered demand, economies of scale (i.e. using less vehicles or in a more consolidated way). When comparing the two assessment methods, the proposed framework results on slightly higher travelled distances and times, but the same number of vehicles. However, results can be considered equivalent since the gap between the two assessment methods is in general around 5% for most indicators. It can be observed that the location of the platform is a key element, not only related to travelled distances, but also to the infrastructures used and their accessibility to the delivery destinations. However, this first assessment shows the interests and opportunities of food city supply solutions and merits further developments. The proposed framework allows to assess food distribution scenarios representing current practices, and would be extended to represent different alternatives of food distribution. Urban logistics is a subject that interests both city planners and researchers. Although many works are found in non-food distribution, food-based logistics is less studied in an urban context, and sustainability issues of urban food systems remain little analysed, but are a crucial element for local public authorities. This paper proposes a methodology for assessing scenarios of advanced urban food logistics; more precisely to answer the question of how urban food logistics supply.</t>
  </si>
  <si>
    <t>[Palacios-Arguello, Laura; Gonzalez-Feliu, Jesus; Gondran, Natacha; Badeig, Fabien] Inst Henri Fayol, Mines St Etienne, CNRS, UMR EVS 5600, 158 Cours Fauriel, F-42023 St Etienne, France</t>
  </si>
  <si>
    <t>Institut National des Sciences Appliquees de Lyon - INSA Lyon; IMT - Institut Mines-Telecom; Mines Saint-Etienne; Centre National de la Recherche Scientifique (CNRS)</t>
  </si>
  <si>
    <t>Palacios-Argüello, L (corresponding author), Inst Henri Fayol, Mines St Etienne, CNRS, UMR EVS 5600, 158 Cours Fauriel, F-42023 St Etienne, France.</t>
  </si>
  <si>
    <t>laura.palacios@emse.fr</t>
  </si>
  <si>
    <t>Gonzalez-Feliu, Jesus/Q-7749-2018; Gonzalez-Feliu, Jesus/Q-7749-2018</t>
  </si>
  <si>
    <t>Gonzalez-Feliu, Jesus/0000-0002-0056-7627; Palacios-Argüello, Laura/0000-0002-9512-1344; Gonzalez-Feliu, Jesus/0000-0002-0056-7627</t>
  </si>
  <si>
    <t>10.1186/s12544-018-0306-8</t>
  </si>
  <si>
    <t>GQ7NC</t>
  </si>
  <si>
    <t>WOS:000441927800001</t>
  </si>
  <si>
    <t>He, ZY</t>
  </si>
  <si>
    <t>He, Zhangyuan</t>
  </si>
  <si>
    <t>The challenges in sustainability of urban freight network design and distribution innovations: a systematic literature review</t>
  </si>
  <si>
    <t>Urban freight transport; City logistics; Urban freight network design; Urban distribution innovations; Sustainability; Systematic literature review</t>
  </si>
  <si>
    <t>LAST-MILE DELIVERY; EX-ANTE EVALUATION; CITY LOGISTICS; ELECTRIC VEHICLES; CARGO BIKES; E-COMMERCE; CONSOLIDATION CENTER; LOCATION SELECTION; WATERWAY TRANSPORT; PARCEL LOCKERS</t>
  </si>
  <si>
    <t>Purpose Freight network planning and the application of distribution innovations are popular fields of research on sustainable urban logistics. However, considerable research on freight network design lacks a comprehensive consideration of the application of distribution innovations. This observation implies that sustainable urban freight research appears highly fragmented in topics of network design and distribution innovations. From the perspective of long-term planning, this situation possibly serves as a barrier to further promotion of sustainability. The objective of this paper is to analyze existing research gaps of literature to further promote the sustainability of urban logistics systems from a future perspective. Design/methodology/approach This paper employs a systematic literature review (SLR) method, which covers 164 papers and research works published in 2013-2018. The article corpus involved the innovative schemes of freight network design and the emerging delivery concepts in cities. Based on an analysis of articles' relevance, the most significant research contributions on both city logistics network design and exploitation of distribution innovations are detected. Findings This paper has found four research gaps in aspects of network design and distribution innovations. To respond to these gaps, we propose the research framework of sustainable and flexible future urban freight planning (SFFUFP) based on trends of city development, while discussing further research direction on urban freight planning. Originality/value The authors have found four research gaps in aspects of both urban freight network design and distribution innovations in which scholars could be encouraged to contribute. The research framework of SFFUFP can further promote sustainable urban logistics from a view of future management.</t>
  </si>
  <si>
    <t>[He, Zhangyuan] Univ Bremen, Fac Business Studies &amp; Econ, Bremen, Germany; [He, Zhangyuan] Univ Bremen, Int Grad Sch Dynam Logist, Bremen, Germany</t>
  </si>
  <si>
    <t>He, ZY (corresponding author), Univ Bremen, Fac Business Studies &amp; Econ, Bremen, Germany.;He, ZY (corresponding author), Univ Bremen, Int Grad Sch Dynam Logist, Bremen, Germany.</t>
  </si>
  <si>
    <t>zhe@uni-bremen.de</t>
  </si>
  <si>
    <t>He, Zhangyuan/0000-0003-2070-1819</t>
  </si>
  <si>
    <t>10.1108/IJPDLM-05-2019-0154</t>
  </si>
  <si>
    <t>JUN 2020</t>
  </si>
  <si>
    <t>PD7WL</t>
  </si>
  <si>
    <t>WOS:000541868100001</t>
  </si>
  <si>
    <t>Rzesny-Cieplinska, J; Szmelter-Jarosz, A; Moslem, S</t>
  </si>
  <si>
    <t>Rzesny-Cieplinska, Jagienka; Szmelter-Jarosz, Agnieszka; Moslem, Sarbast</t>
  </si>
  <si>
    <t>Priority-based stakeholders analysis in the view of sustainable city logistics: Evidence for Tricity, Poland</t>
  </si>
  <si>
    <t>City logistics measures; Urban transport system; Stakeholders of city logistics</t>
  </si>
  <si>
    <t>Tricity is a specific area in Poland because of the geographical location, landscape, access to the sea, access to a few container terminals and being an agglomeration. That is why both for inhabitants and local businesses city logistics issues are particularly important. The need for more sustainable transportation and integrative planning processes in cities, has been widely developed since 2013 when Urban Mobility Package set up a concept for SUMP (Sustainable Urban Mobility Plans) Within this idea, EU provides financial support for urban mobility projects. So various city logistics? solutions are implemented but with a different level of success. City logistics measures have in fact their weaknesses and strengths. It is rather challenging to find an optimal solution because it is difficult to take into account the complexity and diversity of urban logistics while keeping all sides engaged. City logistics seems to be a quite difficult issue, mostly because it contains several levels of complexity. Not only it refers to the diversity of the goods transported and heterogeneity of the transportation means, but also involves multiple stakeholders. The most important are authorities, transportation operator, retailers and residents. These stakeholders most often represent different aims and priorities. While local authorities are interested in reducing pollution, congestion or noise, transportation operators and retailers are mainly focused on keeping costs under control while maintaining service levels. In the study, in-depth interviews technique with various stakeholders of city logistics was used. The interview was based on a questionnaire consisting of open and closed questions. One scale question assessed the importance of a given dimension of sustainable urban logistics for the particular stakeholder. This approach made it possible to identify the priorities of individual stakeholder groups. The respondents were a few individual stakeholders for each group identified within the literature review. To address the aim of the study, to analyse gathered data, both qualitative and quantitative methods were implemented. Among the qualitative methods, the Delphi method, text analysis and text mining techniques were used to identify the main characteristics of stakeholders opinions. Then, to draw the detailed results for each group, the Kruskal-Wallis test was held, equivalent to ANOVA, but not requiring normal distribution of variables, impossible to achieve at small sizes of stakeholder groups samples. The Kruskal-Wallis test allowed identifying similarities and differences between the priorities of the studied groups in light of the research problem being examined.</t>
  </si>
  <si>
    <t>[Rzesny-Cieplinska, Jagienka] WSB Univ Gdansk, Dept Finance &amp; Management, Grunwaldzka 238a, PL-80266 Gdansk, Poland; [Szmelter-Jarosz, Agnieszka] Univ Gdansk, Fac Econ, Armii Krajowej 119-121, PL-81824 Sopot, Poland; [Moslem, Sarbast] Budapest Univ Technol &amp; Econ, Dept Transport Technol &amp; Econ, H-1111 Budapest, Hungary</t>
  </si>
  <si>
    <t>Fahrenheit Universities; University of Gdansk; Budapest University of Technology &amp; Economics</t>
  </si>
  <si>
    <t>Rzesny-Cieplinska, J (corresponding author), WSB Univ Gdansk, Dept Finance &amp; Management, Grunwaldzka 238a, PL-80266 Gdansk, Poland.</t>
  </si>
  <si>
    <t>jrzesny@wsb.gda.pl; agnieszka.szmelter-jarosz@ug.edu.pl; moslem.sarbast@mail.bme.hu</t>
  </si>
  <si>
    <t>; Cieplinska, Jagienka/L-7813-2018; Szmelter-Jarosz, Agnieszka/M-1684-2014; Moslem, Sarbast/HPG-2526-2023</t>
  </si>
  <si>
    <t>Rześny Cieplińska, Jagienka/0000-0002-8882-8472; Moslem, Sarbast/0000-0003-4587-7482; Szmelter-Jarosz, Agnieszka/0000-0002-6183-6114;</t>
  </si>
  <si>
    <t>10.1016/j.scs.2021.102751</t>
  </si>
  <si>
    <t>FEB 2021</t>
  </si>
  <si>
    <t>RK2LN</t>
  </si>
  <si>
    <t>WOS:000638133000008</t>
  </si>
  <si>
    <t>Galkin, A; Svadlenka, L; Vrba, R; de Oliveira, LK</t>
  </si>
  <si>
    <t>Galkin, Andrii; Svadlenka, Libor; Vrba, Radek; de Oliveira, Leise Kelli</t>
  </si>
  <si>
    <t>Evaluation of cargo bike program for parcel deliveries in a medium-sized city</t>
  </si>
  <si>
    <t>Urban freight transport; E -Cargo Bikes; Sustainable Urban Logistics; Last-Mile Delivery; E -Commerce</t>
  </si>
  <si>
    <t>LOGISTICS; TRANSPORT</t>
  </si>
  <si>
    <t>City logistics is undergoing a transformative shift towards sustainability and efficiency. The environmental impacts of traditional delivery methods, coupled with urbanization, have driven the investigation of alternatives, including eco-friendly transportation modes. Among these, electric cargo bikes have emerged as a promising solution to reduce carbon emissions and congestion. This article delves into this case by evaluating a delivery service using electric cargo bikes using empirical data analysis, route optimization, and simulation. The findings support the strategic integration of electric cargo bikes with urban logistics hubs, enhancing the overall efficiency of last-mile deliveries. This research contributes to sustainable urban freight transport, providing information to city authorities, logistics operators, and policymakers. By establishing a robust framework for the deployment of electric cargo bikes in medium-sized cities, the study underscores the importance of innovative and sustainable solutions in transforming urban freight systems, aligning with global sustainability goals and improving urban livability.</t>
  </si>
  <si>
    <t>[Galkin, Andrii; Svadlenka, Libor; Vrba, Radek] Univ Pardubice, Fac Transport Engn, Dept Transport Management Mkt &amp; Logist, Pardubice 53210, Czech Republic; [Galkin, Andrii] Univ Antwerp, Dept Transport &amp; Reg Econ, B-2000 Antwerp, Belgium; [de Oliveira, Leise Kelli] Univ Fed Minas Gerais, Dept Transport Engn &amp; Geotech, BR-31270901 Belo Horizonte, Brazil</t>
  </si>
  <si>
    <t>University of Pardubice; University of Antwerp; Universidade Federal de Minas Gerais</t>
  </si>
  <si>
    <t>Galkin, A (corresponding author), Univ Pardubice, Fac Transport Engn, Dept Transport Management Mkt &amp; Logist, Pardubice 53210, Czech Republic.</t>
  </si>
  <si>
    <t>andrii.galkin@uantwerpen.be</t>
  </si>
  <si>
    <t>; Galkin, Anii/U-3908-2017; Oliveira, Leise Kelli/Y-3946-2018; Galkin, Andrii/U-3908-2017; Vrba, Radek/KQU-6045-2024</t>
  </si>
  <si>
    <t>Vrba, Radek/0000-0001-6598-8548; Galkin, Anii/0000-0003-3505-6170;</t>
  </si>
  <si>
    <t>European Union [1232812]; Modelling of Selected Aspects of Transport Technology and Management V, at the University of Pardubice [SGS_2025_007]</t>
  </si>
  <si>
    <t>European Union(European Union (EU)); Modelling of Selected Aspects of Transport Technology and Management V, at the University of Pardubice</t>
  </si>
  <si>
    <t>This research was supported by the European Union's Marie Sklodowska-Curie Actions under the MSCA4Ukraine funding scheme (project number 1232812, Crowd-shipping Initiatives for Sustainable Development of Urban Logistics. This article is supported by the project SGS_2025_007, titled Modelling of Selected Aspects of Transport Technology and Management V, at the University of Pardubice.</t>
  </si>
  <si>
    <t>10.1016/j.trd.2025.104609</t>
  </si>
  <si>
    <t>U7T4H</t>
  </si>
  <si>
    <t>WOS:001413769100001</t>
  </si>
  <si>
    <t>Muñoz-Villamizar, A; Montoya-Torres, JR; Faulin, J</t>
  </si>
  <si>
    <t>Munoz-Villamizar, Andres; Montoya-Torres, Jairo R.; Faulin, Javier</t>
  </si>
  <si>
    <t>Impact of the use of electric vehicles in collaborative urban transport networks: A case study</t>
  </si>
  <si>
    <t>Urban logistics; Multi objective; Collaboration; Green vehicle routing; Service level; Case study</t>
  </si>
  <si>
    <t>ROUTING PROBLEM; HORIZONTAL COLLABORATION; CITY LOGISTICS; SUPPLY CHAINS; DELIVERY; SYSTEMS</t>
  </si>
  <si>
    <t>Transportation is one of the essential services in cities that contribute to the quality of life. As a result, efficient methods for transport planning have become increasingly important. Decision makers have considered collaborative strategies to reduce the overall cost of the supply process and to improve the efficiency and effectiveness of urban logistics systems. This paper assesses the implementation of an electric fleet of vehicles in collaborative urban distribution of goods, in order to reduce environmental impacts while maintaining a level of service. An approach using mathematical modeling with multiple objectives, for tactical and operational decision-making, is proposed to explore the relationship between the delivery cost and the sustainability impact. This approach has been validated using real-data taken from the city of Bogota, Colombia. Similarly, theoretical experiments in other countries have been performed to analyse the impact of the use of electric vehicles in the configuration of the transport network. (C) 2016 Elsevier Ltd. All rights reserved.</t>
  </si>
  <si>
    <t>[Munoz-Villamizar, Andres] Univ La Sabana, Escuela Int Ciencias Econ &amp; Adm, Km 7 Autopista Norte Bogota, Chia, Cundinamarca, Colombia; [Montoya-Torres, Jairo R.] Univ Los Andes, Sch Management, Calle 21 1-20, Bogota, DC, Colombia; [Faulin, Javier] Univ Publ Navarra, Dept Stat &amp; Operat Res, Magnolios Blg First Floor,Campus Arrosadia, Pamplona 31006, Spain</t>
  </si>
  <si>
    <t>Universidad de La Sabana; Universidad de los Andes (Colombia); Universidad Publica de Navarra</t>
  </si>
  <si>
    <t>Montoya-Torres, JR (corresponding author), Univ Los Andes, Sch Management, Calle 21 1-20, Bogota, DC, Colombia.</t>
  </si>
  <si>
    <t>andres.munoz1@unisabana.edu.co; jr.montoya@uniandes.edu.co</t>
  </si>
  <si>
    <t>Faulin, Javier/A-4811-2010; Muñoz-Villamizar, Andrés/E-2642-2017; Montoya-Torres, Jairo/B-8681-2009; Muñoz-Villamizar, Andrés/E-2642-2017</t>
  </si>
  <si>
    <t>Muñoz-Villamizar, Andrés/0000-0003-2542-0645; Montoya-Torres, Jairo R/0000-0002-6251-3667; Muñoz-Villamizar, Andrés/0000-0003-2542-0645</t>
  </si>
  <si>
    <t>Universidad de La Sabana, Colombia; Ibero-American Program for Science and Technology for Development [CYTED2014-515RT0489]; Spanish Ministry of Economy and Competitiveness [TRA2013-48180-C3-P]; CAN Foundation in Navarre, Spain [CAN2015-70473]</t>
  </si>
  <si>
    <t>Universidad de La Sabana, Colombia; Ibero-American Program for Science and Technology for Development; Spanish Ministry of Economy and Competitiveness(Spanish Government); CAN Foundation in Navarre, Spain</t>
  </si>
  <si>
    <t>This research was supported by Universidad de La Sabana, Colombia and the Ibero-American Program for Science and Technology for Development (CYTED2014-515RT0489). Likewise, we want to acknowledge the support received by the Spanish Ministry of Economy and Competitiveness (TRA2013-48180-C3-P) and by the CAN Foundation in Navarre, Spain (CAN2015-70473). The anonymous reviewers are also acknowledged for their comments and insights allowing the improvement of the manuscript.</t>
  </si>
  <si>
    <t>10.1016/j.trd.2016.10.018</t>
  </si>
  <si>
    <t>EI0KF</t>
  </si>
  <si>
    <t>WOS:000392162700004</t>
  </si>
  <si>
    <t>El Amrani, AM; Fri, M; Benmoussa, O; Rouky, N</t>
  </si>
  <si>
    <t>El Amrani, Amine Mohamed; Fri, Mouhsene; Benmoussa, Othmane; Rouky, Naoufal</t>
  </si>
  <si>
    <t>The Integration of Urban Freight in Public Transportation: A Systematic Literature Review</t>
  </si>
  <si>
    <t>urban logistics; literature review; public transportation; intermodal containers; last-mile delivery</t>
  </si>
  <si>
    <t>UNDERGROUND LOGISTICS SYSTEM; DELIVERY PROBLEM; TIME WINDOWS; CITY LOGISTICS; PICKUP; OPTIMIZATION; NETWORK; PASSENGERS; DESIGN</t>
  </si>
  <si>
    <t>Urban logistics face growing complexity as cities seek sustainable development pathways; one solution is integrating freight transportation with public transit. The purpose of this study is to evaluate current practices, identify gaps, and highlight opportunities for advancement in this field. Through a comprehensive literature review guided by four research questions, this study evaluates methodologies, vehicle choices, the application of intermodal containers, and the shared use of public transportation infrastructure for freight delivery. A meticulous search methodology was employed to select references, which were then analyzed and classified into two main tables. Findings reveal a progression from initial pilot projects and cost analyses to sophisticated planning and optimization challenges, with a focus on metro networks and buses. This study uncovers a predilection for certain research types, the utilization of varied transportation modes, underexplored intermodal container use, and an emerging emphasis on transshipment operations. The integration of freight and public transportation within urban settings is identified as a dynamic and diversifying field, with significant potential for contributing to sustainable urban development. We outline nine areas for future research, including the incorporation of external costs and congestion effects into optimization models, and the exploration of unmanned vehicles, thereby laying the groundwork for more inclusive and efficient urban logistics solutions.</t>
  </si>
  <si>
    <t>[El Amrani, Amine Mohamed; Fri, Mouhsene; Benmoussa, Othmane] Euromed Univ Fes, Euromed Polytech Sch, Fes 30030, Morocco; [Rouky, Naoufal] Hassan First Univ, Fac Sci &amp; Technol, Artificial Intelligence Unit, Settat 26000, Morocco</t>
  </si>
  <si>
    <t>El Amrani, AM (corresponding author), Euromed Univ Fes, Euromed Polytech Sch, Fes 30030, Morocco.</t>
  </si>
  <si>
    <t>m.elamrani@ueuromed.org; m.fri@ueuromed.org; o.benmoussa@ueuromed.org</t>
  </si>
  <si>
    <t>; Elamrani, Mohamed'Amine/LFS-6293-2024; Fri, Mouhsene/KOC-2712-2024</t>
  </si>
  <si>
    <t>EL AMRANI, Mohamed Amine/0009-0006-7124-4469; Benmoussa, Othmane/0000-0002-7864-6886; Rouky, Naoufal/0000-0002-8513-482X</t>
  </si>
  <si>
    <t>Al Khawarizmi program in artificial intelligence and its application, under the subsidy of the Digital Development Agency (ADD); Ministry of Higher Education Scientific Research and Innovation; National Center for Scientific and Technical Research (CNRST)</t>
  </si>
  <si>
    <t>Al Khawarizmi program in artificial intelligence and its application, under the subsidy of the Digital Development Agency (ADD); Ministry of Higher Education Scientific Research and Innovation; National Center for Scientific and Technical Research (CNRST)(Centre National de la Recherche Scientifique &amp; Technologique (CNRST))</t>
  </si>
  <si>
    <t>This work received funding under the Al Khawarizmi program in artificial intelligence and its application, under the subsidy of the Digital Development Agency (ADD), the Ministry of Higher Education Scientific Research and Innovation, and the National Center for Scientific and Technical Research (CNRST).</t>
  </si>
  <si>
    <t>10.3390/su16135286</t>
  </si>
  <si>
    <t>YQ9M9</t>
  </si>
  <si>
    <t>WOS:001270066900001</t>
  </si>
  <si>
    <t>Kiba-Janiak, M; Marcinkowski, J; Jagoda, A; Skowronska, A</t>
  </si>
  <si>
    <t>Kiba-Janiak, Maja; Marcinkowski, Jakub; Jagoda, Agnieszka; Skowronska, Agnieszka</t>
  </si>
  <si>
    <t>Sustainable last mile delivery on e-commerce market in cities from the perspective of various stakeholders. Literature review</t>
  </si>
  <si>
    <t>Last mile delivery; Sustainability; e-Commerce; Cities; Stakeholders</t>
  </si>
  <si>
    <t>URBAN LOGISTICS; PARCEL LOCKERS; CARGO BIKES; SYSTEM; COLLECTION; MANAGEMENT; SERVICES; POINTS; IMPACT; MODEL</t>
  </si>
  <si>
    <t>In the literature, city logistics in terms of last mile delivery on the e-commerce market is quite new area of research that is not thoroughly investigated. It can be observed that there are many papers discussing various topics from the perspective of different groups of stakeholders such as residents, governments, shippers, receivers, transport companies (CEP), and others. However, there is no holistic approach covering the presented field of research. Therefore, the paper's purpose is identification of trends in sustainable last mile delivery on ecommerce market in cities from the perspective of various stakeholders. The research method that serves the paper's purpose is systematic literature review in the above-presented field performed through traditional method and machine learning (VOSviewer). In order to conduct critical analysis of published sources, the Web of Science and Scopus databases were applied. The paper's added value is a comprehensive approach to sustainable city logistics of last mile delivery that includes all stakeholders' perspectives and the identification of trends in this area. During the critical literature analysis, authors identified the relations between stakeholders, the fields of the research, and the trends for developing sustainable last mile delivery on the e-commerce market. It should be noted, that recent articles discuss newer technological and organization solutions, such as IoT, autonomous vehicles, crowd-shipping, parcel lockers, and concentrate on the behavior analysis of e-customers.</t>
  </si>
  <si>
    <t>[Kiba-Janiak, Maja; Marcinkowski, Jakub; Jagoda, Agnieszka; Skowronska, Agnieszka] Wroclaw Univ Econ &amp; Business, Nowowiejska 3, PL-58500 Jelenia Gora, Poland</t>
  </si>
  <si>
    <t>Marcinkowski, J (corresponding author), Wroclaw Univ Econ &amp; Business, Nowowiejska 3, PL-58500 Jelenia Gora, Poland.</t>
  </si>
  <si>
    <t>jakub.marcinkowski@ue.wroc.pl</t>
  </si>
  <si>
    <t>Kiba-Janiak, Maja/M-7478-2016; Marcinkowski, Jakub/S-6263-2018; Jagoda, Agnieszka/H-5189-2016</t>
  </si>
  <si>
    <t>Kiba-Janiak, Maja/0000-0002-0491-7401; Marcinkowski, Jakub/0000-0002-6076-1552; Jagoda, Agnieszka/0000-0001-8560-031X; Skowrońska, Agnieszka/0000-0003-1543-7291</t>
  </si>
  <si>
    <t>National Science Centre in Poland [2018/31/B/HS4/03711]</t>
  </si>
  <si>
    <t>National Science Centre in Poland(National Science Centre, Poland)</t>
  </si>
  <si>
    <t>The paper is a part of the research project which is being financed by the National Science Centre in Poland granted on the basis of the decision number 2018/31/B/HS4/03711.</t>
  </si>
  <si>
    <t>10.1016/j.scs.2021.102984</t>
  </si>
  <si>
    <t>MAY 2021</t>
  </si>
  <si>
    <t>SQ3IQ</t>
  </si>
  <si>
    <t>WOS:000660249900001</t>
  </si>
  <si>
    <t>Sanz, G; Pastor, R; Domenech, B</t>
  </si>
  <si>
    <t>Sanz, Guillem; Pastor, Rafael; Domenech, Bruno</t>
  </si>
  <si>
    <t>A step-by-step guide to assist logistics managers in defining efficient re-shelving solutions for retail store deliveries</t>
  </si>
  <si>
    <t>Case study; City logistics; Social issues; Re-shelving solutions; Step-by-step guide; Store delivery</t>
  </si>
  <si>
    <t>FREIGHT TRANSPORT POLICIES; SUPPLY CHAIN MANAGEMENT; SERVICE-DOMINANT LOGIC; CITY LOGISTICS; URBAN LOGISTICS; CHALLENGES; IMPACT; OPERATIONS; PROVIDERS; MODEL</t>
  </si>
  <si>
    <t>Purpose City logistics is a challenge in many cities. Literature works focus on the analysis of large or local-scale solutions to increase the efficiency of freight transport. However, store deliveries from the perspective of practitioners, particularly retail stores, are still an issue. In this context, the purpose of this paper is to propose a decision framework to assist logistics managers in defining efficient re-shelving solutions for store deliveries, according to the emplacement characteristics, city administration constraints and social issues. Design/methodology/approach An iterative step-by-step decision framework is developed, which allows taking decisions in a clear and structured way, including the preferences of key stakeholders. Moreover, a what if procedure is proposed, aiming to modify some initial conditions of the target store to achieve more efficient solutions. Findings The proposed decision framework is applicable in practice and helps users (mainly logistics managers) to identify solutions for efficient re-shelving in urban settings. Research limitations/implications The decision framework is applied by the logistics manager of two Spanish food retail stores, but it could be used in different logistics sectors and cities/regions, although adapting the decisions taken at each phase. Practical implications Logistics managers have a support tool when addressing re-shelving solutions for store deliveries. Social implications A balance can be found between company interests (minimise costs) and citizens quality of life (less contamination, noise, traffic, etc.). Originality/value This study simultaneously deals with large- and local-scale decisions faced by logistics managers in their day-to-day activity, considering details about the store location, its surroundings and the company it belongs.</t>
  </si>
  <si>
    <t>[Sanz, Guillem] Bebitus, Barcelona, Spain; [Pastor, Rafael; Domenech, Bruno] Univ Politecn Cataluna, BarcelonaTech, Ind Engn &amp; Logist Grp, Barcelona, Spain</t>
  </si>
  <si>
    <t>Domenech, B (corresponding author), Univ Politecn Cataluna, BarcelonaTech, Ind Engn &amp; Logist Grp, Barcelona, Spain.</t>
  </si>
  <si>
    <t>bruno.domenech@upc.edu</t>
  </si>
  <si>
    <t>; Pastor, Rafael/S-1610-2018; Domenech, Bruno/ABF-8264-2020</t>
  </si>
  <si>
    <t>Domenech, Bruno/0000-0002-4332-2400; Pastor, Rafael/0000-0002-6188-4458;</t>
  </si>
  <si>
    <t>10.1108/IJPDLM-09-2017-0286</t>
  </si>
  <si>
    <t>GV9JY</t>
  </si>
  <si>
    <t>WOS:000446474600004</t>
  </si>
  <si>
    <t>Wei, LX; Chen, YF; Guo, DJ; Ji, JY; Chen, ZL; Zhuo, CC</t>
  </si>
  <si>
    <t>Wei, Lingxiang; Chen, Yongfan; Guo, Dongjun; Ji, Junyuan; Chen, Zhilong; Zhuo, Changchun</t>
  </si>
  <si>
    <t>A last-mile delivery system for underground logistics with self-pickup plus  and home-entry plus  modes</t>
  </si>
  <si>
    <t>Urban underground space; Underground logistics system; Last-mile delivery system; Express parcels</t>
  </si>
  <si>
    <t>LOCATION SELECTION; CITY LOGISTICS; PORT</t>
  </si>
  <si>
    <t>Underground logistics systems (ULSs) are emerging low-carbon, energy-saving, and ground-space-saving logistics and transportation approaches that rely on underground tunnels/pipelines for freight transportation. Thus, they will effectively solve the urban logistics dilemma caused by the rapid growth of express parcel volumes in China, especially concerning last-mile delivery in cities, which is currently one of the most expensive and least efficient parts of the entire logistics and transportation process. We designed a three-level (i.e., city, regional, and neighborhood) last-mile delivery system (LDS) for express parcel transportation according to a metro-based ULS (M - ULS). We categorized the LDS into two modes: self-pickup + and home-entry +. According to different needs, we then applied the system to five different scenario-mode combinations: self-pickup + metro stations, self-pickup + shopping malls, self-pickup + communities, home-entry + communities, and home-entry + office buildings. Finally, using an urban sub-center in China as a case study, we analyzed efficiency and emission reduction of LDS in the five scenario-mode combinations with different freight volumes and verified the validity of the proposed system. This system has great potential for solving last-mile delivery challenges and provides new ideas and technical solutions for planning and designing future ULSs.</t>
  </si>
  <si>
    <t>[Wei, Lingxiang; Chen, Yongfan; Guo, Dongjun; Chen, Zhilong; Zhuo, Changchun] Army Engn Univ PLA, Res Ctr Underground Space, Nanjing 210007, Peoples R China; [Wei, Lingxiang; Ji, Junyuan] Yancheng Inst Technol, Sch Mat Sci &amp; Engn, Yancheng 224051, Peoples R China</t>
  </si>
  <si>
    <t>Army Engineering University of PLA; Yancheng Institute of Technology</t>
  </si>
  <si>
    <t>Guo, DJ; Chen, ZL (corresponding author), Army Engn Univ PLA, Res Ctr Underground Space, Nanjing 210007, Peoples R China.</t>
  </si>
  <si>
    <t>guo_dongjun@163.com; chen-zl@vip.163.com</t>
  </si>
  <si>
    <t>Wei, Lingxiang/LZG-1839-2025</t>
  </si>
  <si>
    <t>Wei, Lingxiang/0000-0002-7117-0301</t>
  </si>
  <si>
    <t>National Natural Science Foundation of China (NNSFC) [52078481, 52378083]; Natural Science Foundation of Jiangsu Province [BK20231488]</t>
  </si>
  <si>
    <t>National Natural Science Foundation of China (NNSFC)(National Natural Science Foundation of China (NSFC)); Natural Science Foundation of Jiangsu Province(Natural Science Foundation of Jiangsu Province)</t>
  </si>
  <si>
    <t>Funding This work was supported by the National Natural Science Foundation of China (NNSFC) [Grant No. 52078481 and No. 52378083] , and the Natural Science Foundation of Jiangsu Province [Grant No. BK20231488] .</t>
  </si>
  <si>
    <t>1878-4364</t>
  </si>
  <si>
    <t>10.1016/j.tust.2024.105678</t>
  </si>
  <si>
    <t>OA2S2</t>
  </si>
  <si>
    <t>WOS:001204479200001</t>
  </si>
  <si>
    <t>Yang, KD; Roca-Riu, M; Menéndez, M</t>
  </si>
  <si>
    <t>Yang, Kaidi; Roca-Riu, Mireia; Menendez, Monica</t>
  </si>
  <si>
    <t>An auction-based approach for prebooked urban logistics facilities</t>
  </si>
  <si>
    <t>OMEGA-INTERNATIONAL JOURNAL OF MANAGEMENT SCIENCE</t>
  </si>
  <si>
    <t>Parking slot Assignment Problem; Combinatorial auctions; City logistics; Mechanism design; Urban facilities</t>
  </si>
  <si>
    <t>PARKING SLOT ASSIGNMENT; SENSITIVITY-ANALYSIS; SYSTEM; RESERVATION; MECHANISM; ALLOCATION; DESIGN; MODEL</t>
  </si>
  <si>
    <t>The proper management of urban loading/unloading facilities is crucial for both the efficiency of the logistic services and urban traffic systems. Thanks to the advances in technologies, such management can be achieved through prebooked systems. In this paper, we propose a comprehensive and unified auction-based approach to optimize the use of prebooked loading and unloading facilities, based on a previous work of the authors. The new proposed approach assigns parking spots to companies and computes the price of the service, to maximize the social welfare of the system. It has the following advantages over the previous system: (i) by employing an auction's formulation based on the Vickrey-Clarke-Groves mechanism, the proposed system explicitly considers the heterogeneity in the penalty functions; (ii) uncertainty in the carrier arrivals due to traffic condition is handled explicitly with an online readjustment and two robust formulations. The proposed auction system is tested on instances inspired by the logistic system in the city of Barcelona. Results show that compared to the previous work, the new approach exploiting the use of new information improves the social welfare by up to 22% with heterogeneous carriers. Results further show that the scenarios where demand is uniformly distributed over the time horizon present better utilities than the scenarios where demand is concentrated following a peak hour behavior. It is also shown that the proposed online readjustment formulation performs similar to the global offline optimum, and significantly improves the social welfare of the system when carriers fail to arrive at the allocated time due to traffic uncertainties. (C) 2018 Elsevier Ltd. All rights reserved.</t>
  </si>
  <si>
    <t>[Yang, Kaidi; Roca-Riu, Mireia; Menendez, Monica] Swiss Fed Inst Technol, Inst Transport Planning &amp; Syst, IVT, CH-8093 Zurich, Switzerland; [Menendez, Monica] New York Univ Abu Dhabi, Div Engn, Abu Dhabi, U Arab Emirates; [Menendez, Monica] NYU, Tandon Sch Engn, New York, NY 10003 USA</t>
  </si>
  <si>
    <t>Swiss Federal Institutes of Technology Domain; ETH Zurich; New York University; New York University Abu Dhabi; New York University; New York University Tandon School of Engineering</t>
  </si>
  <si>
    <t>Roca-Riu, M (corresponding author), Swiss Fed Inst Technol, Inst Transport Planning &amp; Syst, IVT, CH-8093 Zurich, Switzerland.</t>
  </si>
  <si>
    <t>kaidi.yang@ivt.baug.ethz.ch; mireia.roca-riu@ivt.baug.ethz.ch; monica.menendez@nyu.edu</t>
  </si>
  <si>
    <t>; Yang, Kaidi/AAP-4170-2020</t>
  </si>
  <si>
    <t>Roca-Riu, Mireia/0000-0002-7632-6643; Yang, Kaidi/0000-0001-5120-2866; Menendez, Monica/0000-0001-5701-0523</t>
  </si>
  <si>
    <t>Hasler Foundation</t>
  </si>
  <si>
    <t>This work was supported by the Hasler Foundation with the CALog project.</t>
  </si>
  <si>
    <t>0305-0483</t>
  </si>
  <si>
    <t>OMEGA-INT J MANAGE S</t>
  </si>
  <si>
    <t>Omega-Int. J. Manage. Sci.</t>
  </si>
  <si>
    <t>10.1016/j.omega.2018.10.005</t>
  </si>
  <si>
    <t>JA9AJ</t>
  </si>
  <si>
    <t>WOS:000488142100013</t>
  </si>
  <si>
    <t>Lim, SFWT; Jin, X; Srai, JS</t>
  </si>
  <si>
    <t>Lim, Stanley Frederick W. T.; Jin, Xin; Srai, Jagjit Singh</t>
  </si>
  <si>
    <t>Consumer-driven e-commerce: A literature review, design framework, and research agenda on last-mile logistics models</t>
  </si>
  <si>
    <t>Literature review; E-commerce; Omnichannel; Digital supply chains; Last-mile</t>
  </si>
  <si>
    <t>ATTENDED HOME DELIVERY; SUPPLY CHAIN; DISTRIBUTION NETWORK; RETAIL LOGISTICS; URBAN LOGISTICS; FULFILLMENT; MANAGEMENT; KNOWLEDGE; MULTICHANNEL; PERFORMANCE</t>
  </si>
  <si>
    <t>Purpose The purpose of this paper is to re-examine the extant research on last-mile logistics (LML) models and consider LML's diverse roots in city logistics, home delivery and business-to-consumer distribution, and more recent developments within the e-commerce digital supply chain context. The review offers a structured approach to what is currently a disparate and fractured field in logistics. Design/methodology/approach The systematic literature review examines the interface between e-commerce and LML. Following a protocol-driven methodology, combined with a snowballing technique, a total of 47 articles form the basis of the review. Findings The literature analysis conceptualises the relationship between a broad set of contingency variables and operational characteristics of LML configuration (push-centric, pull-centric, and hybrid system) via a set of structural variables, which are captured in the form of a design framework. The authors propose four future research areas reflecting likely digital supply chain evolutions. Research limitations/implications To circumvent subjective selection of articles for inclusion, all papers were assessed independently by two researchers and counterchecked with two independent logistics experts. Resulting classifications inform the development of future LML models. Practical implications The design framework of this study provides practitioners insights on key contingency and structural variables and their interrelationships, as well as viable configuration options within given boundary conditions. The reformulated knowledge allows these prescriptive models to inform practitioners in their design of last-mile distribution. Social implications Improved LML performance would have positive societal impacts in terms of service and resource efficiency. Originality/value This paper provides the first comprehensive review on LML models in the modern e-commerce context. It synthesises knowledge of LML models and provides insights on current trends and future research directions.</t>
  </si>
  <si>
    <t>[Lim, Stanley Frederick W. T.; Jin, Xin; Srai, Jagjit Singh] Univ Cambridge, Inst Mfg, Dept Engn, Cambridge, England</t>
  </si>
  <si>
    <t>University of Cambridge</t>
  </si>
  <si>
    <t>Lim, SFWT (corresponding author), Univ Cambridge, Inst Mfg, Dept Engn, Cambridge, England.</t>
  </si>
  <si>
    <t>wtsfl2@cam.ac.uk</t>
  </si>
  <si>
    <t>Lim, Stanley Frederick W T/N-7102-2014; Srai, Jagjit/AAS-7544-2021</t>
  </si>
  <si>
    <t>Lim, Stanley Frederick W T/0000-0003-2211-9654; Srai, Jagjit Singh/0000-0003-2277-2127</t>
  </si>
  <si>
    <t>UK Engineering and Physical Sciences Research Council [EP/K02888X/1]; UK Advanced Manufacturing Supply Chain Initiative [35708-233529]; A*STAR Singapore; EPSRC [TS/I000313/1, EP/M017559/1, TS/I000275/1, EP/K02888X/1] Funding Source: UKRI; Engineering and Physical Sciences Research Council [EP/K02888X/1, EP/M017559/1, TS/I000313/1, TS/I000275/1] Funding Source: researchfish</t>
  </si>
  <si>
    <t>UK Engineering and Physical Sciences Research Council(UK Research &amp; Innovation (UKRI)Engineering &amp; Physical Sciences Research Council (EPSRC)); UK Advanced Manufacturing Supply Chain Initiative; A*STAR Singapore(Agency for Science Technology &amp; Research (A*STAR)); EPSRC(UK Research &amp; Innovation (UKRI)Engineering &amp; Physical Sciences Research Council (EPSRC)); Engineering and Physical Sciences Research Council(UK Research &amp; Innovation (UKRI)Engineering &amp; Physical Sciences Research Council (EPSRC))</t>
  </si>
  <si>
    <t>The authors would like to acknowledge the support from industry collaborators in the validation activities regarding the design framework developed in this paper. Research programmes funded by the UK Engineering and Physical Sciences Research Council (Grant: EP/K02888X/1 - Engineering Driven Sustainable Supply Networks), UK Advanced Manufacturing Supply Chain Initiative (Grant: 35708-233529, ReMediES - Reconfiguring Medicines End-to-end Supply), and A*STAR Singapore have supported these collaborative multinational partner engagements. The authors specifically acknowledge those programmes involving fast-moving consumer goods multinationals and their retailer networks, as well as those with pharmaceutical manufacturers, their 3PLs, and their final-delivery pharmacy chains.</t>
  </si>
  <si>
    <t>10.1108/IJPDLM-02-2017-0081</t>
  </si>
  <si>
    <t>GA2QP</t>
  </si>
  <si>
    <t>WOS:000428168900006</t>
  </si>
  <si>
    <t>Hassan, SE; Andruetto, C; Posch, A</t>
  </si>
  <si>
    <t>Hassan, Syeda Erum; Andruetto, Claudia; Posch, Alfred</t>
  </si>
  <si>
    <t>The role of battery electric vehicles in off-peak hour deliveries: Sustainability assessment of a case study in Stockholm</t>
  </si>
  <si>
    <t>CLEANER LOGISTICS AND SUPPLY CHAIN</t>
  </si>
  <si>
    <t>Battery Electric Vehicles; Off-Peak Hour Deliveries; Indicator-Based Sustainability Assessment; Life Cycle Costing; Social Life Cycle Assessment</t>
  </si>
  <si>
    <t>INDICATORS; CITY</t>
  </si>
  <si>
    <t>City logistics faces critical challenges in optimising resource management, utilising time effectively, and reducing costs, particularly in the context of growing environmental concerns. Battery Electric Vehicles (BEVs) and Off- Peak Hour Deliveries (OPHD) have emerged as promising solutions. Despite considerable research efforts, more research is needed to evaluate the impacts of using BEVs during OPHD. To address this need, this paper describes how data from a case study in Stockholm were used to develop a comprehensive overview of the sustainability impacts of OPHD carried out with BEV. A multi-method approach was applied, including an indicator framework, Life Cycle Costing, and a Social Life Cycle Assessment to consider all sustainability dimensions holistically. Our findings reveal that, while BEVs are not yet cost-competitive with Internal Combustion Engine vehicles for daytime operations, OPHD can mitigate these costs by increasing the vehicle utilisation and distances travelled. Furthermore, OPHD with BEV can offer substantial benefits by increasing accessibility and reducing emissions. However, challenges such as increased employee-related transport costs and infrastructure needs must be addressed. The main contributions of this paper are practical, as we add knowledge about the impacts of OPHD using BEV, and methodological, as we used a multi-method approach to holistically assess sustainability impacts. Future research should focus on long-term impacts and refine assessment methods to support the sustainable development of urban logistics. This study highlights the importance of using holistic sustainability assessment to inform and enable stakeholders and decision-makers to leverage the full potential of OPHD when shifting to more sustainable transport.</t>
  </si>
  <si>
    <t>[Hassan, Syeda Erum] E Mobil Analyt, Scan S&amp;M, Sodertalje, Sweden; [Hassan, Syeda Erum] Graz Univ, Dept Geog &amp; Reg Sci, A-8010 Graz, Austria; [Andruetto, Claudia] KTH Royal Inst Technol, Integrated Transport Res Lab, Stockholm, Sweden; [Posch, Alfred] Karl Franzens Univ Graz, Dept Environm Syst Sci, Graz, Austria</t>
  </si>
  <si>
    <t>University of Graz; Royal Institute of Technology; University of Graz</t>
  </si>
  <si>
    <t>Andruetto, C (corresponding author), Drottning Kristinas Vag 40, S-11428 Stockholm, Sweden.</t>
  </si>
  <si>
    <t>andru@kth.se</t>
  </si>
  <si>
    <t>Andruetto, Claudia/GRY-2722-2022</t>
  </si>
  <si>
    <t>Anuetto, Claudia/0000-0002-0575-5213</t>
  </si>
  <si>
    <t>Sweden's Innovation Agency (Vinnova) within the FFI program [2020-00565]; Vinnova [2020-00565] Funding Source: Vinnova</t>
  </si>
  <si>
    <t>Sweden's Innovation Agency (Vinnova) within the FFI program; Vinnova(Vinnova)</t>
  </si>
  <si>
    <t>This research was funded by Sweden's Innovation Agency (Vinnova) within the FFI program under Grant number 2020-00565.</t>
  </si>
  <si>
    <t>2772-3909</t>
  </si>
  <si>
    <t>CLEAN LOGIST SUPPL C</t>
  </si>
  <si>
    <t>Clean. Logist. Supply Chain</t>
  </si>
  <si>
    <t>10.1016/j.clscn.2024.100175</t>
  </si>
  <si>
    <t>I9D8V</t>
  </si>
  <si>
    <t>WOS:001333196600001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</si>
</sst>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0"/>
      <name val="Arial"/>
      <family val="2"/>
    </font>
    <font>
      <b/>
      <sz val="10"/>
      <name val="Arial"/>
      <family val="2"/>
    </font>
    <font>
      <sz val="9"/>
      <color indexed="81"/>
      <name val="Tahoma"/>
      <family val="2"/>
    </font>
    <font>
      <b/>
      <sz val="9"/>
      <color indexed="81"/>
      <name val="Tahoma"/>
      <family val="2"/>
    </font>
  </fonts>
  <fills count="4">
    <fill>
      <patternFill patternType="none"/>
    </fill>
    <fill>
      <patternFill patternType="gray125"/>
    </fill>
    <fill>
      <patternFill patternType="solid">
        <fgColor rgb="FFFFFF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1" xfId="0" applyBorder="1" applyAlignment="1">
      <alignment horizontal="center"/>
    </xf>
    <xf numFmtId="0" fontId="2" fillId="0" borderId="1" xfId="0" applyFont="1" applyBorder="1" applyAlignment="1">
      <alignment horizontal="center"/>
    </xf>
    <xf numFmtId="0" fontId="0" fillId="0" borderId="1" xfId="0" applyBorder="1" applyAlignment="1">
      <alignment horizontal="left" vertical="top"/>
    </xf>
    <xf numFmtId="0" fontId="0" fillId="2" borderId="1" xfId="0" applyFill="1" applyBorder="1" applyAlignment="1">
      <alignment horizontal="left" vertical="top"/>
    </xf>
    <xf numFmtId="0" fontId="0" fillId="2" borderId="1" xfId="0" applyFill="1" applyBorder="1" applyAlignment="1">
      <alignment horizontal="center"/>
    </xf>
    <xf numFmtId="0" fontId="0" fillId="3" borderId="1" xfId="0" applyFill="1" applyBorder="1" applyAlignment="1">
      <alignment horizontal="left" vertical="top"/>
    </xf>
    <xf numFmtId="0" fontId="0" fillId="3" borderId="1" xfId="0" applyFill="1" applyBorder="1" applyAlignment="1">
      <alignment horizontal="center"/>
    </xf>
    <xf numFmtId="0" fontId="1"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AB14A-C8F4-4D18-8527-E7606B6C804B}">
  <dimension ref="A1:BW537"/>
  <sheetViews>
    <sheetView tabSelected="1" workbookViewId="0">
      <selection activeCell="I53" sqref="I53"/>
    </sheetView>
  </sheetViews>
  <sheetFormatPr defaultRowHeight="13.2" x14ac:dyDescent="0.25"/>
  <cols>
    <col min="1" max="1" width="24.77734375" customWidth="1"/>
    <col min="2" max="2" width="92.6640625" customWidth="1"/>
    <col min="3" max="3" width="36.88671875" customWidth="1"/>
    <col min="4" max="4" width="27.77734375" customWidth="1"/>
    <col min="5" max="5" width="21" customWidth="1"/>
    <col min="6" max="6" width="150.21875" customWidth="1"/>
    <col min="9" max="9" width="139" customWidth="1"/>
  </cols>
  <sheetData>
    <row r="1" spans="1:75"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c r="BV1" s="2"/>
      <c r="BW1" s="2"/>
    </row>
    <row r="2" spans="1:75" x14ac:dyDescent="0.25">
      <c r="A2" s="3" t="s">
        <v>72</v>
      </c>
      <c r="B2" s="3" t="s">
        <v>73</v>
      </c>
      <c r="C2" s="3" t="s">
        <v>74</v>
      </c>
      <c r="D2" s="3" t="s">
        <v>74</v>
      </c>
      <c r="E2" s="3" t="s">
        <v>74</v>
      </c>
      <c r="F2" s="3" t="s">
        <v>75</v>
      </c>
      <c r="G2" s="3" t="s">
        <v>74</v>
      </c>
      <c r="H2" s="3" t="s">
        <v>74</v>
      </c>
      <c r="I2" s="3" t="s">
        <v>76</v>
      </c>
      <c r="J2" s="3" t="s">
        <v>77</v>
      </c>
      <c r="K2" s="3" t="s">
        <v>74</v>
      </c>
      <c r="L2" s="3" t="s">
        <v>74</v>
      </c>
      <c r="M2" s="3" t="s">
        <v>78</v>
      </c>
      <c r="N2" s="3" t="s">
        <v>79</v>
      </c>
      <c r="O2" s="3" t="s">
        <v>74</v>
      </c>
      <c r="P2" s="3" t="s">
        <v>74</v>
      </c>
      <c r="Q2" s="3" t="s">
        <v>74</v>
      </c>
      <c r="R2" s="3" t="s">
        <v>74</v>
      </c>
      <c r="S2" s="3" t="s">
        <v>74</v>
      </c>
      <c r="T2" s="3" t="s">
        <v>80</v>
      </c>
      <c r="U2" s="3" t="s">
        <v>81</v>
      </c>
      <c r="V2" s="3" t="s">
        <v>82</v>
      </c>
      <c r="W2" s="3" t="s">
        <v>83</v>
      </c>
      <c r="X2" s="3" t="s">
        <v>84</v>
      </c>
      <c r="Y2" s="3" t="s">
        <v>85</v>
      </c>
      <c r="Z2" s="3" t="s">
        <v>74</v>
      </c>
      <c r="AA2" s="3" t="s">
        <v>86</v>
      </c>
      <c r="AB2" s="3" t="s">
        <v>87</v>
      </c>
      <c r="AC2" s="3" t="s">
        <v>74</v>
      </c>
      <c r="AD2" s="3" t="s">
        <v>74</v>
      </c>
      <c r="AE2" s="3" t="s">
        <v>74</v>
      </c>
      <c r="AF2" s="3" t="s">
        <v>74</v>
      </c>
      <c r="AG2" s="3">
        <v>67</v>
      </c>
      <c r="AH2" s="3">
        <v>0</v>
      </c>
      <c r="AI2" s="3">
        <v>0</v>
      </c>
      <c r="AJ2" s="3">
        <v>1</v>
      </c>
      <c r="AK2" s="3">
        <v>4</v>
      </c>
      <c r="AL2" s="3" t="s">
        <v>88</v>
      </c>
      <c r="AM2" s="3" t="s">
        <v>89</v>
      </c>
      <c r="AN2" s="3" t="s">
        <v>90</v>
      </c>
      <c r="AO2" s="3" t="s">
        <v>91</v>
      </c>
      <c r="AP2" s="3" t="s">
        <v>74</v>
      </c>
      <c r="AQ2" s="3" t="s">
        <v>74</v>
      </c>
      <c r="AR2" s="3" t="s">
        <v>92</v>
      </c>
      <c r="AS2" s="3" t="s">
        <v>93</v>
      </c>
      <c r="AT2" s="3" t="s">
        <v>94</v>
      </c>
      <c r="AU2" s="3">
        <v>2021</v>
      </c>
      <c r="AV2" s="3">
        <v>12</v>
      </c>
      <c r="AW2" s="3">
        <v>2</v>
      </c>
      <c r="AX2" s="3" t="s">
        <v>74</v>
      </c>
      <c r="AY2" s="3" t="s">
        <v>74</v>
      </c>
      <c r="AZ2" s="3" t="s">
        <v>74</v>
      </c>
      <c r="BA2" s="3" t="s">
        <v>74</v>
      </c>
      <c r="BB2" s="3">
        <v>327</v>
      </c>
      <c r="BC2" s="3">
        <v>352</v>
      </c>
      <c r="BD2" s="3" t="s">
        <v>74</v>
      </c>
      <c r="BE2" s="3" t="s">
        <v>95</v>
      </c>
      <c r="BF2" s="3" t="str">
        <f>HYPERLINK("http://dx.doi.org/10.7769/gesec.v12i2.1203","http://dx.doi.org/10.7769/gesec.v12i2.1203")</f>
        <v>http://dx.doi.org/10.7769/gesec.v12i2.1203</v>
      </c>
      <c r="BG2" s="3" t="s">
        <v>74</v>
      </c>
      <c r="BH2" s="3" t="s">
        <v>74</v>
      </c>
      <c r="BI2" s="3">
        <v>26</v>
      </c>
      <c r="BJ2" s="3" t="s">
        <v>96</v>
      </c>
      <c r="BK2" s="3" t="s">
        <v>97</v>
      </c>
      <c r="BL2" s="3" t="s">
        <v>98</v>
      </c>
      <c r="BM2" s="3" t="s">
        <v>99</v>
      </c>
      <c r="BN2" s="3" t="s">
        <v>74</v>
      </c>
      <c r="BO2" s="3" t="s">
        <v>100</v>
      </c>
      <c r="BP2" s="3" t="s">
        <v>74</v>
      </c>
      <c r="BQ2" s="3" t="s">
        <v>74</v>
      </c>
      <c r="BR2" s="3" t="s">
        <v>101</v>
      </c>
      <c r="BS2" s="3" t="s">
        <v>102</v>
      </c>
      <c r="BT2" s="3" t="str">
        <f>HYPERLINK("https%3A%2F%2Fwww.webofscience.com%2Fwos%2Fwoscc%2Ffull-record%2FWOS:000684248700014","View Full Record in Web of Science")</f>
        <v>View Full Record in Web of Science</v>
      </c>
      <c r="BU2" s="3"/>
      <c r="BV2" s="3"/>
      <c r="BW2" s="1"/>
    </row>
    <row r="3" spans="1:75" x14ac:dyDescent="0.25">
      <c r="A3" s="4" t="s">
        <v>103</v>
      </c>
      <c r="B3" s="4" t="s">
        <v>104</v>
      </c>
      <c r="C3" s="4" t="s">
        <v>74</v>
      </c>
      <c r="D3" s="4" t="s">
        <v>105</v>
      </c>
      <c r="E3" s="4" t="s">
        <v>74</v>
      </c>
      <c r="F3" s="4" t="s">
        <v>106</v>
      </c>
      <c r="G3" s="4" t="s">
        <v>74</v>
      </c>
      <c r="H3" s="4"/>
      <c r="I3" s="4" t="s">
        <v>107</v>
      </c>
      <c r="J3" s="4" t="s">
        <v>108</v>
      </c>
      <c r="K3" s="4" t="s">
        <v>109</v>
      </c>
      <c r="L3" s="4" t="s">
        <v>74</v>
      </c>
      <c r="M3" s="4" t="s">
        <v>110</v>
      </c>
      <c r="N3" s="4" t="s">
        <v>111</v>
      </c>
      <c r="O3" s="4" t="s">
        <v>112</v>
      </c>
      <c r="P3" s="4" t="s">
        <v>113</v>
      </c>
      <c r="Q3" s="4" t="s">
        <v>114</v>
      </c>
      <c r="R3" s="4" t="s">
        <v>74</v>
      </c>
      <c r="S3" s="4" t="s">
        <v>74</v>
      </c>
      <c r="T3" s="4" t="s">
        <v>115</v>
      </c>
      <c r="U3" s="4" t="s">
        <v>116</v>
      </c>
      <c r="V3" s="4" t="s">
        <v>117</v>
      </c>
      <c r="W3" s="4" t="s">
        <v>118</v>
      </c>
      <c r="X3" s="4" t="s">
        <v>74</v>
      </c>
      <c r="Y3" s="4" t="s">
        <v>119</v>
      </c>
      <c r="Z3" s="4" t="s">
        <v>120</v>
      </c>
      <c r="AA3" s="4" t="s">
        <v>121</v>
      </c>
      <c r="AB3" s="4" t="s">
        <v>122</v>
      </c>
      <c r="AC3" s="4" t="s">
        <v>74</v>
      </c>
      <c r="AD3" s="4" t="s">
        <v>74</v>
      </c>
      <c r="AE3" s="4" t="s">
        <v>74</v>
      </c>
      <c r="AF3" s="4" t="s">
        <v>74</v>
      </c>
      <c r="AG3" s="4">
        <v>6</v>
      </c>
      <c r="AH3" s="4">
        <v>62</v>
      </c>
      <c r="AI3" s="4">
        <v>73</v>
      </c>
      <c r="AJ3" s="4">
        <v>0</v>
      </c>
      <c r="AK3" s="4">
        <v>38</v>
      </c>
      <c r="AL3" s="4" t="s">
        <v>123</v>
      </c>
      <c r="AM3" s="4" t="s">
        <v>124</v>
      </c>
      <c r="AN3" s="4" t="s">
        <v>125</v>
      </c>
      <c r="AO3" s="4" t="s">
        <v>126</v>
      </c>
      <c r="AP3" s="4" t="s">
        <v>74</v>
      </c>
      <c r="AQ3" s="4" t="s">
        <v>74</v>
      </c>
      <c r="AR3" s="4" t="s">
        <v>127</v>
      </c>
      <c r="AS3" s="4" t="s">
        <v>74</v>
      </c>
      <c r="AT3" s="4" t="s">
        <v>74</v>
      </c>
      <c r="AU3" s="4">
        <v>2016</v>
      </c>
      <c r="AV3" s="4">
        <v>12</v>
      </c>
      <c r="AW3" s="4" t="s">
        <v>74</v>
      </c>
      <c r="AX3" s="4" t="s">
        <v>74</v>
      </c>
      <c r="AY3" s="4" t="s">
        <v>74</v>
      </c>
      <c r="AZ3" s="4" t="s">
        <v>74</v>
      </c>
      <c r="BA3" s="4" t="s">
        <v>74</v>
      </c>
      <c r="BB3" s="4">
        <v>314</v>
      </c>
      <c r="BC3" s="4">
        <v>324</v>
      </c>
      <c r="BD3" s="4" t="s">
        <v>74</v>
      </c>
      <c r="BE3" s="4" t="s">
        <v>128</v>
      </c>
      <c r="BF3" s="4" t="str">
        <f>HYPERLINK("http://dx.doi.org/10.1016/j.trpro.2016.02.068","http://dx.doi.org/10.1016/j.trpro.2016.02.068")</f>
        <v>http://dx.doi.org/10.1016/j.trpro.2016.02.068</v>
      </c>
      <c r="BG3" s="4" t="s">
        <v>74</v>
      </c>
      <c r="BH3" s="4" t="s">
        <v>74</v>
      </c>
      <c r="BI3" s="4">
        <v>11</v>
      </c>
      <c r="BJ3" s="4" t="s">
        <v>129</v>
      </c>
      <c r="BK3" s="4" t="s">
        <v>130</v>
      </c>
      <c r="BL3" s="4" t="s">
        <v>131</v>
      </c>
      <c r="BM3" s="4" t="s">
        <v>132</v>
      </c>
      <c r="BN3" s="4" t="s">
        <v>74</v>
      </c>
      <c r="BO3" s="4" t="s">
        <v>133</v>
      </c>
      <c r="BP3" s="4" t="s">
        <v>74</v>
      </c>
      <c r="BQ3" s="4" t="s">
        <v>74</v>
      </c>
      <c r="BR3" s="4" t="s">
        <v>101</v>
      </c>
      <c r="BS3" s="4" t="s">
        <v>134</v>
      </c>
      <c r="BT3" s="4" t="str">
        <f>HYPERLINK("https%3A%2F%2Fwww.webofscience.com%2Fwos%2Fwoscc%2Ffull-record%2FWOS:000377574100026","View Full Record in Web of Science")</f>
        <v>View Full Record in Web of Science</v>
      </c>
      <c r="BU3" s="4"/>
      <c r="BV3" s="4"/>
      <c r="BW3" s="5"/>
    </row>
    <row r="4" spans="1:75" x14ac:dyDescent="0.25">
      <c r="A4" s="4" t="s">
        <v>72</v>
      </c>
      <c r="B4" s="4" t="s">
        <v>135</v>
      </c>
      <c r="C4" s="4" t="s">
        <v>74</v>
      </c>
      <c r="D4" s="4" t="s">
        <v>74</v>
      </c>
      <c r="E4" s="4" t="s">
        <v>74</v>
      </c>
      <c r="F4" s="4" t="s">
        <v>136</v>
      </c>
      <c r="G4" s="4" t="s">
        <v>74</v>
      </c>
      <c r="H4" s="4" t="s">
        <v>74</v>
      </c>
      <c r="I4" s="4" t="s">
        <v>137</v>
      </c>
      <c r="J4" s="4" t="s">
        <v>138</v>
      </c>
      <c r="K4" s="4" t="s">
        <v>74</v>
      </c>
      <c r="L4" s="4" t="s">
        <v>74</v>
      </c>
      <c r="M4" s="4" t="s">
        <v>110</v>
      </c>
      <c r="N4" s="4" t="s">
        <v>79</v>
      </c>
      <c r="O4" s="4" t="s">
        <v>74</v>
      </c>
      <c r="P4" s="4" t="s">
        <v>74</v>
      </c>
      <c r="Q4" s="4" t="s">
        <v>74</v>
      </c>
      <c r="R4" s="4" t="s">
        <v>74</v>
      </c>
      <c r="S4" s="4" t="s">
        <v>74</v>
      </c>
      <c r="T4" s="4" t="s">
        <v>139</v>
      </c>
      <c r="U4" s="4" t="s">
        <v>74</v>
      </c>
      <c r="V4" s="4" t="s">
        <v>140</v>
      </c>
      <c r="W4" s="4" t="s">
        <v>141</v>
      </c>
      <c r="X4" s="4" t="s">
        <v>142</v>
      </c>
      <c r="Y4" s="4" t="s">
        <v>143</v>
      </c>
      <c r="Z4" s="4" t="s">
        <v>144</v>
      </c>
      <c r="AA4" s="4" t="s">
        <v>74</v>
      </c>
      <c r="AB4" s="4" t="s">
        <v>74</v>
      </c>
      <c r="AC4" s="4" t="s">
        <v>74</v>
      </c>
      <c r="AD4" s="4" t="s">
        <v>74</v>
      </c>
      <c r="AE4" s="4" t="s">
        <v>74</v>
      </c>
      <c r="AF4" s="4" t="s">
        <v>74</v>
      </c>
      <c r="AG4" s="4">
        <v>32</v>
      </c>
      <c r="AH4" s="4">
        <v>22</v>
      </c>
      <c r="AI4" s="4">
        <v>29</v>
      </c>
      <c r="AJ4" s="4">
        <v>29</v>
      </c>
      <c r="AK4" s="4">
        <v>56</v>
      </c>
      <c r="AL4" s="4" t="s">
        <v>145</v>
      </c>
      <c r="AM4" s="4" t="s">
        <v>146</v>
      </c>
      <c r="AN4" s="4" t="s">
        <v>147</v>
      </c>
      <c r="AO4" s="4" t="s">
        <v>74</v>
      </c>
      <c r="AP4" s="4" t="s">
        <v>148</v>
      </c>
      <c r="AQ4" s="4" t="s">
        <v>74</v>
      </c>
      <c r="AR4" s="4" t="s">
        <v>149</v>
      </c>
      <c r="AS4" s="4" t="s">
        <v>150</v>
      </c>
      <c r="AT4" s="4" t="s">
        <v>151</v>
      </c>
      <c r="AU4" s="4">
        <v>2024</v>
      </c>
      <c r="AV4" s="4">
        <v>16</v>
      </c>
      <c r="AW4" s="4">
        <v>24</v>
      </c>
      <c r="AX4" s="4" t="s">
        <v>74</v>
      </c>
      <c r="AY4" s="4" t="s">
        <v>74</v>
      </c>
      <c r="AZ4" s="4" t="s">
        <v>74</v>
      </c>
      <c r="BA4" s="4" t="s">
        <v>74</v>
      </c>
      <c r="BB4" s="4" t="s">
        <v>74</v>
      </c>
      <c r="BC4" s="4" t="s">
        <v>74</v>
      </c>
      <c r="BD4" s="4">
        <v>11265</v>
      </c>
      <c r="BE4" s="4" t="s">
        <v>152</v>
      </c>
      <c r="BF4" s="4" t="str">
        <f>HYPERLINK("http://dx.doi.org/10.3390/su162411265","http://dx.doi.org/10.3390/su162411265")</f>
        <v>http://dx.doi.org/10.3390/su162411265</v>
      </c>
      <c r="BG4" s="4" t="s">
        <v>74</v>
      </c>
      <c r="BH4" s="4" t="s">
        <v>74</v>
      </c>
      <c r="BI4" s="4">
        <v>22</v>
      </c>
      <c r="BJ4" s="4" t="s">
        <v>153</v>
      </c>
      <c r="BK4" s="4" t="s">
        <v>154</v>
      </c>
      <c r="BL4" s="4" t="s">
        <v>155</v>
      </c>
      <c r="BM4" s="4" t="s">
        <v>156</v>
      </c>
      <c r="BN4" s="4" t="s">
        <v>74</v>
      </c>
      <c r="BO4" s="4" t="s">
        <v>100</v>
      </c>
      <c r="BP4" s="4" t="s">
        <v>74</v>
      </c>
      <c r="BQ4" s="4" t="s">
        <v>74</v>
      </c>
      <c r="BR4" s="4" t="s">
        <v>101</v>
      </c>
      <c r="BS4" s="4" t="s">
        <v>157</v>
      </c>
      <c r="BT4" s="4" t="str">
        <f>HYPERLINK("https%3A%2F%2Fwww.webofscience.com%2Fwos%2Fwoscc%2Ffull-record%2FWOS:001386582700001","View Full Record in Web of Science")</f>
        <v>View Full Record in Web of Science</v>
      </c>
      <c r="BU4" s="4"/>
      <c r="BV4" s="4"/>
      <c r="BW4" s="5"/>
    </row>
    <row r="5" spans="1:75" x14ac:dyDescent="0.25">
      <c r="A5" s="4" t="s">
        <v>72</v>
      </c>
      <c r="B5" s="4" t="s">
        <v>158</v>
      </c>
      <c r="C5" s="4" t="s">
        <v>74</v>
      </c>
      <c r="D5" s="4" t="s">
        <v>74</v>
      </c>
      <c r="E5" s="4" t="s">
        <v>74</v>
      </c>
      <c r="F5" s="4" t="s">
        <v>159</v>
      </c>
      <c r="G5" s="4" t="s">
        <v>74</v>
      </c>
      <c r="H5" s="4" t="s">
        <v>74</v>
      </c>
      <c r="I5" s="4" t="s">
        <v>160</v>
      </c>
      <c r="J5" s="4" t="s">
        <v>161</v>
      </c>
      <c r="K5" s="4" t="s">
        <v>74</v>
      </c>
      <c r="L5" s="4" t="s">
        <v>74</v>
      </c>
      <c r="M5" s="4" t="s">
        <v>110</v>
      </c>
      <c r="N5" s="4" t="s">
        <v>79</v>
      </c>
      <c r="O5" s="4" t="s">
        <v>74</v>
      </c>
      <c r="P5" s="4" t="s">
        <v>74</v>
      </c>
      <c r="Q5" s="4" t="s">
        <v>74</v>
      </c>
      <c r="R5" s="4" t="s">
        <v>74</v>
      </c>
      <c r="S5" s="4" t="s">
        <v>74</v>
      </c>
      <c r="T5" s="4" t="s">
        <v>162</v>
      </c>
      <c r="U5" s="4" t="s">
        <v>163</v>
      </c>
      <c r="V5" s="4" t="s">
        <v>164</v>
      </c>
      <c r="W5" s="4" t="s">
        <v>165</v>
      </c>
      <c r="X5" s="4" t="s">
        <v>166</v>
      </c>
      <c r="Y5" s="4" t="s">
        <v>167</v>
      </c>
      <c r="Z5" s="4" t="s">
        <v>168</v>
      </c>
      <c r="AA5" s="4" t="s">
        <v>169</v>
      </c>
      <c r="AB5" s="4" t="s">
        <v>170</v>
      </c>
      <c r="AC5" s="4" t="s">
        <v>171</v>
      </c>
      <c r="AD5" s="4" t="s">
        <v>172</v>
      </c>
      <c r="AE5" s="4" t="s">
        <v>173</v>
      </c>
      <c r="AF5" s="4" t="s">
        <v>74</v>
      </c>
      <c r="AG5" s="4">
        <v>81</v>
      </c>
      <c r="AH5" s="4">
        <v>14</v>
      </c>
      <c r="AI5" s="4">
        <v>15</v>
      </c>
      <c r="AJ5" s="4">
        <v>5</v>
      </c>
      <c r="AK5" s="4">
        <v>24</v>
      </c>
      <c r="AL5" s="4" t="s">
        <v>145</v>
      </c>
      <c r="AM5" s="4" t="s">
        <v>146</v>
      </c>
      <c r="AN5" s="4" t="s">
        <v>147</v>
      </c>
      <c r="AO5" s="4" t="s">
        <v>74</v>
      </c>
      <c r="AP5" s="4" t="s">
        <v>174</v>
      </c>
      <c r="AQ5" s="4" t="s">
        <v>74</v>
      </c>
      <c r="AR5" s="4" t="s">
        <v>161</v>
      </c>
      <c r="AS5" s="4" t="s">
        <v>175</v>
      </c>
      <c r="AT5" s="4" t="s">
        <v>176</v>
      </c>
      <c r="AU5" s="4">
        <v>2022</v>
      </c>
      <c r="AV5" s="4">
        <v>15</v>
      </c>
      <c r="AW5" s="4">
        <v>11</v>
      </c>
      <c r="AX5" s="4" t="s">
        <v>74</v>
      </c>
      <c r="AY5" s="4" t="s">
        <v>74</v>
      </c>
      <c r="AZ5" s="4" t="s">
        <v>74</v>
      </c>
      <c r="BA5" s="4" t="s">
        <v>74</v>
      </c>
      <c r="BB5" s="4" t="s">
        <v>74</v>
      </c>
      <c r="BC5" s="4" t="s">
        <v>74</v>
      </c>
      <c r="BD5" s="4">
        <v>4103</v>
      </c>
      <c r="BE5" s="4" t="s">
        <v>177</v>
      </c>
      <c r="BF5" s="4" t="str">
        <f>HYPERLINK("http://dx.doi.org/10.3390/en15114103","http://dx.doi.org/10.3390/en15114103")</f>
        <v>http://dx.doi.org/10.3390/en15114103</v>
      </c>
      <c r="BG5" s="4" t="s">
        <v>74</v>
      </c>
      <c r="BH5" s="4" t="s">
        <v>74</v>
      </c>
      <c r="BI5" s="4">
        <v>24</v>
      </c>
      <c r="BJ5" s="4" t="s">
        <v>178</v>
      </c>
      <c r="BK5" s="4" t="s">
        <v>179</v>
      </c>
      <c r="BL5" s="4" t="s">
        <v>178</v>
      </c>
      <c r="BM5" s="4" t="s">
        <v>180</v>
      </c>
      <c r="BN5" s="4" t="s">
        <v>74</v>
      </c>
      <c r="BO5" s="4" t="s">
        <v>133</v>
      </c>
      <c r="BP5" s="4" t="s">
        <v>74</v>
      </c>
      <c r="BQ5" s="4" t="s">
        <v>74</v>
      </c>
      <c r="BR5" s="4" t="s">
        <v>101</v>
      </c>
      <c r="BS5" s="4" t="s">
        <v>181</v>
      </c>
      <c r="BT5" s="4" t="str">
        <f>HYPERLINK("https%3A%2F%2Fwww.webofscience.com%2Fwos%2Fwoscc%2Ffull-record%2FWOS:000809883800001","View Full Record in Web of Science")</f>
        <v>View Full Record in Web of Science</v>
      </c>
      <c r="BU5" s="4"/>
      <c r="BV5" s="4"/>
      <c r="BW5" s="5"/>
    </row>
    <row r="6" spans="1:75" x14ac:dyDescent="0.25">
      <c r="A6" s="3" t="s">
        <v>103</v>
      </c>
      <c r="B6" s="3" t="s">
        <v>182</v>
      </c>
      <c r="C6" s="3" t="s">
        <v>74</v>
      </c>
      <c r="D6" s="3" t="s">
        <v>183</v>
      </c>
      <c r="E6" s="3" t="s">
        <v>74</v>
      </c>
      <c r="F6" s="3" t="s">
        <v>184</v>
      </c>
      <c r="G6" s="3" t="s">
        <v>74</v>
      </c>
      <c r="H6" s="3" t="s">
        <v>74</v>
      </c>
      <c r="I6" s="3" t="s">
        <v>185</v>
      </c>
      <c r="J6" s="3" t="s">
        <v>186</v>
      </c>
      <c r="K6" s="3" t="s">
        <v>187</v>
      </c>
      <c r="L6" s="3" t="s">
        <v>74</v>
      </c>
      <c r="M6" s="3" t="s">
        <v>110</v>
      </c>
      <c r="N6" s="3" t="s">
        <v>111</v>
      </c>
      <c r="O6" s="3" t="s">
        <v>188</v>
      </c>
      <c r="P6" s="3" t="s">
        <v>189</v>
      </c>
      <c r="Q6" s="3" t="s">
        <v>190</v>
      </c>
      <c r="R6" s="3" t="s">
        <v>74</v>
      </c>
      <c r="S6" s="3" t="s">
        <v>74</v>
      </c>
      <c r="T6" s="3" t="s">
        <v>191</v>
      </c>
      <c r="U6" s="3" t="s">
        <v>74</v>
      </c>
      <c r="V6" s="3" t="s">
        <v>192</v>
      </c>
      <c r="W6" s="3" t="s">
        <v>193</v>
      </c>
      <c r="X6" s="3" t="s">
        <v>194</v>
      </c>
      <c r="Y6" s="3" t="s">
        <v>195</v>
      </c>
      <c r="Z6" s="3" t="s">
        <v>196</v>
      </c>
      <c r="AA6" s="3" t="s">
        <v>197</v>
      </c>
      <c r="AB6" s="3" t="s">
        <v>198</v>
      </c>
      <c r="AC6" s="3" t="s">
        <v>74</v>
      </c>
      <c r="AD6" s="3" t="s">
        <v>74</v>
      </c>
      <c r="AE6" s="3" t="s">
        <v>74</v>
      </c>
      <c r="AF6" s="3" t="s">
        <v>74</v>
      </c>
      <c r="AG6" s="3">
        <v>23</v>
      </c>
      <c r="AH6" s="3">
        <v>4</v>
      </c>
      <c r="AI6" s="3">
        <v>4</v>
      </c>
      <c r="AJ6" s="3">
        <v>0</v>
      </c>
      <c r="AK6" s="3">
        <v>72</v>
      </c>
      <c r="AL6" s="3" t="s">
        <v>199</v>
      </c>
      <c r="AM6" s="3" t="s">
        <v>200</v>
      </c>
      <c r="AN6" s="3" t="s">
        <v>201</v>
      </c>
      <c r="AO6" s="3" t="s">
        <v>202</v>
      </c>
      <c r="AP6" s="3" t="s">
        <v>203</v>
      </c>
      <c r="AQ6" s="3" t="s">
        <v>204</v>
      </c>
      <c r="AR6" s="3" t="s">
        <v>205</v>
      </c>
      <c r="AS6" s="3" t="s">
        <v>74</v>
      </c>
      <c r="AT6" s="3" t="s">
        <v>74</v>
      </c>
      <c r="AU6" s="3">
        <v>2022</v>
      </c>
      <c r="AV6" s="3" t="s">
        <v>74</v>
      </c>
      <c r="AW6" s="3" t="s">
        <v>74</v>
      </c>
      <c r="AX6" s="3" t="s">
        <v>74</v>
      </c>
      <c r="AY6" s="3" t="s">
        <v>74</v>
      </c>
      <c r="AZ6" s="3" t="s">
        <v>74</v>
      </c>
      <c r="BA6" s="3" t="s">
        <v>74</v>
      </c>
      <c r="BB6" s="3">
        <v>334</v>
      </c>
      <c r="BC6" s="3">
        <v>338</v>
      </c>
      <c r="BD6" s="3" t="s">
        <v>74</v>
      </c>
      <c r="BE6" s="3" t="s">
        <v>206</v>
      </c>
      <c r="BF6" s="3" t="str">
        <f>HYPERLINK("http://dx.doi.org/10.1109/LOGISTIQUA55056.2022.9938020","http://dx.doi.org/10.1109/LOGISTIQUA55056.2022.9938020")</f>
        <v>http://dx.doi.org/10.1109/LOGISTIQUA55056.2022.9938020</v>
      </c>
      <c r="BG6" s="3" t="s">
        <v>74</v>
      </c>
      <c r="BH6" s="3" t="s">
        <v>74</v>
      </c>
      <c r="BI6" s="3">
        <v>5</v>
      </c>
      <c r="BJ6" s="3" t="s">
        <v>207</v>
      </c>
      <c r="BK6" s="3" t="s">
        <v>208</v>
      </c>
      <c r="BL6" s="3" t="s">
        <v>209</v>
      </c>
      <c r="BM6" s="3" t="s">
        <v>210</v>
      </c>
      <c r="BN6" s="3" t="s">
        <v>74</v>
      </c>
      <c r="BO6" s="3" t="s">
        <v>74</v>
      </c>
      <c r="BP6" s="3" t="s">
        <v>74</v>
      </c>
      <c r="BQ6" s="3" t="s">
        <v>74</v>
      </c>
      <c r="BR6" s="3" t="s">
        <v>101</v>
      </c>
      <c r="BS6" s="3" t="s">
        <v>211</v>
      </c>
      <c r="BT6" s="3" t="str">
        <f>HYPERLINK("https%3A%2F%2Fwww.webofscience.com%2Fwos%2Fwoscc%2Ffull-record%2FWOS:000899744300051","View Full Record in Web of Science")</f>
        <v>View Full Record in Web of Science</v>
      </c>
      <c r="BU6" s="3"/>
      <c r="BV6" s="3"/>
      <c r="BW6" s="1"/>
    </row>
    <row r="7" spans="1:75" x14ac:dyDescent="0.25">
      <c r="A7" s="3" t="s">
        <v>72</v>
      </c>
      <c r="B7" s="3" t="s">
        <v>212</v>
      </c>
      <c r="C7" s="3" t="s">
        <v>74</v>
      </c>
      <c r="D7" s="3" t="s">
        <v>74</v>
      </c>
      <c r="E7" s="3" t="s">
        <v>74</v>
      </c>
      <c r="F7" s="3" t="s">
        <v>213</v>
      </c>
      <c r="G7" s="3" t="s">
        <v>74</v>
      </c>
      <c r="H7" s="3" t="s">
        <v>74</v>
      </c>
      <c r="I7" s="3" t="s">
        <v>214</v>
      </c>
      <c r="J7" s="3" t="s">
        <v>215</v>
      </c>
      <c r="K7" s="3" t="s">
        <v>74</v>
      </c>
      <c r="L7" s="3" t="s">
        <v>74</v>
      </c>
      <c r="M7" s="3" t="s">
        <v>110</v>
      </c>
      <c r="N7" s="3" t="s">
        <v>216</v>
      </c>
      <c r="O7" s="3" t="s">
        <v>74</v>
      </c>
      <c r="P7" s="3" t="s">
        <v>74</v>
      </c>
      <c r="Q7" s="3" t="s">
        <v>74</v>
      </c>
      <c r="R7" s="3" t="s">
        <v>74</v>
      </c>
      <c r="S7" s="3" t="s">
        <v>74</v>
      </c>
      <c r="T7" s="3" t="s">
        <v>217</v>
      </c>
      <c r="U7" s="3" t="s">
        <v>218</v>
      </c>
      <c r="V7" s="3" t="s">
        <v>219</v>
      </c>
      <c r="W7" s="3" t="s">
        <v>220</v>
      </c>
      <c r="X7" s="3" t="s">
        <v>221</v>
      </c>
      <c r="Y7" s="3" t="s">
        <v>222</v>
      </c>
      <c r="Z7" s="3" t="s">
        <v>223</v>
      </c>
      <c r="AA7" s="3" t="s">
        <v>224</v>
      </c>
      <c r="AB7" s="3" t="s">
        <v>225</v>
      </c>
      <c r="AC7" s="3" t="s">
        <v>74</v>
      </c>
      <c r="AD7" s="3" t="s">
        <v>74</v>
      </c>
      <c r="AE7" s="3" t="s">
        <v>74</v>
      </c>
      <c r="AF7" s="3" t="s">
        <v>74</v>
      </c>
      <c r="AG7" s="3">
        <v>126</v>
      </c>
      <c r="AH7" s="3">
        <v>19</v>
      </c>
      <c r="AI7" s="3">
        <v>22</v>
      </c>
      <c r="AJ7" s="3">
        <v>11</v>
      </c>
      <c r="AK7" s="3">
        <v>37</v>
      </c>
      <c r="AL7" s="3" t="s">
        <v>226</v>
      </c>
      <c r="AM7" s="3" t="s">
        <v>227</v>
      </c>
      <c r="AN7" s="3" t="s">
        <v>228</v>
      </c>
      <c r="AO7" s="3" t="s">
        <v>74</v>
      </c>
      <c r="AP7" s="3" t="s">
        <v>229</v>
      </c>
      <c r="AQ7" s="3" t="s">
        <v>74</v>
      </c>
      <c r="AR7" s="3" t="s">
        <v>215</v>
      </c>
      <c r="AS7" s="3" t="s">
        <v>230</v>
      </c>
      <c r="AT7" s="3" t="s">
        <v>231</v>
      </c>
      <c r="AU7" s="3">
        <v>2024</v>
      </c>
      <c r="AV7" s="3">
        <v>10</v>
      </c>
      <c r="AW7" s="3">
        <v>12</v>
      </c>
      <c r="AX7" s="3" t="s">
        <v>74</v>
      </c>
      <c r="AY7" s="3" t="s">
        <v>74</v>
      </c>
      <c r="AZ7" s="3" t="s">
        <v>74</v>
      </c>
      <c r="BA7" s="3" t="s">
        <v>74</v>
      </c>
      <c r="BB7" s="3" t="s">
        <v>74</v>
      </c>
      <c r="BC7" s="3" t="s">
        <v>74</v>
      </c>
      <c r="BD7" s="3" t="s">
        <v>232</v>
      </c>
      <c r="BE7" s="3" t="s">
        <v>233</v>
      </c>
      <c r="BF7" s="3" t="str">
        <f>HYPERLINK("http://dx.doi.org/10.1016/j.heliyon.2024.e32654","http://dx.doi.org/10.1016/j.heliyon.2024.e32654")</f>
        <v>http://dx.doi.org/10.1016/j.heliyon.2024.e32654</v>
      </c>
      <c r="BG7" s="3" t="s">
        <v>74</v>
      </c>
      <c r="BH7" s="3" t="s">
        <v>234</v>
      </c>
      <c r="BI7" s="3">
        <v>20</v>
      </c>
      <c r="BJ7" s="3" t="s">
        <v>235</v>
      </c>
      <c r="BK7" s="3" t="s">
        <v>179</v>
      </c>
      <c r="BL7" s="3" t="s">
        <v>236</v>
      </c>
      <c r="BM7" s="3" t="s">
        <v>237</v>
      </c>
      <c r="BN7" s="3">
        <v>39183850</v>
      </c>
      <c r="BO7" s="3" t="s">
        <v>133</v>
      </c>
      <c r="BP7" s="3" t="s">
        <v>74</v>
      </c>
      <c r="BQ7" s="3" t="s">
        <v>74</v>
      </c>
      <c r="BR7" s="3" t="s">
        <v>101</v>
      </c>
      <c r="BS7" s="3" t="s">
        <v>238</v>
      </c>
      <c r="BT7" s="3" t="str">
        <f>HYPERLINK("https%3A%2F%2Fwww.webofscience.com%2Fwos%2Fwoscc%2Ffull-record%2FWOS:001253608000001","View Full Record in Web of Science")</f>
        <v>View Full Record in Web of Science</v>
      </c>
      <c r="BU7" s="3"/>
      <c r="BV7" s="3"/>
      <c r="BW7" s="1"/>
    </row>
    <row r="8" spans="1:75" x14ac:dyDescent="0.25">
      <c r="A8" s="6" t="s">
        <v>72</v>
      </c>
      <c r="B8" s="6" t="s">
        <v>239</v>
      </c>
      <c r="C8" s="6" t="s">
        <v>74</v>
      </c>
      <c r="D8" s="6" t="s">
        <v>74</v>
      </c>
      <c r="E8" s="6" t="s">
        <v>74</v>
      </c>
      <c r="F8" s="6" t="s">
        <v>240</v>
      </c>
      <c r="G8" s="6" t="s">
        <v>74</v>
      </c>
      <c r="H8" s="6" t="s">
        <v>74</v>
      </c>
      <c r="I8" s="8" t="s">
        <v>241</v>
      </c>
      <c r="J8" s="6" t="s">
        <v>242</v>
      </c>
      <c r="K8" s="6" t="s">
        <v>74</v>
      </c>
      <c r="L8" s="6" t="s">
        <v>74</v>
      </c>
      <c r="M8" s="6" t="s">
        <v>110</v>
      </c>
      <c r="N8" s="6" t="s">
        <v>79</v>
      </c>
      <c r="O8" s="6" t="s">
        <v>74</v>
      </c>
      <c r="P8" s="6" t="s">
        <v>74</v>
      </c>
      <c r="Q8" s="6" t="s">
        <v>74</v>
      </c>
      <c r="R8" s="6" t="s">
        <v>74</v>
      </c>
      <c r="S8" s="6" t="s">
        <v>74</v>
      </c>
      <c r="T8" s="6" t="s">
        <v>243</v>
      </c>
      <c r="U8" s="6" t="s">
        <v>244</v>
      </c>
      <c r="V8" s="6" t="s">
        <v>245</v>
      </c>
      <c r="W8" s="6" t="s">
        <v>246</v>
      </c>
      <c r="X8" s="6" t="s">
        <v>247</v>
      </c>
      <c r="Y8" s="6" t="s">
        <v>248</v>
      </c>
      <c r="Z8" s="6" t="s">
        <v>249</v>
      </c>
      <c r="AA8" s="6" t="s">
        <v>250</v>
      </c>
      <c r="AB8" s="6" t="s">
        <v>251</v>
      </c>
      <c r="AC8" s="6" t="s">
        <v>252</v>
      </c>
      <c r="AD8" s="6" t="s">
        <v>252</v>
      </c>
      <c r="AE8" s="6" t="s">
        <v>253</v>
      </c>
      <c r="AF8" s="6" t="s">
        <v>74</v>
      </c>
      <c r="AG8" s="6">
        <v>116</v>
      </c>
      <c r="AH8" s="6">
        <v>14</v>
      </c>
      <c r="AI8" s="6">
        <v>16</v>
      </c>
      <c r="AJ8" s="6">
        <v>9</v>
      </c>
      <c r="AK8" s="6">
        <v>36</v>
      </c>
      <c r="AL8" s="6" t="s">
        <v>254</v>
      </c>
      <c r="AM8" s="6" t="s">
        <v>255</v>
      </c>
      <c r="AN8" s="6" t="s">
        <v>256</v>
      </c>
      <c r="AO8" s="6" t="s">
        <v>257</v>
      </c>
      <c r="AP8" s="6" t="s">
        <v>258</v>
      </c>
      <c r="AQ8" s="6" t="s">
        <v>74</v>
      </c>
      <c r="AR8" s="6" t="s">
        <v>242</v>
      </c>
      <c r="AS8" s="6" t="s">
        <v>259</v>
      </c>
      <c r="AT8" s="6" t="s">
        <v>260</v>
      </c>
      <c r="AU8" s="6">
        <v>2025</v>
      </c>
      <c r="AV8" s="6">
        <v>156</v>
      </c>
      <c r="AW8" s="6" t="s">
        <v>74</v>
      </c>
      <c r="AX8" s="6" t="s">
        <v>74</v>
      </c>
      <c r="AY8" s="6" t="s">
        <v>74</v>
      </c>
      <c r="AZ8" s="6" t="s">
        <v>74</v>
      </c>
      <c r="BA8" s="6" t="s">
        <v>74</v>
      </c>
      <c r="BB8" s="6" t="s">
        <v>74</v>
      </c>
      <c r="BC8" s="6" t="s">
        <v>74</v>
      </c>
      <c r="BD8" s="6">
        <v>105558</v>
      </c>
      <c r="BE8" s="6" t="s">
        <v>261</v>
      </c>
      <c r="BF8" s="6" t="str">
        <f>HYPERLINK("http://dx.doi.org/10.1016/j.cities.2024.105558","http://dx.doi.org/10.1016/j.cities.2024.105558")</f>
        <v>http://dx.doi.org/10.1016/j.cities.2024.105558</v>
      </c>
      <c r="BG8" s="6" t="s">
        <v>74</v>
      </c>
      <c r="BH8" s="6" t="s">
        <v>262</v>
      </c>
      <c r="BI8" s="6">
        <v>12</v>
      </c>
      <c r="BJ8" s="6" t="s">
        <v>263</v>
      </c>
      <c r="BK8" s="6" t="s">
        <v>264</v>
      </c>
      <c r="BL8" s="6" t="s">
        <v>263</v>
      </c>
      <c r="BM8" s="6" t="s">
        <v>265</v>
      </c>
      <c r="BN8" s="6" t="s">
        <v>74</v>
      </c>
      <c r="BO8" s="6" t="s">
        <v>74</v>
      </c>
      <c r="BP8" s="6" t="s">
        <v>74</v>
      </c>
      <c r="BQ8" s="6" t="s">
        <v>74</v>
      </c>
      <c r="BR8" s="6" t="s">
        <v>101</v>
      </c>
      <c r="BS8" s="6" t="s">
        <v>266</v>
      </c>
      <c r="BT8" s="6" t="str">
        <f>HYPERLINK("https%3A%2F%2Fwww.webofscience.com%2Fwos%2Fwoscc%2Ffull-record%2FWOS:001348583100001","View Full Record in Web of Science")</f>
        <v>View Full Record in Web of Science</v>
      </c>
      <c r="BU8" s="6"/>
      <c r="BV8" s="6"/>
      <c r="BW8" s="7"/>
    </row>
    <row r="9" spans="1:75" x14ac:dyDescent="0.25">
      <c r="A9" s="3" t="s">
        <v>72</v>
      </c>
      <c r="B9" s="3" t="s">
        <v>267</v>
      </c>
      <c r="C9" s="3" t="s">
        <v>74</v>
      </c>
      <c r="D9" s="3" t="s">
        <v>74</v>
      </c>
      <c r="E9" s="3" t="s">
        <v>74</v>
      </c>
      <c r="F9" s="3" t="s">
        <v>268</v>
      </c>
      <c r="G9" s="3" t="s">
        <v>74</v>
      </c>
      <c r="H9" s="3" t="s">
        <v>74</v>
      </c>
      <c r="I9" s="3" t="s">
        <v>269</v>
      </c>
      <c r="J9" s="3" t="s">
        <v>270</v>
      </c>
      <c r="K9" s="3" t="s">
        <v>74</v>
      </c>
      <c r="L9" s="3" t="s">
        <v>74</v>
      </c>
      <c r="M9" s="3" t="s">
        <v>110</v>
      </c>
      <c r="N9" s="3" t="s">
        <v>79</v>
      </c>
      <c r="O9" s="3" t="s">
        <v>74</v>
      </c>
      <c r="P9" s="3" t="s">
        <v>74</v>
      </c>
      <c r="Q9" s="3" t="s">
        <v>74</v>
      </c>
      <c r="R9" s="3" t="s">
        <v>74</v>
      </c>
      <c r="S9" s="3" t="s">
        <v>74</v>
      </c>
      <c r="T9" s="3" t="s">
        <v>271</v>
      </c>
      <c r="U9" s="3" t="s">
        <v>74</v>
      </c>
      <c r="V9" s="3" t="s">
        <v>272</v>
      </c>
      <c r="W9" s="3" t="s">
        <v>273</v>
      </c>
      <c r="X9" s="3" t="s">
        <v>274</v>
      </c>
      <c r="Y9" s="3" t="s">
        <v>275</v>
      </c>
      <c r="Z9" s="3" t="s">
        <v>276</v>
      </c>
      <c r="AA9" s="3" t="s">
        <v>277</v>
      </c>
      <c r="AB9" s="3" t="s">
        <v>278</v>
      </c>
      <c r="AC9" s="3" t="s">
        <v>74</v>
      </c>
      <c r="AD9" s="3" t="s">
        <v>74</v>
      </c>
      <c r="AE9" s="3" t="s">
        <v>74</v>
      </c>
      <c r="AF9" s="3" t="s">
        <v>74</v>
      </c>
      <c r="AG9" s="3">
        <v>46</v>
      </c>
      <c r="AH9" s="3">
        <v>7</v>
      </c>
      <c r="AI9" s="3">
        <v>7</v>
      </c>
      <c r="AJ9" s="3">
        <v>4</v>
      </c>
      <c r="AK9" s="3">
        <v>13</v>
      </c>
      <c r="AL9" s="3" t="s">
        <v>145</v>
      </c>
      <c r="AM9" s="3" t="s">
        <v>146</v>
      </c>
      <c r="AN9" s="3" t="s">
        <v>279</v>
      </c>
      <c r="AO9" s="3" t="s">
        <v>74</v>
      </c>
      <c r="AP9" s="3" t="s">
        <v>280</v>
      </c>
      <c r="AQ9" s="3" t="s">
        <v>74</v>
      </c>
      <c r="AR9" s="3" t="s">
        <v>281</v>
      </c>
      <c r="AS9" s="3" t="s">
        <v>282</v>
      </c>
      <c r="AT9" s="3" t="s">
        <v>283</v>
      </c>
      <c r="AU9" s="3">
        <v>2024</v>
      </c>
      <c r="AV9" s="3">
        <v>7</v>
      </c>
      <c r="AW9" s="3">
        <v>4</v>
      </c>
      <c r="AX9" s="3" t="s">
        <v>74</v>
      </c>
      <c r="AY9" s="3" t="s">
        <v>74</v>
      </c>
      <c r="AZ9" s="3" t="s">
        <v>74</v>
      </c>
      <c r="BA9" s="3" t="s">
        <v>74</v>
      </c>
      <c r="BB9" s="3">
        <v>1836</v>
      </c>
      <c r="BC9" s="3">
        <v>1856</v>
      </c>
      <c r="BD9" s="3" t="s">
        <v>74</v>
      </c>
      <c r="BE9" s="3" t="s">
        <v>284</v>
      </c>
      <c r="BF9" s="3" t="str">
        <f>HYPERLINK("http://dx.doi.org/10.3390/smartcities7040071","http://dx.doi.org/10.3390/smartcities7040071")</f>
        <v>http://dx.doi.org/10.3390/smartcities7040071</v>
      </c>
      <c r="BG9" s="3" t="s">
        <v>74</v>
      </c>
      <c r="BH9" s="3" t="s">
        <v>74</v>
      </c>
      <c r="BI9" s="3">
        <v>21</v>
      </c>
      <c r="BJ9" s="3" t="s">
        <v>285</v>
      </c>
      <c r="BK9" s="3" t="s">
        <v>97</v>
      </c>
      <c r="BL9" s="3" t="s">
        <v>286</v>
      </c>
      <c r="BM9" s="3" t="s">
        <v>287</v>
      </c>
      <c r="BN9" s="3" t="s">
        <v>74</v>
      </c>
      <c r="BO9" s="3" t="s">
        <v>100</v>
      </c>
      <c r="BP9" s="3" t="s">
        <v>74</v>
      </c>
      <c r="BQ9" s="3" t="s">
        <v>74</v>
      </c>
      <c r="BR9" s="3" t="s">
        <v>101</v>
      </c>
      <c r="BS9" s="3" t="s">
        <v>288</v>
      </c>
      <c r="BT9" s="3" t="str">
        <f>HYPERLINK("https%3A%2F%2Fwww.webofscience.com%2Fwos%2Fwoscc%2Ffull-record%2FWOS:001305065100001","View Full Record in Web of Science")</f>
        <v>View Full Record in Web of Science</v>
      </c>
      <c r="BU9" s="3"/>
      <c r="BV9" s="3"/>
      <c r="BW9" s="1"/>
    </row>
    <row r="10" spans="1:75" x14ac:dyDescent="0.25">
      <c r="A10" s="3" t="s">
        <v>72</v>
      </c>
      <c r="B10" s="3" t="s">
        <v>289</v>
      </c>
      <c r="C10" s="3" t="s">
        <v>74</v>
      </c>
      <c r="D10" s="3" t="s">
        <v>74</v>
      </c>
      <c r="E10" s="3" t="s">
        <v>74</v>
      </c>
      <c r="F10" s="3" t="s">
        <v>290</v>
      </c>
      <c r="G10" s="3" t="s">
        <v>74</v>
      </c>
      <c r="H10" s="3" t="s">
        <v>74</v>
      </c>
      <c r="I10" s="3" t="s">
        <v>291</v>
      </c>
      <c r="J10" s="3" t="s">
        <v>292</v>
      </c>
      <c r="K10" s="3" t="s">
        <v>74</v>
      </c>
      <c r="L10" s="3" t="s">
        <v>74</v>
      </c>
      <c r="M10" s="3" t="s">
        <v>110</v>
      </c>
      <c r="N10" s="3" t="s">
        <v>79</v>
      </c>
      <c r="O10" s="3" t="s">
        <v>74</v>
      </c>
      <c r="P10" s="3" t="s">
        <v>74</v>
      </c>
      <c r="Q10" s="3" t="s">
        <v>74</v>
      </c>
      <c r="R10" s="3" t="s">
        <v>74</v>
      </c>
      <c r="S10" s="3" t="s">
        <v>74</v>
      </c>
      <c r="T10" s="3" t="s">
        <v>293</v>
      </c>
      <c r="U10" s="3" t="s">
        <v>294</v>
      </c>
      <c r="V10" s="3" t="s">
        <v>295</v>
      </c>
      <c r="W10" s="3" t="s">
        <v>296</v>
      </c>
      <c r="X10" s="3" t="s">
        <v>297</v>
      </c>
      <c r="Y10" s="3" t="s">
        <v>298</v>
      </c>
      <c r="Z10" s="3" t="s">
        <v>299</v>
      </c>
      <c r="AA10" s="3" t="s">
        <v>300</v>
      </c>
      <c r="AB10" s="3" t="s">
        <v>301</v>
      </c>
      <c r="AC10" s="3" t="s">
        <v>302</v>
      </c>
      <c r="AD10" s="3" t="s">
        <v>302</v>
      </c>
      <c r="AE10" s="3" t="s">
        <v>303</v>
      </c>
      <c r="AF10" s="3" t="s">
        <v>74</v>
      </c>
      <c r="AG10" s="3">
        <v>38</v>
      </c>
      <c r="AH10" s="3">
        <v>9</v>
      </c>
      <c r="AI10" s="3">
        <v>11</v>
      </c>
      <c r="AJ10" s="3">
        <v>2</v>
      </c>
      <c r="AK10" s="3">
        <v>4</v>
      </c>
      <c r="AL10" s="3" t="s">
        <v>304</v>
      </c>
      <c r="AM10" s="3" t="s">
        <v>305</v>
      </c>
      <c r="AN10" s="3" t="s">
        <v>306</v>
      </c>
      <c r="AO10" s="3" t="s">
        <v>307</v>
      </c>
      <c r="AP10" s="3" t="s">
        <v>308</v>
      </c>
      <c r="AQ10" s="3" t="s">
        <v>74</v>
      </c>
      <c r="AR10" s="3" t="s">
        <v>309</v>
      </c>
      <c r="AS10" s="3" t="s">
        <v>310</v>
      </c>
      <c r="AT10" s="3" t="s">
        <v>311</v>
      </c>
      <c r="AU10" s="3">
        <v>2024</v>
      </c>
      <c r="AV10" s="3">
        <v>87</v>
      </c>
      <c r="AW10" s="3" t="s">
        <v>74</v>
      </c>
      <c r="AX10" s="3" t="s">
        <v>74</v>
      </c>
      <c r="AY10" s="3" t="s">
        <v>74</v>
      </c>
      <c r="AZ10" s="3" t="s">
        <v>74</v>
      </c>
      <c r="BA10" s="3" t="s">
        <v>74</v>
      </c>
      <c r="BB10" s="3">
        <v>1047</v>
      </c>
      <c r="BC10" s="3">
        <v>1055</v>
      </c>
      <c r="BD10" s="3" t="s">
        <v>74</v>
      </c>
      <c r="BE10" s="3" t="s">
        <v>312</v>
      </c>
      <c r="BF10" s="3" t="str">
        <f>HYPERLINK("http://dx.doi.org/10.1016/j.ijhydene.2024.09.029","http://dx.doi.org/10.1016/j.ijhydene.2024.09.029")</f>
        <v>http://dx.doi.org/10.1016/j.ijhydene.2024.09.029</v>
      </c>
      <c r="BG10" s="3" t="s">
        <v>74</v>
      </c>
      <c r="BH10" s="3" t="s">
        <v>313</v>
      </c>
      <c r="BI10" s="3">
        <v>9</v>
      </c>
      <c r="BJ10" s="3" t="s">
        <v>314</v>
      </c>
      <c r="BK10" s="3" t="s">
        <v>179</v>
      </c>
      <c r="BL10" s="3" t="s">
        <v>315</v>
      </c>
      <c r="BM10" s="3" t="s">
        <v>316</v>
      </c>
      <c r="BN10" s="3" t="s">
        <v>74</v>
      </c>
      <c r="BO10" s="3" t="s">
        <v>74</v>
      </c>
      <c r="BP10" s="3" t="s">
        <v>74</v>
      </c>
      <c r="BQ10" s="3" t="s">
        <v>74</v>
      </c>
      <c r="BR10" s="3" t="s">
        <v>101</v>
      </c>
      <c r="BS10" s="3" t="s">
        <v>317</v>
      </c>
      <c r="BT10" s="3" t="str">
        <f>HYPERLINK("https%3A%2F%2Fwww.webofscience.com%2Fwos%2Fwoscc%2Ffull-record%2FWOS:001314088100001","View Full Record in Web of Science")</f>
        <v>View Full Record in Web of Science</v>
      </c>
      <c r="BU10" s="3"/>
      <c r="BV10" s="3"/>
      <c r="BW10" s="1"/>
    </row>
    <row r="11" spans="1:75" x14ac:dyDescent="0.25">
      <c r="A11" s="3" t="s">
        <v>72</v>
      </c>
      <c r="B11" s="3" t="s">
        <v>318</v>
      </c>
      <c r="C11" s="3" t="s">
        <v>74</v>
      </c>
      <c r="D11" s="3" t="s">
        <v>74</v>
      </c>
      <c r="E11" s="3" t="s">
        <v>74</v>
      </c>
      <c r="F11" s="3" t="s">
        <v>319</v>
      </c>
      <c r="G11" s="3" t="s">
        <v>74</v>
      </c>
      <c r="H11" s="3" t="s">
        <v>74</v>
      </c>
      <c r="I11" s="3" t="s">
        <v>320</v>
      </c>
      <c r="J11" s="3" t="s">
        <v>138</v>
      </c>
      <c r="K11" s="3" t="s">
        <v>74</v>
      </c>
      <c r="L11" s="3" t="s">
        <v>74</v>
      </c>
      <c r="M11" s="3" t="s">
        <v>110</v>
      </c>
      <c r="N11" s="3" t="s">
        <v>216</v>
      </c>
      <c r="O11" s="3" t="s">
        <v>74</v>
      </c>
      <c r="P11" s="3" t="s">
        <v>74</v>
      </c>
      <c r="Q11" s="3" t="s">
        <v>74</v>
      </c>
      <c r="R11" s="3" t="s">
        <v>74</v>
      </c>
      <c r="S11" s="3" t="s">
        <v>74</v>
      </c>
      <c r="T11" s="3" t="s">
        <v>321</v>
      </c>
      <c r="U11" s="3" t="s">
        <v>322</v>
      </c>
      <c r="V11" s="3" t="s">
        <v>323</v>
      </c>
      <c r="W11" s="3" t="s">
        <v>324</v>
      </c>
      <c r="X11" s="3" t="s">
        <v>325</v>
      </c>
      <c r="Y11" s="3" t="s">
        <v>326</v>
      </c>
      <c r="Z11" s="3" t="s">
        <v>327</v>
      </c>
      <c r="AA11" s="3" t="s">
        <v>328</v>
      </c>
      <c r="AB11" s="3" t="s">
        <v>329</v>
      </c>
      <c r="AC11" s="3" t="s">
        <v>330</v>
      </c>
      <c r="AD11" s="3" t="s">
        <v>331</v>
      </c>
      <c r="AE11" s="3" t="s">
        <v>332</v>
      </c>
      <c r="AF11" s="3" t="s">
        <v>74</v>
      </c>
      <c r="AG11" s="3">
        <v>100</v>
      </c>
      <c r="AH11" s="3">
        <v>4</v>
      </c>
      <c r="AI11" s="3">
        <v>4</v>
      </c>
      <c r="AJ11" s="3">
        <v>7</v>
      </c>
      <c r="AK11" s="3">
        <v>36</v>
      </c>
      <c r="AL11" s="3" t="s">
        <v>145</v>
      </c>
      <c r="AM11" s="3" t="s">
        <v>146</v>
      </c>
      <c r="AN11" s="3" t="s">
        <v>279</v>
      </c>
      <c r="AO11" s="3" t="s">
        <v>74</v>
      </c>
      <c r="AP11" s="3" t="s">
        <v>148</v>
      </c>
      <c r="AQ11" s="3" t="s">
        <v>74</v>
      </c>
      <c r="AR11" s="3" t="s">
        <v>149</v>
      </c>
      <c r="AS11" s="3" t="s">
        <v>150</v>
      </c>
      <c r="AT11" s="3" t="s">
        <v>333</v>
      </c>
      <c r="AU11" s="3">
        <v>2024</v>
      </c>
      <c r="AV11" s="3">
        <v>16</v>
      </c>
      <c r="AW11" s="3">
        <v>17</v>
      </c>
      <c r="AX11" s="3" t="s">
        <v>74</v>
      </c>
      <c r="AY11" s="3" t="s">
        <v>74</v>
      </c>
      <c r="AZ11" s="3" t="s">
        <v>74</v>
      </c>
      <c r="BA11" s="3" t="s">
        <v>74</v>
      </c>
      <c r="BB11" s="3" t="s">
        <v>74</v>
      </c>
      <c r="BC11" s="3" t="s">
        <v>74</v>
      </c>
      <c r="BD11" s="3">
        <v>7516</v>
      </c>
      <c r="BE11" s="3" t="s">
        <v>334</v>
      </c>
      <c r="BF11" s="3" t="str">
        <f>HYPERLINK("http://dx.doi.org/10.3390/su16177516","http://dx.doi.org/10.3390/su16177516")</f>
        <v>http://dx.doi.org/10.3390/su16177516</v>
      </c>
      <c r="BG11" s="3" t="s">
        <v>74</v>
      </c>
      <c r="BH11" s="3" t="s">
        <v>74</v>
      </c>
      <c r="BI11" s="3">
        <v>22</v>
      </c>
      <c r="BJ11" s="3" t="s">
        <v>153</v>
      </c>
      <c r="BK11" s="3" t="s">
        <v>154</v>
      </c>
      <c r="BL11" s="3" t="s">
        <v>155</v>
      </c>
      <c r="BM11" s="3" t="s">
        <v>335</v>
      </c>
      <c r="BN11" s="3" t="s">
        <v>74</v>
      </c>
      <c r="BO11" s="3" t="s">
        <v>133</v>
      </c>
      <c r="BP11" s="3" t="s">
        <v>74</v>
      </c>
      <c r="BQ11" s="3" t="s">
        <v>74</v>
      </c>
      <c r="BR11" s="3" t="s">
        <v>101</v>
      </c>
      <c r="BS11" s="3" t="s">
        <v>336</v>
      </c>
      <c r="BT11" s="3" t="str">
        <f>HYPERLINK("https%3A%2F%2Fwww.webofscience.com%2Fwos%2Fwoscc%2Ffull-record%2FWOS:001311822400001","View Full Record in Web of Science")</f>
        <v>View Full Record in Web of Science</v>
      </c>
      <c r="BU11" s="3"/>
      <c r="BV11" s="3"/>
      <c r="BW11" s="1"/>
    </row>
    <row r="12" spans="1:75" x14ac:dyDescent="0.25">
      <c r="A12" s="3" t="s">
        <v>72</v>
      </c>
      <c r="B12" s="3" t="s">
        <v>337</v>
      </c>
      <c r="C12" s="3" t="s">
        <v>74</v>
      </c>
      <c r="D12" s="3" t="s">
        <v>74</v>
      </c>
      <c r="E12" s="3" t="s">
        <v>74</v>
      </c>
      <c r="F12" s="3" t="s">
        <v>338</v>
      </c>
      <c r="G12" s="3" t="s">
        <v>74</v>
      </c>
      <c r="H12" s="3" t="s">
        <v>74</v>
      </c>
      <c r="I12" s="3" t="s">
        <v>339</v>
      </c>
      <c r="J12" s="3" t="s">
        <v>138</v>
      </c>
      <c r="K12" s="3" t="s">
        <v>74</v>
      </c>
      <c r="L12" s="3" t="s">
        <v>74</v>
      </c>
      <c r="M12" s="3" t="s">
        <v>110</v>
      </c>
      <c r="N12" s="3" t="s">
        <v>216</v>
      </c>
      <c r="O12" s="3" t="s">
        <v>74</v>
      </c>
      <c r="P12" s="3" t="s">
        <v>74</v>
      </c>
      <c r="Q12" s="3" t="s">
        <v>74</v>
      </c>
      <c r="R12" s="3" t="s">
        <v>74</v>
      </c>
      <c r="S12" s="3" t="s">
        <v>74</v>
      </c>
      <c r="T12" s="3" t="s">
        <v>340</v>
      </c>
      <c r="U12" s="3" t="s">
        <v>341</v>
      </c>
      <c r="V12" s="3" t="s">
        <v>342</v>
      </c>
      <c r="W12" s="3" t="s">
        <v>343</v>
      </c>
      <c r="X12" s="3" t="s">
        <v>344</v>
      </c>
      <c r="Y12" s="3" t="s">
        <v>345</v>
      </c>
      <c r="Z12" s="3" t="s">
        <v>346</v>
      </c>
      <c r="AA12" s="3" t="s">
        <v>347</v>
      </c>
      <c r="AB12" s="3" t="s">
        <v>348</v>
      </c>
      <c r="AC12" s="3" t="s">
        <v>349</v>
      </c>
      <c r="AD12" s="3" t="s">
        <v>350</v>
      </c>
      <c r="AE12" s="3" t="s">
        <v>351</v>
      </c>
      <c r="AF12" s="3" t="s">
        <v>74</v>
      </c>
      <c r="AG12" s="3">
        <v>73</v>
      </c>
      <c r="AH12" s="3">
        <v>7</v>
      </c>
      <c r="AI12" s="3">
        <v>8</v>
      </c>
      <c r="AJ12" s="3">
        <v>1</v>
      </c>
      <c r="AK12" s="3">
        <v>10</v>
      </c>
      <c r="AL12" s="3" t="s">
        <v>145</v>
      </c>
      <c r="AM12" s="3" t="s">
        <v>146</v>
      </c>
      <c r="AN12" s="3" t="s">
        <v>147</v>
      </c>
      <c r="AO12" s="3" t="s">
        <v>74</v>
      </c>
      <c r="AP12" s="3" t="s">
        <v>148</v>
      </c>
      <c r="AQ12" s="3" t="s">
        <v>74</v>
      </c>
      <c r="AR12" s="3" t="s">
        <v>149</v>
      </c>
      <c r="AS12" s="3" t="s">
        <v>150</v>
      </c>
      <c r="AT12" s="3" t="s">
        <v>283</v>
      </c>
      <c r="AU12" s="3">
        <v>2024</v>
      </c>
      <c r="AV12" s="3">
        <v>16</v>
      </c>
      <c r="AW12" s="3">
        <v>15</v>
      </c>
      <c r="AX12" s="3" t="s">
        <v>74</v>
      </c>
      <c r="AY12" s="3" t="s">
        <v>74</v>
      </c>
      <c r="AZ12" s="3" t="s">
        <v>74</v>
      </c>
      <c r="BA12" s="3" t="s">
        <v>74</v>
      </c>
      <c r="BB12" s="3" t="s">
        <v>74</v>
      </c>
      <c r="BC12" s="3" t="s">
        <v>74</v>
      </c>
      <c r="BD12" s="3">
        <v>6669</v>
      </c>
      <c r="BE12" s="3" t="s">
        <v>352</v>
      </c>
      <c r="BF12" s="3" t="str">
        <f>HYPERLINK("http://dx.doi.org/10.3390/su16156669","http://dx.doi.org/10.3390/su16156669")</f>
        <v>http://dx.doi.org/10.3390/su16156669</v>
      </c>
      <c r="BG12" s="3" t="s">
        <v>74</v>
      </c>
      <c r="BH12" s="3" t="s">
        <v>74</v>
      </c>
      <c r="BI12" s="3">
        <v>21</v>
      </c>
      <c r="BJ12" s="3" t="s">
        <v>153</v>
      </c>
      <c r="BK12" s="3" t="s">
        <v>154</v>
      </c>
      <c r="BL12" s="3" t="s">
        <v>155</v>
      </c>
      <c r="BM12" s="3" t="s">
        <v>353</v>
      </c>
      <c r="BN12" s="3" t="s">
        <v>74</v>
      </c>
      <c r="BO12" s="3" t="s">
        <v>133</v>
      </c>
      <c r="BP12" s="3" t="s">
        <v>74</v>
      </c>
      <c r="BQ12" s="3" t="s">
        <v>74</v>
      </c>
      <c r="BR12" s="3" t="s">
        <v>101</v>
      </c>
      <c r="BS12" s="3" t="s">
        <v>354</v>
      </c>
      <c r="BT12" s="3" t="str">
        <f>HYPERLINK("https%3A%2F%2Fwww.webofscience.com%2Fwos%2Fwoscc%2Ffull-record%2FWOS:001287135100001","View Full Record in Web of Science")</f>
        <v>View Full Record in Web of Science</v>
      </c>
      <c r="BU12" s="3"/>
      <c r="BV12" s="3"/>
      <c r="BW12" s="1"/>
    </row>
    <row r="13" spans="1:75" x14ac:dyDescent="0.25">
      <c r="A13" s="3" t="s">
        <v>103</v>
      </c>
      <c r="B13" s="3" t="s">
        <v>355</v>
      </c>
      <c r="C13" s="3" t="s">
        <v>74</v>
      </c>
      <c r="D13" s="3" t="s">
        <v>356</v>
      </c>
      <c r="E13" s="3" t="s">
        <v>74</v>
      </c>
      <c r="F13" s="3" t="s">
        <v>357</v>
      </c>
      <c r="G13" s="3" t="s">
        <v>74</v>
      </c>
      <c r="H13" s="3" t="s">
        <v>74</v>
      </c>
      <c r="I13" s="3" t="s">
        <v>358</v>
      </c>
      <c r="J13" s="3" t="s">
        <v>359</v>
      </c>
      <c r="K13" s="3" t="s">
        <v>360</v>
      </c>
      <c r="L13" s="3" t="s">
        <v>74</v>
      </c>
      <c r="M13" s="3" t="s">
        <v>110</v>
      </c>
      <c r="N13" s="3" t="s">
        <v>111</v>
      </c>
      <c r="O13" s="3" t="s">
        <v>361</v>
      </c>
      <c r="P13" s="3" t="s">
        <v>362</v>
      </c>
      <c r="Q13" s="3" t="s">
        <v>363</v>
      </c>
      <c r="R13" s="3" t="s">
        <v>74</v>
      </c>
      <c r="S13" s="3" t="s">
        <v>74</v>
      </c>
      <c r="T13" s="3" t="s">
        <v>364</v>
      </c>
      <c r="U13" s="3" t="s">
        <v>74</v>
      </c>
      <c r="V13" s="3" t="s">
        <v>365</v>
      </c>
      <c r="W13" s="3" t="s">
        <v>366</v>
      </c>
      <c r="X13" s="3" t="s">
        <v>367</v>
      </c>
      <c r="Y13" s="3" t="s">
        <v>368</v>
      </c>
      <c r="Z13" s="3" t="s">
        <v>369</v>
      </c>
      <c r="AA13" s="3" t="s">
        <v>370</v>
      </c>
      <c r="AB13" s="3" t="s">
        <v>74</v>
      </c>
      <c r="AC13" s="3" t="s">
        <v>371</v>
      </c>
      <c r="AD13" s="3" t="s">
        <v>372</v>
      </c>
      <c r="AE13" s="3" t="s">
        <v>373</v>
      </c>
      <c r="AF13" s="3" t="s">
        <v>74</v>
      </c>
      <c r="AG13" s="3">
        <v>17</v>
      </c>
      <c r="AH13" s="3">
        <v>0</v>
      </c>
      <c r="AI13" s="3">
        <v>0</v>
      </c>
      <c r="AJ13" s="3">
        <v>2</v>
      </c>
      <c r="AK13" s="3">
        <v>9</v>
      </c>
      <c r="AL13" s="3" t="s">
        <v>374</v>
      </c>
      <c r="AM13" s="3" t="s">
        <v>375</v>
      </c>
      <c r="AN13" s="3" t="s">
        <v>376</v>
      </c>
      <c r="AO13" s="3" t="s">
        <v>377</v>
      </c>
      <c r="AP13" s="3" t="s">
        <v>378</v>
      </c>
      <c r="AQ13" s="3" t="s">
        <v>379</v>
      </c>
      <c r="AR13" s="3" t="s">
        <v>380</v>
      </c>
      <c r="AS13" s="3" t="s">
        <v>74</v>
      </c>
      <c r="AT13" s="3" t="s">
        <v>74</v>
      </c>
      <c r="AU13" s="3">
        <v>2024</v>
      </c>
      <c r="AV13" s="3">
        <v>1136</v>
      </c>
      <c r="AW13" s="3" t="s">
        <v>74</v>
      </c>
      <c r="AX13" s="3" t="s">
        <v>74</v>
      </c>
      <c r="AY13" s="3" t="s">
        <v>74</v>
      </c>
      <c r="AZ13" s="3" t="s">
        <v>74</v>
      </c>
      <c r="BA13" s="3" t="s">
        <v>74</v>
      </c>
      <c r="BB13" s="3">
        <v>420</v>
      </c>
      <c r="BC13" s="3">
        <v>429</v>
      </c>
      <c r="BD13" s="3" t="s">
        <v>74</v>
      </c>
      <c r="BE13" s="3" t="s">
        <v>381</v>
      </c>
      <c r="BF13" s="3" t="str">
        <f>HYPERLINK("http://dx.doi.org/10.1007/978-3-031-53445-4_35","http://dx.doi.org/10.1007/978-3-031-53445-4_35")</f>
        <v>http://dx.doi.org/10.1007/978-3-031-53445-4_35</v>
      </c>
      <c r="BG13" s="3" t="s">
        <v>74</v>
      </c>
      <c r="BH13" s="3" t="s">
        <v>74</v>
      </c>
      <c r="BI13" s="3">
        <v>10</v>
      </c>
      <c r="BJ13" s="3" t="s">
        <v>382</v>
      </c>
      <c r="BK13" s="3" t="s">
        <v>208</v>
      </c>
      <c r="BL13" s="3" t="s">
        <v>383</v>
      </c>
      <c r="BM13" s="3" t="s">
        <v>384</v>
      </c>
      <c r="BN13" s="3" t="s">
        <v>74</v>
      </c>
      <c r="BO13" s="3" t="s">
        <v>74</v>
      </c>
      <c r="BP13" s="3" t="s">
        <v>74</v>
      </c>
      <c r="BQ13" s="3" t="s">
        <v>74</v>
      </c>
      <c r="BR13" s="3" t="s">
        <v>101</v>
      </c>
      <c r="BS13" s="3" t="s">
        <v>385</v>
      </c>
      <c r="BT13" s="3" t="str">
        <f>HYPERLINK("https%3A%2F%2Fwww.webofscience.com%2Fwos%2Fwoscc%2Ffull-record%2FWOS:001294445700035","View Full Record in Web of Science")</f>
        <v>View Full Record in Web of Science</v>
      </c>
      <c r="BU13" s="3"/>
      <c r="BV13" s="3"/>
      <c r="BW13" s="1"/>
    </row>
    <row r="14" spans="1:75" x14ac:dyDescent="0.25">
      <c r="A14" s="3" t="s">
        <v>72</v>
      </c>
      <c r="B14" s="3" t="s">
        <v>386</v>
      </c>
      <c r="C14" s="3" t="s">
        <v>74</v>
      </c>
      <c r="D14" s="3" t="s">
        <v>74</v>
      </c>
      <c r="E14" s="3" t="s">
        <v>74</v>
      </c>
      <c r="F14" s="3" t="s">
        <v>387</v>
      </c>
      <c r="G14" s="3" t="s">
        <v>74</v>
      </c>
      <c r="H14" s="3" t="s">
        <v>74</v>
      </c>
      <c r="I14" s="3" t="s">
        <v>388</v>
      </c>
      <c r="J14" s="3" t="s">
        <v>389</v>
      </c>
      <c r="K14" s="3" t="s">
        <v>74</v>
      </c>
      <c r="L14" s="3" t="s">
        <v>74</v>
      </c>
      <c r="M14" s="3" t="s">
        <v>110</v>
      </c>
      <c r="N14" s="3" t="s">
        <v>79</v>
      </c>
      <c r="O14" s="3" t="s">
        <v>74</v>
      </c>
      <c r="P14" s="3" t="s">
        <v>74</v>
      </c>
      <c r="Q14" s="3" t="s">
        <v>74</v>
      </c>
      <c r="R14" s="3" t="s">
        <v>74</v>
      </c>
      <c r="S14" s="3" t="s">
        <v>74</v>
      </c>
      <c r="T14" s="3" t="s">
        <v>74</v>
      </c>
      <c r="U14" s="3" t="s">
        <v>390</v>
      </c>
      <c r="V14" s="3" t="s">
        <v>391</v>
      </c>
      <c r="W14" s="3" t="s">
        <v>392</v>
      </c>
      <c r="X14" s="3" t="s">
        <v>393</v>
      </c>
      <c r="Y14" s="3" t="s">
        <v>394</v>
      </c>
      <c r="Z14" s="3" t="s">
        <v>395</v>
      </c>
      <c r="AA14" s="3" t="s">
        <v>396</v>
      </c>
      <c r="AB14" s="3" t="s">
        <v>397</v>
      </c>
      <c r="AC14" s="3" t="s">
        <v>398</v>
      </c>
      <c r="AD14" s="3" t="s">
        <v>399</v>
      </c>
      <c r="AE14" s="3" t="s">
        <v>400</v>
      </c>
      <c r="AF14" s="3" t="s">
        <v>74</v>
      </c>
      <c r="AG14" s="3">
        <v>52</v>
      </c>
      <c r="AH14" s="3">
        <v>0</v>
      </c>
      <c r="AI14" s="3">
        <v>0</v>
      </c>
      <c r="AJ14" s="3">
        <v>6</v>
      </c>
      <c r="AK14" s="3">
        <v>35</v>
      </c>
      <c r="AL14" s="3" t="s">
        <v>401</v>
      </c>
      <c r="AM14" s="3" t="s">
        <v>402</v>
      </c>
      <c r="AN14" s="3" t="s">
        <v>403</v>
      </c>
      <c r="AO14" s="3" t="s">
        <v>404</v>
      </c>
      <c r="AP14" s="3" t="s">
        <v>405</v>
      </c>
      <c r="AQ14" s="3" t="s">
        <v>74</v>
      </c>
      <c r="AR14" s="3" t="s">
        <v>406</v>
      </c>
      <c r="AS14" s="3" t="s">
        <v>407</v>
      </c>
      <c r="AT14" s="3" t="s">
        <v>408</v>
      </c>
      <c r="AU14" s="3">
        <v>2024</v>
      </c>
      <c r="AV14" s="3">
        <v>2024</v>
      </c>
      <c r="AW14" s="3" t="s">
        <v>74</v>
      </c>
      <c r="AX14" s="3" t="s">
        <v>74</v>
      </c>
      <c r="AY14" s="3" t="s">
        <v>74</v>
      </c>
      <c r="AZ14" s="3" t="s">
        <v>74</v>
      </c>
      <c r="BA14" s="3" t="s">
        <v>74</v>
      </c>
      <c r="BB14" s="3" t="s">
        <v>74</v>
      </c>
      <c r="BC14" s="3" t="s">
        <v>74</v>
      </c>
      <c r="BD14" s="3">
        <v>1203246</v>
      </c>
      <c r="BE14" s="3" t="s">
        <v>409</v>
      </c>
      <c r="BF14" s="3" t="str">
        <f>HYPERLINK("http://dx.doi.org/10.1155/2024/1203246","http://dx.doi.org/10.1155/2024/1203246")</f>
        <v>http://dx.doi.org/10.1155/2024/1203246</v>
      </c>
      <c r="BG14" s="3" t="s">
        <v>74</v>
      </c>
      <c r="BH14" s="3" t="s">
        <v>74</v>
      </c>
      <c r="BI14" s="3">
        <v>22</v>
      </c>
      <c r="BJ14" s="3" t="s">
        <v>410</v>
      </c>
      <c r="BK14" s="3" t="s">
        <v>179</v>
      </c>
      <c r="BL14" s="3" t="s">
        <v>411</v>
      </c>
      <c r="BM14" s="3" t="s">
        <v>412</v>
      </c>
      <c r="BN14" s="3" t="s">
        <v>74</v>
      </c>
      <c r="BO14" s="3" t="s">
        <v>100</v>
      </c>
      <c r="BP14" s="3" t="s">
        <v>74</v>
      </c>
      <c r="BQ14" s="3" t="s">
        <v>74</v>
      </c>
      <c r="BR14" s="3" t="s">
        <v>101</v>
      </c>
      <c r="BS14" s="3" t="s">
        <v>413</v>
      </c>
      <c r="BT14" s="3" t="str">
        <f>HYPERLINK("https%3A%2F%2Fwww.webofscience.com%2Fwos%2Fwoscc%2Ffull-record%2FWOS:001292673700002","View Full Record in Web of Science")</f>
        <v>View Full Record in Web of Science</v>
      </c>
      <c r="BU14" s="3"/>
      <c r="BV14" s="3"/>
      <c r="BW14" s="1"/>
    </row>
    <row r="15" spans="1:75" x14ac:dyDescent="0.25">
      <c r="A15" s="3" t="s">
        <v>72</v>
      </c>
      <c r="B15" s="3" t="s">
        <v>414</v>
      </c>
      <c r="C15" s="3" t="s">
        <v>74</v>
      </c>
      <c r="D15" s="3" t="s">
        <v>74</v>
      </c>
      <c r="E15" s="3" t="s">
        <v>74</v>
      </c>
      <c r="F15" s="3" t="s">
        <v>415</v>
      </c>
      <c r="G15" s="3" t="s">
        <v>74</v>
      </c>
      <c r="H15" s="3" t="s">
        <v>74</v>
      </c>
      <c r="I15" s="3" t="s">
        <v>416</v>
      </c>
      <c r="J15" s="3" t="s">
        <v>417</v>
      </c>
      <c r="K15" s="3" t="s">
        <v>74</v>
      </c>
      <c r="L15" s="3" t="s">
        <v>74</v>
      </c>
      <c r="M15" s="3" t="s">
        <v>110</v>
      </c>
      <c r="N15" s="3" t="s">
        <v>79</v>
      </c>
      <c r="O15" s="3" t="s">
        <v>74</v>
      </c>
      <c r="P15" s="3" t="s">
        <v>74</v>
      </c>
      <c r="Q15" s="3" t="s">
        <v>74</v>
      </c>
      <c r="R15" s="3" t="s">
        <v>74</v>
      </c>
      <c r="S15" s="3" t="s">
        <v>74</v>
      </c>
      <c r="T15" s="3" t="s">
        <v>418</v>
      </c>
      <c r="U15" s="3" t="s">
        <v>419</v>
      </c>
      <c r="V15" s="3" t="s">
        <v>420</v>
      </c>
      <c r="W15" s="3" t="s">
        <v>421</v>
      </c>
      <c r="X15" s="3" t="s">
        <v>422</v>
      </c>
      <c r="Y15" s="3" t="s">
        <v>423</v>
      </c>
      <c r="Z15" s="3" t="s">
        <v>424</v>
      </c>
      <c r="AA15" s="3" t="s">
        <v>425</v>
      </c>
      <c r="AB15" s="3" t="s">
        <v>426</v>
      </c>
      <c r="AC15" s="3" t="s">
        <v>427</v>
      </c>
      <c r="AD15" s="3" t="s">
        <v>428</v>
      </c>
      <c r="AE15" s="3" t="s">
        <v>429</v>
      </c>
      <c r="AF15" s="3" t="s">
        <v>74</v>
      </c>
      <c r="AG15" s="3">
        <v>44</v>
      </c>
      <c r="AH15" s="3">
        <v>1</v>
      </c>
      <c r="AI15" s="3">
        <v>1</v>
      </c>
      <c r="AJ15" s="3">
        <v>1</v>
      </c>
      <c r="AK15" s="3">
        <v>8</v>
      </c>
      <c r="AL15" s="3" t="s">
        <v>145</v>
      </c>
      <c r="AM15" s="3" t="s">
        <v>146</v>
      </c>
      <c r="AN15" s="3" t="s">
        <v>279</v>
      </c>
      <c r="AO15" s="3" t="s">
        <v>74</v>
      </c>
      <c r="AP15" s="3" t="s">
        <v>430</v>
      </c>
      <c r="AQ15" s="3" t="s">
        <v>74</v>
      </c>
      <c r="AR15" s="3" t="s">
        <v>431</v>
      </c>
      <c r="AS15" s="3" t="s">
        <v>432</v>
      </c>
      <c r="AT15" s="3" t="s">
        <v>176</v>
      </c>
      <c r="AU15" s="3">
        <v>2024</v>
      </c>
      <c r="AV15" s="3">
        <v>8</v>
      </c>
      <c r="AW15" s="3">
        <v>2</v>
      </c>
      <c r="AX15" s="3" t="s">
        <v>74</v>
      </c>
      <c r="AY15" s="3" t="s">
        <v>74</v>
      </c>
      <c r="AZ15" s="3" t="s">
        <v>74</v>
      </c>
      <c r="BA15" s="3" t="s">
        <v>74</v>
      </c>
      <c r="BB15" s="3" t="s">
        <v>74</v>
      </c>
      <c r="BC15" s="3" t="s">
        <v>74</v>
      </c>
      <c r="BD15" s="3">
        <v>66</v>
      </c>
      <c r="BE15" s="3" t="s">
        <v>433</v>
      </c>
      <c r="BF15" s="3" t="str">
        <f>HYPERLINK("http://dx.doi.org/10.3390/urbansci8020066","http://dx.doi.org/10.3390/urbansci8020066")</f>
        <v>http://dx.doi.org/10.3390/urbansci8020066</v>
      </c>
      <c r="BG15" s="3" t="s">
        <v>74</v>
      </c>
      <c r="BH15" s="3" t="s">
        <v>74</v>
      </c>
      <c r="BI15" s="3">
        <v>15</v>
      </c>
      <c r="BJ15" s="3" t="s">
        <v>434</v>
      </c>
      <c r="BK15" s="3" t="s">
        <v>97</v>
      </c>
      <c r="BL15" s="3" t="s">
        <v>435</v>
      </c>
      <c r="BM15" s="3" t="s">
        <v>436</v>
      </c>
      <c r="BN15" s="3" t="s">
        <v>74</v>
      </c>
      <c r="BO15" s="3" t="s">
        <v>133</v>
      </c>
      <c r="BP15" s="3" t="s">
        <v>74</v>
      </c>
      <c r="BQ15" s="3" t="s">
        <v>74</v>
      </c>
      <c r="BR15" s="3" t="s">
        <v>101</v>
      </c>
      <c r="BS15" s="3" t="s">
        <v>437</v>
      </c>
      <c r="BT15" s="3" t="str">
        <f>HYPERLINK("https%3A%2F%2Fwww.webofscience.com%2Fwos%2Fwoscc%2Ffull-record%2FWOS:001255724500001","View Full Record in Web of Science")</f>
        <v>View Full Record in Web of Science</v>
      </c>
      <c r="BU15" s="3"/>
      <c r="BV15" s="3"/>
      <c r="BW15" s="1"/>
    </row>
    <row r="16" spans="1:75" x14ac:dyDescent="0.25">
      <c r="A16" s="3" t="s">
        <v>72</v>
      </c>
      <c r="B16" s="3" t="s">
        <v>438</v>
      </c>
      <c r="C16" s="3" t="s">
        <v>74</v>
      </c>
      <c r="D16" s="3" t="s">
        <v>74</v>
      </c>
      <c r="E16" s="3" t="s">
        <v>74</v>
      </c>
      <c r="F16" s="3" t="s">
        <v>439</v>
      </c>
      <c r="G16" s="3" t="s">
        <v>74</v>
      </c>
      <c r="H16" s="3" t="s">
        <v>74</v>
      </c>
      <c r="I16" s="3" t="s">
        <v>440</v>
      </c>
      <c r="J16" s="3" t="s">
        <v>441</v>
      </c>
      <c r="K16" s="3" t="s">
        <v>74</v>
      </c>
      <c r="L16" s="3" t="s">
        <v>74</v>
      </c>
      <c r="M16" s="3" t="s">
        <v>110</v>
      </c>
      <c r="N16" s="3" t="s">
        <v>442</v>
      </c>
      <c r="O16" s="3" t="s">
        <v>74</v>
      </c>
      <c r="P16" s="3" t="s">
        <v>74</v>
      </c>
      <c r="Q16" s="3" t="s">
        <v>74</v>
      </c>
      <c r="R16" s="3" t="s">
        <v>74</v>
      </c>
      <c r="S16" s="3" t="s">
        <v>74</v>
      </c>
      <c r="T16" s="3" t="s">
        <v>443</v>
      </c>
      <c r="U16" s="3" t="s">
        <v>74</v>
      </c>
      <c r="V16" s="3" t="s">
        <v>444</v>
      </c>
      <c r="W16" s="3" t="s">
        <v>445</v>
      </c>
      <c r="X16" s="3" t="s">
        <v>446</v>
      </c>
      <c r="Y16" s="3" t="s">
        <v>447</v>
      </c>
      <c r="Z16" s="3" t="s">
        <v>448</v>
      </c>
      <c r="AA16" s="3" t="s">
        <v>449</v>
      </c>
      <c r="AB16" s="3" t="s">
        <v>450</v>
      </c>
      <c r="AC16" s="3" t="s">
        <v>74</v>
      </c>
      <c r="AD16" s="3" t="s">
        <v>74</v>
      </c>
      <c r="AE16" s="3" t="s">
        <v>451</v>
      </c>
      <c r="AF16" s="3" t="s">
        <v>74</v>
      </c>
      <c r="AG16" s="3">
        <v>12</v>
      </c>
      <c r="AH16" s="3">
        <v>0</v>
      </c>
      <c r="AI16" s="3">
        <v>0</v>
      </c>
      <c r="AJ16" s="3">
        <v>1</v>
      </c>
      <c r="AK16" s="3">
        <v>2</v>
      </c>
      <c r="AL16" s="3" t="s">
        <v>452</v>
      </c>
      <c r="AM16" s="3" t="s">
        <v>453</v>
      </c>
      <c r="AN16" s="3" t="s">
        <v>454</v>
      </c>
      <c r="AO16" s="3" t="s">
        <v>455</v>
      </c>
      <c r="AP16" s="3" t="s">
        <v>456</v>
      </c>
      <c r="AQ16" s="3" t="s">
        <v>74</v>
      </c>
      <c r="AR16" s="3" t="s">
        <v>457</v>
      </c>
      <c r="AS16" s="3" t="s">
        <v>458</v>
      </c>
      <c r="AT16" s="3" t="s">
        <v>74</v>
      </c>
      <c r="AU16" s="3">
        <v>2024</v>
      </c>
      <c r="AV16" s="3">
        <v>15</v>
      </c>
      <c r="AW16" s="3">
        <v>1</v>
      </c>
      <c r="AX16" s="3" t="s">
        <v>74</v>
      </c>
      <c r="AY16" s="3" t="s">
        <v>74</v>
      </c>
      <c r="AZ16" s="3" t="s">
        <v>74</v>
      </c>
      <c r="BA16" s="3" t="s">
        <v>74</v>
      </c>
      <c r="BB16" s="3">
        <v>1</v>
      </c>
      <c r="BC16" s="3">
        <v>3</v>
      </c>
      <c r="BD16" s="3" t="s">
        <v>74</v>
      </c>
      <c r="BE16" s="3" t="s">
        <v>459</v>
      </c>
      <c r="BF16" s="3" t="str">
        <f>HYPERLINK("http://dx.doi.org/10.24193/JSSPSI.01.WSWMMSS","http://dx.doi.org/10.24193/JSSPSI.01.WSWMMSS")</f>
        <v>http://dx.doi.org/10.24193/JSSPSI.01.WSWMMSS</v>
      </c>
      <c r="BG16" s="3" t="s">
        <v>74</v>
      </c>
      <c r="BH16" s="3" t="s">
        <v>74</v>
      </c>
      <c r="BI16" s="3">
        <v>3</v>
      </c>
      <c r="BJ16" s="3" t="s">
        <v>460</v>
      </c>
      <c r="BK16" s="3" t="s">
        <v>97</v>
      </c>
      <c r="BL16" s="3" t="s">
        <v>460</v>
      </c>
      <c r="BM16" s="3" t="s">
        <v>461</v>
      </c>
      <c r="BN16" s="3" t="s">
        <v>74</v>
      </c>
      <c r="BO16" s="3" t="s">
        <v>100</v>
      </c>
      <c r="BP16" s="3" t="s">
        <v>74</v>
      </c>
      <c r="BQ16" s="3" t="s">
        <v>74</v>
      </c>
      <c r="BR16" s="3" t="s">
        <v>101</v>
      </c>
      <c r="BS16" s="3" t="s">
        <v>462</v>
      </c>
      <c r="BT16" s="3" t="str">
        <f>HYPERLINK("https%3A%2F%2Fwww.webofscience.com%2Fwos%2Fwoscc%2Ffull-record%2FWOS:001293984100001","View Full Record in Web of Science")</f>
        <v>View Full Record in Web of Science</v>
      </c>
      <c r="BU16" s="3"/>
      <c r="BV16" s="3"/>
      <c r="BW16" s="1"/>
    </row>
    <row r="17" spans="1:75" x14ac:dyDescent="0.25">
      <c r="A17" s="3" t="s">
        <v>103</v>
      </c>
      <c r="B17" s="3" t="s">
        <v>463</v>
      </c>
      <c r="C17" s="3" t="s">
        <v>74</v>
      </c>
      <c r="D17" s="3" t="s">
        <v>464</v>
      </c>
      <c r="E17" s="3" t="s">
        <v>74</v>
      </c>
      <c r="F17" s="3" t="s">
        <v>465</v>
      </c>
      <c r="G17" s="3" t="s">
        <v>74</v>
      </c>
      <c r="H17" s="3" t="s">
        <v>74</v>
      </c>
      <c r="I17" s="3" t="s">
        <v>466</v>
      </c>
      <c r="J17" s="3" t="s">
        <v>467</v>
      </c>
      <c r="K17" s="3" t="s">
        <v>468</v>
      </c>
      <c r="L17" s="3" t="s">
        <v>74</v>
      </c>
      <c r="M17" s="3" t="s">
        <v>110</v>
      </c>
      <c r="N17" s="3" t="s">
        <v>111</v>
      </c>
      <c r="O17" s="3" t="s">
        <v>469</v>
      </c>
      <c r="P17" s="3" t="s">
        <v>470</v>
      </c>
      <c r="Q17" s="3" t="s">
        <v>471</v>
      </c>
      <c r="R17" s="3" t="s">
        <v>74</v>
      </c>
      <c r="S17" s="3" t="s">
        <v>74</v>
      </c>
      <c r="T17" s="3" t="s">
        <v>472</v>
      </c>
      <c r="U17" s="3" t="s">
        <v>74</v>
      </c>
      <c r="V17" s="3" t="s">
        <v>473</v>
      </c>
      <c r="W17" s="3" t="s">
        <v>474</v>
      </c>
      <c r="X17" s="3" t="s">
        <v>475</v>
      </c>
      <c r="Y17" s="3" t="s">
        <v>476</v>
      </c>
      <c r="Z17" s="3" t="s">
        <v>477</v>
      </c>
      <c r="AA17" s="3" t="s">
        <v>478</v>
      </c>
      <c r="AB17" s="3" t="s">
        <v>479</v>
      </c>
      <c r="AC17" s="3" t="s">
        <v>74</v>
      </c>
      <c r="AD17" s="3" t="s">
        <v>74</v>
      </c>
      <c r="AE17" s="3" t="s">
        <v>74</v>
      </c>
      <c r="AF17" s="3" t="s">
        <v>74</v>
      </c>
      <c r="AG17" s="3">
        <v>17</v>
      </c>
      <c r="AH17" s="3">
        <v>0</v>
      </c>
      <c r="AI17" s="3">
        <v>1</v>
      </c>
      <c r="AJ17" s="3">
        <v>0</v>
      </c>
      <c r="AK17" s="3">
        <v>2</v>
      </c>
      <c r="AL17" s="3" t="s">
        <v>374</v>
      </c>
      <c r="AM17" s="3" t="s">
        <v>375</v>
      </c>
      <c r="AN17" s="3" t="s">
        <v>376</v>
      </c>
      <c r="AO17" s="3" t="s">
        <v>480</v>
      </c>
      <c r="AP17" s="3" t="s">
        <v>481</v>
      </c>
      <c r="AQ17" s="3" t="s">
        <v>482</v>
      </c>
      <c r="AR17" s="3" t="s">
        <v>483</v>
      </c>
      <c r="AS17" s="3" t="s">
        <v>74</v>
      </c>
      <c r="AT17" s="3" t="s">
        <v>74</v>
      </c>
      <c r="AU17" s="3">
        <v>2024</v>
      </c>
      <c r="AV17" s="3">
        <v>1948</v>
      </c>
      <c r="AW17" s="3" t="s">
        <v>74</v>
      </c>
      <c r="AX17" s="3" t="s">
        <v>74</v>
      </c>
      <c r="AY17" s="3" t="s">
        <v>74</v>
      </c>
      <c r="AZ17" s="3" t="s">
        <v>74</v>
      </c>
      <c r="BA17" s="3" t="s">
        <v>74</v>
      </c>
      <c r="BB17" s="3">
        <v>216</v>
      </c>
      <c r="BC17" s="3">
        <v>222</v>
      </c>
      <c r="BD17" s="3" t="s">
        <v>74</v>
      </c>
      <c r="BE17" s="3" t="s">
        <v>484</v>
      </c>
      <c r="BF17" s="3" t="str">
        <f>HYPERLINK("http://dx.doi.org/10.1007/978-3-031-50485-3_22","http://dx.doi.org/10.1007/978-3-031-50485-3_22")</f>
        <v>http://dx.doi.org/10.1007/978-3-031-50485-3_22</v>
      </c>
      <c r="BG17" s="3" t="s">
        <v>74</v>
      </c>
      <c r="BH17" s="3" t="s">
        <v>74</v>
      </c>
      <c r="BI17" s="3">
        <v>7</v>
      </c>
      <c r="BJ17" s="3" t="s">
        <v>485</v>
      </c>
      <c r="BK17" s="3" t="s">
        <v>208</v>
      </c>
      <c r="BL17" s="3" t="s">
        <v>486</v>
      </c>
      <c r="BM17" s="3" t="s">
        <v>487</v>
      </c>
      <c r="BN17" s="3" t="s">
        <v>74</v>
      </c>
      <c r="BO17" s="3" t="s">
        <v>74</v>
      </c>
      <c r="BP17" s="3" t="s">
        <v>74</v>
      </c>
      <c r="BQ17" s="3" t="s">
        <v>74</v>
      </c>
      <c r="BR17" s="3" t="s">
        <v>101</v>
      </c>
      <c r="BS17" s="3" t="s">
        <v>488</v>
      </c>
      <c r="BT17" s="3" t="str">
        <f>HYPERLINK("https%3A%2F%2Fwww.webofscience.com%2Fwos%2Fwoscc%2Ffull-record%2FWOS:001259355800022","View Full Record in Web of Science")</f>
        <v>View Full Record in Web of Science</v>
      </c>
      <c r="BU17" s="3"/>
      <c r="BV17" s="3"/>
      <c r="BW17" s="1"/>
    </row>
    <row r="18" spans="1:75" x14ac:dyDescent="0.25">
      <c r="A18" s="3" t="s">
        <v>103</v>
      </c>
      <c r="B18" s="3" t="s">
        <v>489</v>
      </c>
      <c r="C18" s="3" t="s">
        <v>74</v>
      </c>
      <c r="D18" s="3" t="s">
        <v>490</v>
      </c>
      <c r="E18" s="3" t="s">
        <v>74</v>
      </c>
      <c r="F18" s="3" t="s">
        <v>491</v>
      </c>
      <c r="G18" s="3" t="s">
        <v>74</v>
      </c>
      <c r="H18" s="3" t="s">
        <v>74</v>
      </c>
      <c r="I18" s="3" t="s">
        <v>492</v>
      </c>
      <c r="J18" s="3" t="s">
        <v>493</v>
      </c>
      <c r="K18" s="3" t="s">
        <v>74</v>
      </c>
      <c r="L18" s="3" t="s">
        <v>74</v>
      </c>
      <c r="M18" s="3" t="s">
        <v>110</v>
      </c>
      <c r="N18" s="3" t="s">
        <v>111</v>
      </c>
      <c r="O18" s="3" t="s">
        <v>494</v>
      </c>
      <c r="P18" s="3" t="s">
        <v>495</v>
      </c>
      <c r="Q18" s="3" t="s">
        <v>496</v>
      </c>
      <c r="R18" s="3" t="s">
        <v>74</v>
      </c>
      <c r="S18" s="3" t="s">
        <v>74</v>
      </c>
      <c r="T18" s="3" t="s">
        <v>497</v>
      </c>
      <c r="U18" s="3" t="s">
        <v>498</v>
      </c>
      <c r="V18" s="3" t="s">
        <v>499</v>
      </c>
      <c r="W18" s="3" t="s">
        <v>500</v>
      </c>
      <c r="X18" s="3" t="s">
        <v>501</v>
      </c>
      <c r="Y18" s="3" t="s">
        <v>502</v>
      </c>
      <c r="Z18" s="3" t="s">
        <v>503</v>
      </c>
      <c r="AA18" s="3" t="s">
        <v>504</v>
      </c>
      <c r="AB18" s="3" t="s">
        <v>505</v>
      </c>
      <c r="AC18" s="3" t="s">
        <v>74</v>
      </c>
      <c r="AD18" s="3" t="s">
        <v>74</v>
      </c>
      <c r="AE18" s="3" t="s">
        <v>74</v>
      </c>
      <c r="AF18" s="3" t="s">
        <v>74</v>
      </c>
      <c r="AG18" s="3">
        <v>9</v>
      </c>
      <c r="AH18" s="3">
        <v>0</v>
      </c>
      <c r="AI18" s="3">
        <v>0</v>
      </c>
      <c r="AJ18" s="3">
        <v>0</v>
      </c>
      <c r="AK18" s="3">
        <v>0</v>
      </c>
      <c r="AL18" s="3" t="s">
        <v>506</v>
      </c>
      <c r="AM18" s="3" t="s">
        <v>200</v>
      </c>
      <c r="AN18" s="3" t="s">
        <v>507</v>
      </c>
      <c r="AO18" s="3" t="s">
        <v>74</v>
      </c>
      <c r="AP18" s="3" t="s">
        <v>74</v>
      </c>
      <c r="AQ18" s="3" t="s">
        <v>508</v>
      </c>
      <c r="AR18" s="3" t="s">
        <v>74</v>
      </c>
      <c r="AS18" s="3" t="s">
        <v>74</v>
      </c>
      <c r="AT18" s="3" t="s">
        <v>74</v>
      </c>
      <c r="AU18" s="3">
        <v>2024</v>
      </c>
      <c r="AV18" s="3" t="s">
        <v>74</v>
      </c>
      <c r="AW18" s="3" t="s">
        <v>74</v>
      </c>
      <c r="AX18" s="3" t="s">
        <v>74</v>
      </c>
      <c r="AY18" s="3" t="s">
        <v>74</v>
      </c>
      <c r="AZ18" s="3" t="s">
        <v>74</v>
      </c>
      <c r="BA18" s="3" t="s">
        <v>74</v>
      </c>
      <c r="BB18" s="3">
        <v>1</v>
      </c>
      <c r="BC18" s="3">
        <v>4</v>
      </c>
      <c r="BD18" s="3" t="s">
        <v>74</v>
      </c>
      <c r="BE18" s="3" t="s">
        <v>509</v>
      </c>
      <c r="BF18" s="3" t="str">
        <f>HYPERLINK("http://dx.doi.org/10.1145/3681773.3701010","http://dx.doi.org/10.1145/3681773.3701010")</f>
        <v>http://dx.doi.org/10.1145/3681773.3701010</v>
      </c>
      <c r="BG18" s="3" t="s">
        <v>74</v>
      </c>
      <c r="BH18" s="3" t="s">
        <v>74</v>
      </c>
      <c r="BI18" s="3">
        <v>4</v>
      </c>
      <c r="BJ18" s="3" t="s">
        <v>510</v>
      </c>
      <c r="BK18" s="3" t="s">
        <v>130</v>
      </c>
      <c r="BL18" s="3" t="s">
        <v>511</v>
      </c>
      <c r="BM18" s="3" t="s">
        <v>512</v>
      </c>
      <c r="BN18" s="3" t="s">
        <v>74</v>
      </c>
      <c r="BO18" s="3" t="s">
        <v>74</v>
      </c>
      <c r="BP18" s="3" t="s">
        <v>74</v>
      </c>
      <c r="BQ18" s="3" t="s">
        <v>74</v>
      </c>
      <c r="BR18" s="3" t="s">
        <v>101</v>
      </c>
      <c r="BS18" s="3" t="s">
        <v>513</v>
      </c>
      <c r="BT18" s="3" t="str">
        <f>HYPERLINK("https%3A%2F%2Fwww.webofscience.com%2Fwos%2Fwoscc%2Ffull-record%2FWOS:001476916400001","View Full Record in Web of Science")</f>
        <v>View Full Record in Web of Science</v>
      </c>
      <c r="BU18" s="3"/>
      <c r="BV18" s="3"/>
      <c r="BW18" s="1"/>
    </row>
    <row r="19" spans="1:75" x14ac:dyDescent="0.25">
      <c r="A19" s="3" t="s">
        <v>72</v>
      </c>
      <c r="B19" s="3" t="s">
        <v>514</v>
      </c>
      <c r="C19" s="3" t="s">
        <v>74</v>
      </c>
      <c r="D19" s="3" t="s">
        <v>74</v>
      </c>
      <c r="E19" s="3" t="s">
        <v>74</v>
      </c>
      <c r="F19" s="3" t="s">
        <v>515</v>
      </c>
      <c r="G19" s="3" t="s">
        <v>74</v>
      </c>
      <c r="H19" s="3" t="s">
        <v>74</v>
      </c>
      <c r="I19" s="3" t="s">
        <v>516</v>
      </c>
      <c r="J19" s="3" t="s">
        <v>517</v>
      </c>
      <c r="K19" s="3" t="s">
        <v>74</v>
      </c>
      <c r="L19" s="3" t="s">
        <v>74</v>
      </c>
      <c r="M19" s="3" t="s">
        <v>110</v>
      </c>
      <c r="N19" s="3" t="s">
        <v>79</v>
      </c>
      <c r="O19" s="3" t="s">
        <v>74</v>
      </c>
      <c r="P19" s="3" t="s">
        <v>74</v>
      </c>
      <c r="Q19" s="3" t="s">
        <v>74</v>
      </c>
      <c r="R19" s="3" t="s">
        <v>74</v>
      </c>
      <c r="S19" s="3" t="s">
        <v>74</v>
      </c>
      <c r="T19" s="3" t="s">
        <v>518</v>
      </c>
      <c r="U19" s="3" t="s">
        <v>519</v>
      </c>
      <c r="V19" s="3" t="s">
        <v>520</v>
      </c>
      <c r="W19" s="3" t="s">
        <v>521</v>
      </c>
      <c r="X19" s="3" t="s">
        <v>522</v>
      </c>
      <c r="Y19" s="3" t="s">
        <v>523</v>
      </c>
      <c r="Z19" s="3" t="s">
        <v>524</v>
      </c>
      <c r="AA19" s="3" t="s">
        <v>525</v>
      </c>
      <c r="AB19" s="3" t="s">
        <v>526</v>
      </c>
      <c r="AC19" s="3" t="s">
        <v>74</v>
      </c>
      <c r="AD19" s="3" t="s">
        <v>74</v>
      </c>
      <c r="AE19" s="3" t="s">
        <v>74</v>
      </c>
      <c r="AF19" s="3" t="s">
        <v>74</v>
      </c>
      <c r="AG19" s="3">
        <v>55</v>
      </c>
      <c r="AH19" s="3">
        <v>77</v>
      </c>
      <c r="AI19" s="3">
        <v>86</v>
      </c>
      <c r="AJ19" s="3">
        <v>4</v>
      </c>
      <c r="AK19" s="3">
        <v>234</v>
      </c>
      <c r="AL19" s="3" t="s">
        <v>527</v>
      </c>
      <c r="AM19" s="3" t="s">
        <v>528</v>
      </c>
      <c r="AN19" s="3" t="s">
        <v>529</v>
      </c>
      <c r="AO19" s="3" t="s">
        <v>530</v>
      </c>
      <c r="AP19" s="3" t="s">
        <v>74</v>
      </c>
      <c r="AQ19" s="3" t="s">
        <v>74</v>
      </c>
      <c r="AR19" s="3" t="s">
        <v>531</v>
      </c>
      <c r="AS19" s="3" t="s">
        <v>532</v>
      </c>
      <c r="AT19" s="3" t="s">
        <v>533</v>
      </c>
      <c r="AU19" s="3">
        <v>2016</v>
      </c>
      <c r="AV19" s="3">
        <v>20</v>
      </c>
      <c r="AW19" s="3" t="s">
        <v>74</v>
      </c>
      <c r="AX19" s="3" t="s">
        <v>74</v>
      </c>
      <c r="AY19" s="3" t="s">
        <v>74</v>
      </c>
      <c r="AZ19" s="3" t="s">
        <v>74</v>
      </c>
      <c r="BA19" s="3" t="s">
        <v>74</v>
      </c>
      <c r="BB19" s="3">
        <v>402</v>
      </c>
      <c r="BC19" s="3">
        <v>406</v>
      </c>
      <c r="BD19" s="3" t="s">
        <v>74</v>
      </c>
      <c r="BE19" s="3" t="s">
        <v>534</v>
      </c>
      <c r="BF19" s="3" t="str">
        <f>HYPERLINK("http://dx.doi.org/10.1016/j.ufug.2016.10.004","http://dx.doi.org/10.1016/j.ufug.2016.10.004")</f>
        <v>http://dx.doi.org/10.1016/j.ufug.2016.10.004</v>
      </c>
      <c r="BG19" s="3" t="s">
        <v>74</v>
      </c>
      <c r="BH19" s="3" t="s">
        <v>74</v>
      </c>
      <c r="BI19" s="3">
        <v>5</v>
      </c>
      <c r="BJ19" s="3" t="s">
        <v>535</v>
      </c>
      <c r="BK19" s="3" t="s">
        <v>154</v>
      </c>
      <c r="BL19" s="3" t="s">
        <v>536</v>
      </c>
      <c r="BM19" s="3" t="s">
        <v>537</v>
      </c>
      <c r="BN19" s="3" t="s">
        <v>74</v>
      </c>
      <c r="BO19" s="3" t="s">
        <v>74</v>
      </c>
      <c r="BP19" s="3" t="s">
        <v>74</v>
      </c>
      <c r="BQ19" s="3" t="s">
        <v>74</v>
      </c>
      <c r="BR19" s="3" t="s">
        <v>101</v>
      </c>
      <c r="BS19" s="3" t="s">
        <v>538</v>
      </c>
      <c r="BT19" s="3" t="str">
        <f>HYPERLINK("https%3A%2F%2Fwww.webofscience.com%2Fwos%2Fwoscc%2Ffull-record%2FWOS:000391471000044","View Full Record in Web of Science")</f>
        <v>View Full Record in Web of Science</v>
      </c>
      <c r="BU19" s="3"/>
      <c r="BV19" s="3"/>
      <c r="BW19" s="1"/>
    </row>
    <row r="20" spans="1:75" x14ac:dyDescent="0.25">
      <c r="A20" s="3" t="s">
        <v>72</v>
      </c>
      <c r="B20" s="3" t="s">
        <v>539</v>
      </c>
      <c r="C20" s="3" t="s">
        <v>74</v>
      </c>
      <c r="D20" s="3" t="s">
        <v>74</v>
      </c>
      <c r="E20" s="3" t="s">
        <v>74</v>
      </c>
      <c r="F20" s="3" t="s">
        <v>540</v>
      </c>
      <c r="G20" s="3" t="s">
        <v>74</v>
      </c>
      <c r="H20" s="3" t="s">
        <v>74</v>
      </c>
      <c r="I20" s="3" t="s">
        <v>541</v>
      </c>
      <c r="J20" s="3" t="s">
        <v>270</v>
      </c>
      <c r="K20" s="3" t="s">
        <v>74</v>
      </c>
      <c r="L20" s="3" t="s">
        <v>74</v>
      </c>
      <c r="M20" s="3" t="s">
        <v>110</v>
      </c>
      <c r="N20" s="3" t="s">
        <v>79</v>
      </c>
      <c r="O20" s="3" t="s">
        <v>74</v>
      </c>
      <c r="P20" s="3" t="s">
        <v>74</v>
      </c>
      <c r="Q20" s="3" t="s">
        <v>74</v>
      </c>
      <c r="R20" s="3" t="s">
        <v>74</v>
      </c>
      <c r="S20" s="3" t="s">
        <v>74</v>
      </c>
      <c r="T20" s="3" t="s">
        <v>542</v>
      </c>
      <c r="U20" s="3" t="s">
        <v>543</v>
      </c>
      <c r="V20" s="3" t="s">
        <v>544</v>
      </c>
      <c r="W20" s="3" t="s">
        <v>545</v>
      </c>
      <c r="X20" s="3" t="s">
        <v>546</v>
      </c>
      <c r="Y20" s="3" t="s">
        <v>547</v>
      </c>
      <c r="Z20" s="3" t="s">
        <v>548</v>
      </c>
      <c r="AA20" s="3" t="s">
        <v>549</v>
      </c>
      <c r="AB20" s="3" t="s">
        <v>550</v>
      </c>
      <c r="AC20" s="3" t="s">
        <v>74</v>
      </c>
      <c r="AD20" s="3" t="s">
        <v>74</v>
      </c>
      <c r="AE20" s="3" t="s">
        <v>74</v>
      </c>
      <c r="AF20" s="3" t="s">
        <v>74</v>
      </c>
      <c r="AG20" s="3">
        <v>26</v>
      </c>
      <c r="AH20" s="3">
        <v>2</v>
      </c>
      <c r="AI20" s="3">
        <v>3</v>
      </c>
      <c r="AJ20" s="3">
        <v>16</v>
      </c>
      <c r="AK20" s="3">
        <v>17</v>
      </c>
      <c r="AL20" s="3" t="s">
        <v>145</v>
      </c>
      <c r="AM20" s="3" t="s">
        <v>146</v>
      </c>
      <c r="AN20" s="3" t="s">
        <v>147</v>
      </c>
      <c r="AO20" s="3" t="s">
        <v>74</v>
      </c>
      <c r="AP20" s="3" t="s">
        <v>280</v>
      </c>
      <c r="AQ20" s="3" t="s">
        <v>74</v>
      </c>
      <c r="AR20" s="3" t="s">
        <v>281</v>
      </c>
      <c r="AS20" s="3" t="s">
        <v>282</v>
      </c>
      <c r="AT20" s="3" t="s">
        <v>551</v>
      </c>
      <c r="AU20" s="3">
        <v>2025</v>
      </c>
      <c r="AV20" s="3">
        <v>8</v>
      </c>
      <c r="AW20" s="3">
        <v>2</v>
      </c>
      <c r="AX20" s="3" t="s">
        <v>74</v>
      </c>
      <c r="AY20" s="3" t="s">
        <v>74</v>
      </c>
      <c r="AZ20" s="3" t="s">
        <v>74</v>
      </c>
      <c r="BA20" s="3" t="s">
        <v>74</v>
      </c>
      <c r="BB20" s="3" t="s">
        <v>74</v>
      </c>
      <c r="BC20" s="3" t="s">
        <v>74</v>
      </c>
      <c r="BD20" s="3">
        <v>56</v>
      </c>
      <c r="BE20" s="3" t="s">
        <v>552</v>
      </c>
      <c r="BF20" s="3" t="str">
        <f>HYPERLINK("http://dx.doi.org/10.3390/smartcities8020056","http://dx.doi.org/10.3390/smartcities8020056")</f>
        <v>http://dx.doi.org/10.3390/smartcities8020056</v>
      </c>
      <c r="BG20" s="3" t="s">
        <v>74</v>
      </c>
      <c r="BH20" s="3" t="s">
        <v>74</v>
      </c>
      <c r="BI20" s="3">
        <v>22</v>
      </c>
      <c r="BJ20" s="3" t="s">
        <v>285</v>
      </c>
      <c r="BK20" s="3" t="s">
        <v>97</v>
      </c>
      <c r="BL20" s="3" t="s">
        <v>286</v>
      </c>
      <c r="BM20" s="3" t="s">
        <v>553</v>
      </c>
      <c r="BN20" s="3" t="s">
        <v>74</v>
      </c>
      <c r="BO20" s="3" t="s">
        <v>554</v>
      </c>
      <c r="BP20" s="3" t="s">
        <v>74</v>
      </c>
      <c r="BQ20" s="3" t="s">
        <v>74</v>
      </c>
      <c r="BR20" s="3" t="s">
        <v>101</v>
      </c>
      <c r="BS20" s="3" t="s">
        <v>555</v>
      </c>
      <c r="BT20" s="3" t="str">
        <f>HYPERLINK("https%3A%2F%2Fwww.webofscience.com%2Fwos%2Fwoscc%2Ffull-record%2FWOS:001475808600001","View Full Record in Web of Science")</f>
        <v>View Full Record in Web of Science</v>
      </c>
      <c r="BU20" s="3"/>
      <c r="BV20" s="3"/>
      <c r="BW20" s="1"/>
    </row>
    <row r="21" spans="1:75" x14ac:dyDescent="0.25">
      <c r="A21" s="3" t="s">
        <v>72</v>
      </c>
      <c r="B21" s="3" t="s">
        <v>556</v>
      </c>
      <c r="C21" s="3" t="s">
        <v>74</v>
      </c>
      <c r="D21" s="3" t="s">
        <v>74</v>
      </c>
      <c r="E21" s="3" t="s">
        <v>74</v>
      </c>
      <c r="F21" s="3" t="s">
        <v>557</v>
      </c>
      <c r="G21" s="3" t="s">
        <v>74</v>
      </c>
      <c r="H21" s="3" t="s">
        <v>74</v>
      </c>
      <c r="I21" s="3" t="s">
        <v>558</v>
      </c>
      <c r="J21" s="3" t="s">
        <v>559</v>
      </c>
      <c r="K21" s="3" t="s">
        <v>74</v>
      </c>
      <c r="L21" s="3" t="s">
        <v>74</v>
      </c>
      <c r="M21" s="3" t="s">
        <v>110</v>
      </c>
      <c r="N21" s="3" t="s">
        <v>79</v>
      </c>
      <c r="O21" s="3" t="s">
        <v>74</v>
      </c>
      <c r="P21" s="3" t="s">
        <v>74</v>
      </c>
      <c r="Q21" s="3" t="s">
        <v>74</v>
      </c>
      <c r="R21" s="3" t="s">
        <v>74</v>
      </c>
      <c r="S21" s="3" t="s">
        <v>74</v>
      </c>
      <c r="T21" s="3" t="s">
        <v>560</v>
      </c>
      <c r="U21" s="3" t="s">
        <v>561</v>
      </c>
      <c r="V21" s="3" t="s">
        <v>562</v>
      </c>
      <c r="W21" s="3" t="s">
        <v>563</v>
      </c>
      <c r="X21" s="3" t="s">
        <v>564</v>
      </c>
      <c r="Y21" s="3" t="s">
        <v>565</v>
      </c>
      <c r="Z21" s="3" t="s">
        <v>566</v>
      </c>
      <c r="AA21" s="3" t="s">
        <v>567</v>
      </c>
      <c r="AB21" s="3" t="s">
        <v>74</v>
      </c>
      <c r="AC21" s="3" t="s">
        <v>74</v>
      </c>
      <c r="AD21" s="3" t="s">
        <v>74</v>
      </c>
      <c r="AE21" s="3" t="s">
        <v>74</v>
      </c>
      <c r="AF21" s="3" t="s">
        <v>74</v>
      </c>
      <c r="AG21" s="3">
        <v>36</v>
      </c>
      <c r="AH21" s="3">
        <v>0</v>
      </c>
      <c r="AI21" s="3">
        <v>0</v>
      </c>
      <c r="AJ21" s="3">
        <v>0</v>
      </c>
      <c r="AK21" s="3">
        <v>10</v>
      </c>
      <c r="AL21" s="3" t="s">
        <v>568</v>
      </c>
      <c r="AM21" s="3" t="s">
        <v>124</v>
      </c>
      <c r="AN21" s="3" t="s">
        <v>569</v>
      </c>
      <c r="AO21" s="3" t="s">
        <v>570</v>
      </c>
      <c r="AP21" s="3" t="s">
        <v>571</v>
      </c>
      <c r="AQ21" s="3" t="s">
        <v>74</v>
      </c>
      <c r="AR21" s="3" t="s">
        <v>572</v>
      </c>
      <c r="AS21" s="3" t="s">
        <v>573</v>
      </c>
      <c r="AT21" s="3" t="s">
        <v>74</v>
      </c>
      <c r="AU21" s="3">
        <v>2023</v>
      </c>
      <c r="AV21" s="3">
        <v>45</v>
      </c>
      <c r="AW21" s="3">
        <v>2</v>
      </c>
      <c r="AX21" s="3" t="s">
        <v>74</v>
      </c>
      <c r="AY21" s="3" t="s">
        <v>74</v>
      </c>
      <c r="AZ21" s="3" t="s">
        <v>74</v>
      </c>
      <c r="BA21" s="3" t="s">
        <v>74</v>
      </c>
      <c r="BB21" s="3">
        <v>2735</v>
      </c>
      <c r="BC21" s="3">
        <v>2752</v>
      </c>
      <c r="BD21" s="3" t="s">
        <v>74</v>
      </c>
      <c r="BE21" s="3" t="s">
        <v>574</v>
      </c>
      <c r="BF21" s="3" t="str">
        <f>HYPERLINK("http://dx.doi.org/10.3233/JIFS-223282","http://dx.doi.org/10.3233/JIFS-223282")</f>
        <v>http://dx.doi.org/10.3233/JIFS-223282</v>
      </c>
      <c r="BG21" s="3" t="s">
        <v>74</v>
      </c>
      <c r="BH21" s="3" t="s">
        <v>74</v>
      </c>
      <c r="BI21" s="3">
        <v>18</v>
      </c>
      <c r="BJ21" s="3" t="s">
        <v>485</v>
      </c>
      <c r="BK21" s="3" t="s">
        <v>179</v>
      </c>
      <c r="BL21" s="3" t="s">
        <v>486</v>
      </c>
      <c r="BM21" s="3" t="s">
        <v>575</v>
      </c>
      <c r="BN21" s="3" t="s">
        <v>74</v>
      </c>
      <c r="BO21" s="3" t="s">
        <v>74</v>
      </c>
      <c r="BP21" s="3" t="s">
        <v>74</v>
      </c>
      <c r="BQ21" s="3" t="s">
        <v>74</v>
      </c>
      <c r="BR21" s="3" t="s">
        <v>101</v>
      </c>
      <c r="BS21" s="3" t="s">
        <v>576</v>
      </c>
      <c r="BT21" s="3" t="str">
        <f>HYPERLINK("https%3A%2F%2Fwww.webofscience.com%2Fwos%2Fwoscc%2Ffull-record%2FWOS:001045474700059","View Full Record in Web of Science")</f>
        <v>View Full Record in Web of Science</v>
      </c>
      <c r="BU21" s="3"/>
      <c r="BV21" s="3"/>
      <c r="BW21" s="1"/>
    </row>
    <row r="22" spans="1:75" x14ac:dyDescent="0.25">
      <c r="A22" s="3" t="s">
        <v>72</v>
      </c>
      <c r="B22" s="3" t="s">
        <v>577</v>
      </c>
      <c r="C22" s="3" t="s">
        <v>74</v>
      </c>
      <c r="D22" s="3" t="s">
        <v>74</v>
      </c>
      <c r="E22" s="3" t="s">
        <v>74</v>
      </c>
      <c r="F22" s="3" t="s">
        <v>578</v>
      </c>
      <c r="G22" s="3" t="s">
        <v>74</v>
      </c>
      <c r="H22" s="3" t="s">
        <v>74</v>
      </c>
      <c r="I22" s="3" t="s">
        <v>579</v>
      </c>
      <c r="J22" s="3" t="s">
        <v>161</v>
      </c>
      <c r="K22" s="3" t="s">
        <v>74</v>
      </c>
      <c r="L22" s="3" t="s">
        <v>74</v>
      </c>
      <c r="M22" s="3" t="s">
        <v>110</v>
      </c>
      <c r="N22" s="3" t="s">
        <v>79</v>
      </c>
      <c r="O22" s="3" t="s">
        <v>74</v>
      </c>
      <c r="P22" s="3" t="s">
        <v>74</v>
      </c>
      <c r="Q22" s="3" t="s">
        <v>74</v>
      </c>
      <c r="R22" s="3" t="s">
        <v>74</v>
      </c>
      <c r="S22" s="3" t="s">
        <v>74</v>
      </c>
      <c r="T22" s="3" t="s">
        <v>580</v>
      </c>
      <c r="U22" s="3" t="s">
        <v>581</v>
      </c>
      <c r="V22" s="3" t="s">
        <v>582</v>
      </c>
      <c r="W22" s="3" t="s">
        <v>583</v>
      </c>
      <c r="X22" s="3" t="s">
        <v>584</v>
      </c>
      <c r="Y22" s="3" t="s">
        <v>585</v>
      </c>
      <c r="Z22" s="3" t="s">
        <v>586</v>
      </c>
      <c r="AA22" s="3" t="s">
        <v>587</v>
      </c>
      <c r="AB22" s="3" t="s">
        <v>588</v>
      </c>
      <c r="AC22" s="3" t="s">
        <v>589</v>
      </c>
      <c r="AD22" s="3" t="s">
        <v>590</v>
      </c>
      <c r="AE22" s="3" t="s">
        <v>591</v>
      </c>
      <c r="AF22" s="3" t="s">
        <v>74</v>
      </c>
      <c r="AG22" s="3">
        <v>65</v>
      </c>
      <c r="AH22" s="3">
        <v>13</v>
      </c>
      <c r="AI22" s="3">
        <v>14</v>
      </c>
      <c r="AJ22" s="3">
        <v>0</v>
      </c>
      <c r="AK22" s="3">
        <v>6</v>
      </c>
      <c r="AL22" s="3" t="s">
        <v>145</v>
      </c>
      <c r="AM22" s="3" t="s">
        <v>146</v>
      </c>
      <c r="AN22" s="3" t="s">
        <v>279</v>
      </c>
      <c r="AO22" s="3" t="s">
        <v>74</v>
      </c>
      <c r="AP22" s="3" t="s">
        <v>174</v>
      </c>
      <c r="AQ22" s="3" t="s">
        <v>74</v>
      </c>
      <c r="AR22" s="3" t="s">
        <v>161</v>
      </c>
      <c r="AS22" s="3" t="s">
        <v>175</v>
      </c>
      <c r="AT22" s="3" t="s">
        <v>592</v>
      </c>
      <c r="AU22" s="3">
        <v>2023</v>
      </c>
      <c r="AV22" s="3">
        <v>16</v>
      </c>
      <c r="AW22" s="3">
        <v>21</v>
      </c>
      <c r="AX22" s="3" t="s">
        <v>74</v>
      </c>
      <c r="AY22" s="3" t="s">
        <v>74</v>
      </c>
      <c r="AZ22" s="3" t="s">
        <v>74</v>
      </c>
      <c r="BA22" s="3" t="s">
        <v>74</v>
      </c>
      <c r="BB22" s="3" t="s">
        <v>74</v>
      </c>
      <c r="BC22" s="3" t="s">
        <v>74</v>
      </c>
      <c r="BD22" s="3">
        <v>7325</v>
      </c>
      <c r="BE22" s="3" t="s">
        <v>593</v>
      </c>
      <c r="BF22" s="3" t="str">
        <f>HYPERLINK("http://dx.doi.org/10.3390/en16217325","http://dx.doi.org/10.3390/en16217325")</f>
        <v>http://dx.doi.org/10.3390/en16217325</v>
      </c>
      <c r="BG22" s="3" t="s">
        <v>74</v>
      </c>
      <c r="BH22" s="3" t="s">
        <v>74</v>
      </c>
      <c r="BI22" s="3">
        <v>28</v>
      </c>
      <c r="BJ22" s="3" t="s">
        <v>178</v>
      </c>
      <c r="BK22" s="3" t="s">
        <v>179</v>
      </c>
      <c r="BL22" s="3" t="s">
        <v>178</v>
      </c>
      <c r="BM22" s="3" t="s">
        <v>594</v>
      </c>
      <c r="BN22" s="3" t="s">
        <v>74</v>
      </c>
      <c r="BO22" s="3" t="s">
        <v>133</v>
      </c>
      <c r="BP22" s="3" t="s">
        <v>74</v>
      </c>
      <c r="BQ22" s="3" t="s">
        <v>74</v>
      </c>
      <c r="BR22" s="3" t="s">
        <v>101</v>
      </c>
      <c r="BS22" s="3" t="s">
        <v>595</v>
      </c>
      <c r="BT22" s="3" t="str">
        <f>HYPERLINK("https%3A%2F%2Fwww.webofscience.com%2Fwos%2Fwoscc%2Ffull-record%2FWOS:001100288800001","View Full Record in Web of Science")</f>
        <v>View Full Record in Web of Science</v>
      </c>
      <c r="BU22" s="3"/>
      <c r="BV22" s="3"/>
      <c r="BW22" s="1"/>
    </row>
    <row r="23" spans="1:75" x14ac:dyDescent="0.25">
      <c r="A23" s="3" t="s">
        <v>72</v>
      </c>
      <c r="B23" s="3" t="s">
        <v>596</v>
      </c>
      <c r="C23" s="3" t="s">
        <v>74</v>
      </c>
      <c r="D23" s="3" t="s">
        <v>74</v>
      </c>
      <c r="E23" s="3" t="s">
        <v>74</v>
      </c>
      <c r="F23" s="3" t="s">
        <v>597</v>
      </c>
      <c r="G23" s="3" t="s">
        <v>74</v>
      </c>
      <c r="H23" s="3" t="s">
        <v>74</v>
      </c>
      <c r="I23" s="3" t="s">
        <v>598</v>
      </c>
      <c r="J23" s="3" t="s">
        <v>138</v>
      </c>
      <c r="K23" s="3" t="s">
        <v>74</v>
      </c>
      <c r="L23" s="3" t="s">
        <v>74</v>
      </c>
      <c r="M23" s="3" t="s">
        <v>110</v>
      </c>
      <c r="N23" s="3" t="s">
        <v>79</v>
      </c>
      <c r="O23" s="3" t="s">
        <v>74</v>
      </c>
      <c r="P23" s="3" t="s">
        <v>74</v>
      </c>
      <c r="Q23" s="3" t="s">
        <v>74</v>
      </c>
      <c r="R23" s="3" t="s">
        <v>74</v>
      </c>
      <c r="S23" s="3" t="s">
        <v>74</v>
      </c>
      <c r="T23" s="3" t="s">
        <v>599</v>
      </c>
      <c r="U23" s="3" t="s">
        <v>600</v>
      </c>
      <c r="V23" s="3" t="s">
        <v>601</v>
      </c>
      <c r="W23" s="3" t="s">
        <v>602</v>
      </c>
      <c r="X23" s="3" t="s">
        <v>603</v>
      </c>
      <c r="Y23" s="3" t="s">
        <v>604</v>
      </c>
      <c r="Z23" s="3" t="s">
        <v>605</v>
      </c>
      <c r="AA23" s="3" t="s">
        <v>606</v>
      </c>
      <c r="AB23" s="3" t="s">
        <v>607</v>
      </c>
      <c r="AC23" s="3" t="s">
        <v>74</v>
      </c>
      <c r="AD23" s="3" t="s">
        <v>74</v>
      </c>
      <c r="AE23" s="3" t="s">
        <v>74</v>
      </c>
      <c r="AF23" s="3" t="s">
        <v>74</v>
      </c>
      <c r="AG23" s="3">
        <v>32</v>
      </c>
      <c r="AH23" s="3">
        <v>8</v>
      </c>
      <c r="AI23" s="3">
        <v>9</v>
      </c>
      <c r="AJ23" s="3">
        <v>4</v>
      </c>
      <c r="AK23" s="3">
        <v>14</v>
      </c>
      <c r="AL23" s="3" t="s">
        <v>145</v>
      </c>
      <c r="AM23" s="3" t="s">
        <v>146</v>
      </c>
      <c r="AN23" s="3" t="s">
        <v>279</v>
      </c>
      <c r="AO23" s="3" t="s">
        <v>74</v>
      </c>
      <c r="AP23" s="3" t="s">
        <v>148</v>
      </c>
      <c r="AQ23" s="3" t="s">
        <v>74</v>
      </c>
      <c r="AR23" s="3" t="s">
        <v>149</v>
      </c>
      <c r="AS23" s="3" t="s">
        <v>150</v>
      </c>
      <c r="AT23" s="3" t="s">
        <v>608</v>
      </c>
      <c r="AU23" s="3">
        <v>2023</v>
      </c>
      <c r="AV23" s="3">
        <v>15</v>
      </c>
      <c r="AW23" s="3">
        <v>8</v>
      </c>
      <c r="AX23" s="3" t="s">
        <v>74</v>
      </c>
      <c r="AY23" s="3" t="s">
        <v>74</v>
      </c>
      <c r="AZ23" s="3" t="s">
        <v>74</v>
      </c>
      <c r="BA23" s="3" t="s">
        <v>74</v>
      </c>
      <c r="BB23" s="3" t="s">
        <v>74</v>
      </c>
      <c r="BC23" s="3" t="s">
        <v>74</v>
      </c>
      <c r="BD23" s="3">
        <v>6916</v>
      </c>
      <c r="BE23" s="3" t="s">
        <v>609</v>
      </c>
      <c r="BF23" s="3" t="str">
        <f>HYPERLINK("http://dx.doi.org/10.3390/su15086916","http://dx.doi.org/10.3390/su15086916")</f>
        <v>http://dx.doi.org/10.3390/su15086916</v>
      </c>
      <c r="BG23" s="3" t="s">
        <v>74</v>
      </c>
      <c r="BH23" s="3" t="s">
        <v>74</v>
      </c>
      <c r="BI23" s="3">
        <v>18</v>
      </c>
      <c r="BJ23" s="3" t="s">
        <v>153</v>
      </c>
      <c r="BK23" s="3" t="s">
        <v>154</v>
      </c>
      <c r="BL23" s="3" t="s">
        <v>155</v>
      </c>
      <c r="BM23" s="3" t="s">
        <v>610</v>
      </c>
      <c r="BN23" s="3" t="s">
        <v>74</v>
      </c>
      <c r="BO23" s="3" t="s">
        <v>133</v>
      </c>
      <c r="BP23" s="3" t="s">
        <v>74</v>
      </c>
      <c r="BQ23" s="3" t="s">
        <v>74</v>
      </c>
      <c r="BR23" s="3" t="s">
        <v>101</v>
      </c>
      <c r="BS23" s="3" t="s">
        <v>611</v>
      </c>
      <c r="BT23" s="3" t="str">
        <f>HYPERLINK("https%3A%2F%2Fwww.webofscience.com%2Fwos%2Fwoscc%2Ffull-record%2FWOS:000977823800001","View Full Record in Web of Science")</f>
        <v>View Full Record in Web of Science</v>
      </c>
      <c r="BU23" s="3"/>
      <c r="BV23" s="3"/>
      <c r="BW23" s="1"/>
    </row>
    <row r="24" spans="1:75" x14ac:dyDescent="0.25">
      <c r="A24" s="3" t="s">
        <v>72</v>
      </c>
      <c r="B24" s="3" t="s">
        <v>612</v>
      </c>
      <c r="C24" s="3" t="s">
        <v>74</v>
      </c>
      <c r="D24" s="3" t="s">
        <v>74</v>
      </c>
      <c r="E24" s="3" t="s">
        <v>74</v>
      </c>
      <c r="F24" s="3" t="s">
        <v>613</v>
      </c>
      <c r="G24" s="3" t="s">
        <v>74</v>
      </c>
      <c r="H24" s="3" t="s">
        <v>74</v>
      </c>
      <c r="I24" s="3" t="s">
        <v>614</v>
      </c>
      <c r="J24" s="3" t="s">
        <v>615</v>
      </c>
      <c r="K24" s="3" t="s">
        <v>74</v>
      </c>
      <c r="L24" s="3" t="s">
        <v>74</v>
      </c>
      <c r="M24" s="3" t="s">
        <v>110</v>
      </c>
      <c r="N24" s="3" t="s">
        <v>79</v>
      </c>
      <c r="O24" s="3" t="s">
        <v>74</v>
      </c>
      <c r="P24" s="3" t="s">
        <v>74</v>
      </c>
      <c r="Q24" s="3" t="s">
        <v>74</v>
      </c>
      <c r="R24" s="3" t="s">
        <v>74</v>
      </c>
      <c r="S24" s="3" t="s">
        <v>74</v>
      </c>
      <c r="T24" s="3" t="s">
        <v>616</v>
      </c>
      <c r="U24" s="3" t="s">
        <v>74</v>
      </c>
      <c r="V24" s="3" t="s">
        <v>617</v>
      </c>
      <c r="W24" s="3" t="s">
        <v>618</v>
      </c>
      <c r="X24" s="3" t="s">
        <v>619</v>
      </c>
      <c r="Y24" s="3" t="s">
        <v>620</v>
      </c>
      <c r="Z24" s="3" t="s">
        <v>621</v>
      </c>
      <c r="AA24" s="3" t="s">
        <v>622</v>
      </c>
      <c r="AB24" s="3" t="s">
        <v>623</v>
      </c>
      <c r="AC24" s="3" t="s">
        <v>624</v>
      </c>
      <c r="AD24" s="3" t="s">
        <v>624</v>
      </c>
      <c r="AE24" s="3" t="s">
        <v>625</v>
      </c>
      <c r="AF24" s="3" t="s">
        <v>74</v>
      </c>
      <c r="AG24" s="3">
        <v>69</v>
      </c>
      <c r="AH24" s="3">
        <v>1</v>
      </c>
      <c r="AI24" s="3">
        <v>4</v>
      </c>
      <c r="AJ24" s="3">
        <v>1</v>
      </c>
      <c r="AK24" s="3">
        <v>26</v>
      </c>
      <c r="AL24" s="3" t="s">
        <v>145</v>
      </c>
      <c r="AM24" s="3" t="s">
        <v>146</v>
      </c>
      <c r="AN24" s="3" t="s">
        <v>279</v>
      </c>
      <c r="AO24" s="3" t="s">
        <v>74</v>
      </c>
      <c r="AP24" s="3" t="s">
        <v>626</v>
      </c>
      <c r="AQ24" s="3" t="s">
        <v>74</v>
      </c>
      <c r="AR24" s="3" t="s">
        <v>627</v>
      </c>
      <c r="AS24" s="3" t="s">
        <v>628</v>
      </c>
      <c r="AT24" s="3" t="s">
        <v>333</v>
      </c>
      <c r="AU24" s="3">
        <v>2023</v>
      </c>
      <c r="AV24" s="3">
        <v>8</v>
      </c>
      <c r="AW24" s="3">
        <v>9</v>
      </c>
      <c r="AX24" s="3" t="s">
        <v>74</v>
      </c>
      <c r="AY24" s="3" t="s">
        <v>74</v>
      </c>
      <c r="AZ24" s="3" t="s">
        <v>74</v>
      </c>
      <c r="BA24" s="3" t="s">
        <v>74</v>
      </c>
      <c r="BB24" s="3" t="s">
        <v>74</v>
      </c>
      <c r="BC24" s="3" t="s">
        <v>74</v>
      </c>
      <c r="BD24" s="3">
        <v>127</v>
      </c>
      <c r="BE24" s="3" t="s">
        <v>629</v>
      </c>
      <c r="BF24" s="3" t="str">
        <f>HYPERLINK("http://dx.doi.org/10.3390/infrastructures8090127","http://dx.doi.org/10.3390/infrastructures8090127")</f>
        <v>http://dx.doi.org/10.3390/infrastructures8090127</v>
      </c>
      <c r="BG24" s="3" t="s">
        <v>74</v>
      </c>
      <c r="BH24" s="3" t="s">
        <v>74</v>
      </c>
      <c r="BI24" s="3">
        <v>35</v>
      </c>
      <c r="BJ24" s="3" t="s">
        <v>630</v>
      </c>
      <c r="BK24" s="3" t="s">
        <v>97</v>
      </c>
      <c r="BL24" s="3" t="s">
        <v>631</v>
      </c>
      <c r="BM24" s="3" t="s">
        <v>632</v>
      </c>
      <c r="BN24" s="3" t="s">
        <v>74</v>
      </c>
      <c r="BO24" s="3" t="s">
        <v>133</v>
      </c>
      <c r="BP24" s="3" t="s">
        <v>74</v>
      </c>
      <c r="BQ24" s="3" t="s">
        <v>74</v>
      </c>
      <c r="BR24" s="3" t="s">
        <v>101</v>
      </c>
      <c r="BS24" s="3" t="s">
        <v>633</v>
      </c>
      <c r="BT24" s="3" t="str">
        <f>HYPERLINK("https%3A%2F%2Fwww.webofscience.com%2Fwos%2Fwoscc%2Ffull-record%2FWOS:001075587300001","View Full Record in Web of Science")</f>
        <v>View Full Record in Web of Science</v>
      </c>
      <c r="BU24" s="3"/>
      <c r="BV24" s="3"/>
      <c r="BW24" s="1"/>
    </row>
    <row r="25" spans="1:75" x14ac:dyDescent="0.25">
      <c r="A25" s="3" t="s">
        <v>103</v>
      </c>
      <c r="B25" s="3" t="s">
        <v>634</v>
      </c>
      <c r="C25" s="3" t="s">
        <v>74</v>
      </c>
      <c r="D25" s="3" t="s">
        <v>635</v>
      </c>
      <c r="E25" s="3" t="s">
        <v>74</v>
      </c>
      <c r="F25" s="3" t="s">
        <v>636</v>
      </c>
      <c r="G25" s="3" t="s">
        <v>74</v>
      </c>
      <c r="H25" s="3" t="s">
        <v>74</v>
      </c>
      <c r="I25" s="3" t="s">
        <v>637</v>
      </c>
      <c r="J25" s="3" t="s">
        <v>638</v>
      </c>
      <c r="K25" s="3" t="s">
        <v>639</v>
      </c>
      <c r="L25" s="3" t="s">
        <v>74</v>
      </c>
      <c r="M25" s="3" t="s">
        <v>110</v>
      </c>
      <c r="N25" s="3" t="s">
        <v>111</v>
      </c>
      <c r="O25" s="3" t="s">
        <v>640</v>
      </c>
      <c r="P25" s="3" t="s">
        <v>641</v>
      </c>
      <c r="Q25" s="3" t="s">
        <v>642</v>
      </c>
      <c r="R25" s="3" t="s">
        <v>74</v>
      </c>
      <c r="S25" s="3" t="s">
        <v>74</v>
      </c>
      <c r="T25" s="3" t="s">
        <v>643</v>
      </c>
      <c r="U25" s="3" t="s">
        <v>644</v>
      </c>
      <c r="V25" s="3" t="s">
        <v>645</v>
      </c>
      <c r="W25" s="3" t="s">
        <v>646</v>
      </c>
      <c r="X25" s="3" t="s">
        <v>647</v>
      </c>
      <c r="Y25" s="3" t="s">
        <v>648</v>
      </c>
      <c r="Z25" s="3" t="s">
        <v>649</v>
      </c>
      <c r="AA25" s="3" t="s">
        <v>74</v>
      </c>
      <c r="AB25" s="3" t="s">
        <v>74</v>
      </c>
      <c r="AC25" s="3" t="s">
        <v>74</v>
      </c>
      <c r="AD25" s="3" t="s">
        <v>74</v>
      </c>
      <c r="AE25" s="3" t="s">
        <v>74</v>
      </c>
      <c r="AF25" s="3" t="s">
        <v>74</v>
      </c>
      <c r="AG25" s="3">
        <v>37</v>
      </c>
      <c r="AH25" s="3">
        <v>1</v>
      </c>
      <c r="AI25" s="3">
        <v>1</v>
      </c>
      <c r="AJ25" s="3">
        <v>0</v>
      </c>
      <c r="AK25" s="3">
        <v>2</v>
      </c>
      <c r="AL25" s="3" t="s">
        <v>374</v>
      </c>
      <c r="AM25" s="3" t="s">
        <v>375</v>
      </c>
      <c r="AN25" s="3" t="s">
        <v>376</v>
      </c>
      <c r="AO25" s="3" t="s">
        <v>650</v>
      </c>
      <c r="AP25" s="3" t="s">
        <v>651</v>
      </c>
      <c r="AQ25" s="3" t="s">
        <v>652</v>
      </c>
      <c r="AR25" s="3" t="s">
        <v>653</v>
      </c>
      <c r="AS25" s="3" t="s">
        <v>74</v>
      </c>
      <c r="AT25" s="3" t="s">
        <v>74</v>
      </c>
      <c r="AU25" s="3">
        <v>2023</v>
      </c>
      <c r="AV25" s="3">
        <v>464</v>
      </c>
      <c r="AW25" s="3" t="s">
        <v>74</v>
      </c>
      <c r="AX25" s="3" t="s">
        <v>74</v>
      </c>
      <c r="AY25" s="3" t="s">
        <v>74</v>
      </c>
      <c r="AZ25" s="3" t="s">
        <v>74</v>
      </c>
      <c r="BA25" s="3" t="s">
        <v>74</v>
      </c>
      <c r="BB25" s="3">
        <v>165</v>
      </c>
      <c r="BC25" s="3">
        <v>184</v>
      </c>
      <c r="BD25" s="3" t="s">
        <v>74</v>
      </c>
      <c r="BE25" s="3" t="s">
        <v>654</v>
      </c>
      <c r="BF25" s="3" t="str">
        <f>HYPERLINK("http://dx.doi.org/10.1007/978-3-031-30694-5_13","http://dx.doi.org/10.1007/978-3-031-30694-5_13")</f>
        <v>http://dx.doi.org/10.1007/978-3-031-30694-5_13</v>
      </c>
      <c r="BG25" s="3" t="s">
        <v>74</v>
      </c>
      <c r="BH25" s="3" t="s">
        <v>74</v>
      </c>
      <c r="BI25" s="3">
        <v>20</v>
      </c>
      <c r="BJ25" s="3" t="s">
        <v>655</v>
      </c>
      <c r="BK25" s="3" t="s">
        <v>208</v>
      </c>
      <c r="BL25" s="3" t="s">
        <v>486</v>
      </c>
      <c r="BM25" s="3" t="s">
        <v>656</v>
      </c>
      <c r="BN25" s="3" t="s">
        <v>74</v>
      </c>
      <c r="BO25" s="3" t="s">
        <v>74</v>
      </c>
      <c r="BP25" s="3" t="s">
        <v>74</v>
      </c>
      <c r="BQ25" s="3" t="s">
        <v>74</v>
      </c>
      <c r="BR25" s="3" t="s">
        <v>101</v>
      </c>
      <c r="BS25" s="3" t="s">
        <v>657</v>
      </c>
      <c r="BT25" s="3" t="str">
        <f>HYPERLINK("https%3A%2F%2Fwww.webofscience.com%2Fwos%2Fwoscc%2Ffull-record%2FWOS:001308340700013","View Full Record in Web of Science")</f>
        <v>View Full Record in Web of Science</v>
      </c>
      <c r="BU25" s="3"/>
      <c r="BV25" s="3"/>
      <c r="BW25" s="1"/>
    </row>
    <row r="26" spans="1:75" x14ac:dyDescent="0.25">
      <c r="A26" s="3" t="s">
        <v>72</v>
      </c>
      <c r="B26" s="3" t="s">
        <v>658</v>
      </c>
      <c r="C26" s="3" t="s">
        <v>74</v>
      </c>
      <c r="D26" s="3" t="s">
        <v>74</v>
      </c>
      <c r="E26" s="3" t="s">
        <v>74</v>
      </c>
      <c r="F26" s="3" t="s">
        <v>659</v>
      </c>
      <c r="G26" s="3" t="s">
        <v>74</v>
      </c>
      <c r="H26" s="3" t="s">
        <v>74</v>
      </c>
      <c r="I26" s="3" t="s">
        <v>660</v>
      </c>
      <c r="J26" s="3" t="s">
        <v>661</v>
      </c>
      <c r="K26" s="3" t="s">
        <v>74</v>
      </c>
      <c r="L26" s="3" t="s">
        <v>74</v>
      </c>
      <c r="M26" s="3" t="s">
        <v>110</v>
      </c>
      <c r="N26" s="3" t="s">
        <v>79</v>
      </c>
      <c r="O26" s="3" t="s">
        <v>74</v>
      </c>
      <c r="P26" s="3" t="s">
        <v>74</v>
      </c>
      <c r="Q26" s="3" t="s">
        <v>74</v>
      </c>
      <c r="R26" s="3" t="s">
        <v>74</v>
      </c>
      <c r="S26" s="3" t="s">
        <v>74</v>
      </c>
      <c r="T26" s="3" t="s">
        <v>662</v>
      </c>
      <c r="U26" s="3" t="s">
        <v>663</v>
      </c>
      <c r="V26" s="3" t="s">
        <v>664</v>
      </c>
      <c r="W26" s="3" t="s">
        <v>665</v>
      </c>
      <c r="X26" s="3" t="s">
        <v>666</v>
      </c>
      <c r="Y26" s="3" t="s">
        <v>667</v>
      </c>
      <c r="Z26" s="3" t="s">
        <v>668</v>
      </c>
      <c r="AA26" s="3" t="s">
        <v>669</v>
      </c>
      <c r="AB26" s="3" t="s">
        <v>670</v>
      </c>
      <c r="AC26" s="3" t="s">
        <v>74</v>
      </c>
      <c r="AD26" s="3" t="s">
        <v>74</v>
      </c>
      <c r="AE26" s="3" t="s">
        <v>74</v>
      </c>
      <c r="AF26" s="3" t="s">
        <v>74</v>
      </c>
      <c r="AG26" s="3">
        <v>163</v>
      </c>
      <c r="AH26" s="3">
        <v>11</v>
      </c>
      <c r="AI26" s="3">
        <v>12</v>
      </c>
      <c r="AJ26" s="3">
        <v>20</v>
      </c>
      <c r="AK26" s="3">
        <v>31</v>
      </c>
      <c r="AL26" s="3" t="s">
        <v>671</v>
      </c>
      <c r="AM26" s="3" t="s">
        <v>124</v>
      </c>
      <c r="AN26" s="3" t="s">
        <v>672</v>
      </c>
      <c r="AO26" s="3" t="s">
        <v>673</v>
      </c>
      <c r="AP26" s="3" t="s">
        <v>674</v>
      </c>
      <c r="AQ26" s="3" t="s">
        <v>74</v>
      </c>
      <c r="AR26" s="3" t="s">
        <v>675</v>
      </c>
      <c r="AS26" s="3" t="s">
        <v>676</v>
      </c>
      <c r="AT26" s="3" t="s">
        <v>677</v>
      </c>
      <c r="AU26" s="3">
        <v>2025</v>
      </c>
      <c r="AV26" s="3">
        <v>126</v>
      </c>
      <c r="AW26" s="3" t="s">
        <v>74</v>
      </c>
      <c r="AX26" s="3" t="s">
        <v>74</v>
      </c>
      <c r="AY26" s="3" t="s">
        <v>74</v>
      </c>
      <c r="AZ26" s="3" t="s">
        <v>74</v>
      </c>
      <c r="BA26" s="3" t="s">
        <v>74</v>
      </c>
      <c r="BB26" s="3" t="s">
        <v>74</v>
      </c>
      <c r="BC26" s="3" t="s">
        <v>74</v>
      </c>
      <c r="BD26" s="3">
        <v>106356</v>
      </c>
      <c r="BE26" s="3" t="s">
        <v>678</v>
      </c>
      <c r="BF26" s="3" t="str">
        <f>HYPERLINK("http://dx.doi.org/10.1016/j.scs.2025.106356","http://dx.doi.org/10.1016/j.scs.2025.106356")</f>
        <v>http://dx.doi.org/10.1016/j.scs.2025.106356</v>
      </c>
      <c r="BG26" s="3" t="s">
        <v>74</v>
      </c>
      <c r="BH26" s="3" t="s">
        <v>679</v>
      </c>
      <c r="BI26" s="3">
        <v>18</v>
      </c>
      <c r="BJ26" s="3" t="s">
        <v>680</v>
      </c>
      <c r="BK26" s="3" t="s">
        <v>179</v>
      </c>
      <c r="BL26" s="3" t="s">
        <v>681</v>
      </c>
      <c r="BM26" s="3" t="s">
        <v>682</v>
      </c>
      <c r="BN26" s="3" t="s">
        <v>74</v>
      </c>
      <c r="BO26" s="3" t="s">
        <v>683</v>
      </c>
      <c r="BP26" s="3" t="s">
        <v>74</v>
      </c>
      <c r="BQ26" s="3" t="s">
        <v>74</v>
      </c>
      <c r="BR26" s="3" t="s">
        <v>101</v>
      </c>
      <c r="BS26" s="3" t="s">
        <v>684</v>
      </c>
      <c r="BT26" s="3" t="str">
        <f>HYPERLINK("https%3A%2F%2Fwww.webofscience.com%2Fwos%2Fwoscc%2Ffull-record%2FWOS:001476125800001","View Full Record in Web of Science")</f>
        <v>View Full Record in Web of Science</v>
      </c>
      <c r="BU26" s="3"/>
      <c r="BV26" s="3"/>
      <c r="BW26" s="1"/>
    </row>
    <row r="27" spans="1:75" x14ac:dyDescent="0.25">
      <c r="A27" s="3" t="s">
        <v>72</v>
      </c>
      <c r="B27" s="3" t="s">
        <v>685</v>
      </c>
      <c r="C27" s="3" t="s">
        <v>74</v>
      </c>
      <c r="D27" s="3" t="s">
        <v>74</v>
      </c>
      <c r="E27" s="3" t="s">
        <v>74</v>
      </c>
      <c r="F27" s="3" t="s">
        <v>686</v>
      </c>
      <c r="G27" s="3" t="s">
        <v>74</v>
      </c>
      <c r="H27" s="3" t="s">
        <v>74</v>
      </c>
      <c r="I27" s="3" t="s">
        <v>687</v>
      </c>
      <c r="J27" s="3" t="s">
        <v>688</v>
      </c>
      <c r="K27" s="3" t="s">
        <v>74</v>
      </c>
      <c r="L27" s="3" t="s">
        <v>74</v>
      </c>
      <c r="M27" s="3" t="s">
        <v>110</v>
      </c>
      <c r="N27" s="3" t="s">
        <v>79</v>
      </c>
      <c r="O27" s="3" t="s">
        <v>74</v>
      </c>
      <c r="P27" s="3" t="s">
        <v>74</v>
      </c>
      <c r="Q27" s="3" t="s">
        <v>74</v>
      </c>
      <c r="R27" s="3" t="s">
        <v>74</v>
      </c>
      <c r="S27" s="3" t="s">
        <v>74</v>
      </c>
      <c r="T27" s="3" t="s">
        <v>689</v>
      </c>
      <c r="U27" s="3" t="s">
        <v>74</v>
      </c>
      <c r="V27" s="3" t="s">
        <v>690</v>
      </c>
      <c r="W27" s="3" t="s">
        <v>691</v>
      </c>
      <c r="X27" s="3" t="s">
        <v>692</v>
      </c>
      <c r="Y27" s="3" t="s">
        <v>693</v>
      </c>
      <c r="Z27" s="3" t="s">
        <v>74</v>
      </c>
      <c r="AA27" s="3" t="s">
        <v>694</v>
      </c>
      <c r="AB27" s="3" t="s">
        <v>695</v>
      </c>
      <c r="AC27" s="3" t="s">
        <v>74</v>
      </c>
      <c r="AD27" s="3" t="s">
        <v>74</v>
      </c>
      <c r="AE27" s="3" t="s">
        <v>74</v>
      </c>
      <c r="AF27" s="3" t="s">
        <v>74</v>
      </c>
      <c r="AG27" s="3">
        <v>2</v>
      </c>
      <c r="AH27" s="3">
        <v>5</v>
      </c>
      <c r="AI27" s="3">
        <v>6</v>
      </c>
      <c r="AJ27" s="3">
        <v>3</v>
      </c>
      <c r="AK27" s="3">
        <v>14</v>
      </c>
      <c r="AL27" s="3" t="s">
        <v>696</v>
      </c>
      <c r="AM27" s="3" t="s">
        <v>697</v>
      </c>
      <c r="AN27" s="3" t="s">
        <v>698</v>
      </c>
      <c r="AO27" s="3" t="s">
        <v>699</v>
      </c>
      <c r="AP27" s="3" t="s">
        <v>700</v>
      </c>
      <c r="AQ27" s="3" t="s">
        <v>74</v>
      </c>
      <c r="AR27" s="3" t="s">
        <v>701</v>
      </c>
      <c r="AS27" s="3" t="s">
        <v>702</v>
      </c>
      <c r="AT27" s="3" t="s">
        <v>74</v>
      </c>
      <c r="AU27" s="3">
        <v>2023</v>
      </c>
      <c r="AV27" s="3">
        <v>12</v>
      </c>
      <c r="AW27" s="3">
        <v>3</v>
      </c>
      <c r="AX27" s="3" t="s">
        <v>74</v>
      </c>
      <c r="AY27" s="3" t="s">
        <v>74</v>
      </c>
      <c r="AZ27" s="3" t="s">
        <v>74</v>
      </c>
      <c r="BA27" s="3" t="s">
        <v>74</v>
      </c>
      <c r="BB27" s="3">
        <v>229</v>
      </c>
      <c r="BC27" s="3">
        <v>246</v>
      </c>
      <c r="BD27" s="3" t="s">
        <v>74</v>
      </c>
      <c r="BE27" s="3" t="s">
        <v>703</v>
      </c>
      <c r="BF27" s="3" t="str">
        <f>HYPERLINK("http://dx.doi.org/10.14207/ejsd.2023.v12n3p229","http://dx.doi.org/10.14207/ejsd.2023.v12n3p229")</f>
        <v>http://dx.doi.org/10.14207/ejsd.2023.v12n3p229</v>
      </c>
      <c r="BG27" s="3" t="s">
        <v>74</v>
      </c>
      <c r="BH27" s="3" t="s">
        <v>74</v>
      </c>
      <c r="BI27" s="3">
        <v>18</v>
      </c>
      <c r="BJ27" s="3" t="s">
        <v>704</v>
      </c>
      <c r="BK27" s="3" t="s">
        <v>97</v>
      </c>
      <c r="BL27" s="3" t="s">
        <v>705</v>
      </c>
      <c r="BM27" s="3" t="s">
        <v>706</v>
      </c>
      <c r="BN27" s="3" t="s">
        <v>74</v>
      </c>
      <c r="BO27" s="3" t="s">
        <v>100</v>
      </c>
      <c r="BP27" s="3" t="s">
        <v>74</v>
      </c>
      <c r="BQ27" s="3" t="s">
        <v>74</v>
      </c>
      <c r="BR27" s="3" t="s">
        <v>101</v>
      </c>
      <c r="BS27" s="3" t="s">
        <v>707</v>
      </c>
      <c r="BT27" s="3" t="str">
        <f>HYPERLINK("https%3A%2F%2Fwww.webofscience.com%2Fwos%2Fwoscc%2Ffull-record%2FWOS:001115004400013","View Full Record in Web of Science")</f>
        <v>View Full Record in Web of Science</v>
      </c>
      <c r="BU27" s="3"/>
      <c r="BV27" s="3"/>
      <c r="BW27" s="1"/>
    </row>
    <row r="28" spans="1:75" x14ac:dyDescent="0.25">
      <c r="A28" s="3" t="s">
        <v>72</v>
      </c>
      <c r="B28" s="3" t="s">
        <v>708</v>
      </c>
      <c r="C28" s="3" t="s">
        <v>74</v>
      </c>
      <c r="D28" s="3" t="s">
        <v>74</v>
      </c>
      <c r="E28" s="3" t="s">
        <v>74</v>
      </c>
      <c r="F28" s="3" t="s">
        <v>709</v>
      </c>
      <c r="G28" s="3" t="s">
        <v>74</v>
      </c>
      <c r="H28" s="3" t="s">
        <v>74</v>
      </c>
      <c r="I28" s="3" t="s">
        <v>710</v>
      </c>
      <c r="J28" s="3" t="s">
        <v>711</v>
      </c>
      <c r="K28" s="3" t="s">
        <v>74</v>
      </c>
      <c r="L28" s="3" t="s">
        <v>74</v>
      </c>
      <c r="M28" s="3" t="s">
        <v>78</v>
      </c>
      <c r="N28" s="3" t="s">
        <v>79</v>
      </c>
      <c r="O28" s="3" t="s">
        <v>74</v>
      </c>
      <c r="P28" s="3" t="s">
        <v>74</v>
      </c>
      <c r="Q28" s="3" t="s">
        <v>74</v>
      </c>
      <c r="R28" s="3" t="s">
        <v>74</v>
      </c>
      <c r="S28" s="3" t="s">
        <v>74</v>
      </c>
      <c r="T28" s="3" t="s">
        <v>712</v>
      </c>
      <c r="U28" s="3" t="s">
        <v>74</v>
      </c>
      <c r="V28" s="3" t="s">
        <v>713</v>
      </c>
      <c r="W28" s="3" t="s">
        <v>714</v>
      </c>
      <c r="X28" s="3" t="s">
        <v>715</v>
      </c>
      <c r="Y28" s="3" t="s">
        <v>716</v>
      </c>
      <c r="Z28" s="3" t="s">
        <v>717</v>
      </c>
      <c r="AA28" s="3" t="s">
        <v>74</v>
      </c>
      <c r="AB28" s="3" t="s">
        <v>718</v>
      </c>
      <c r="AC28" s="3" t="s">
        <v>74</v>
      </c>
      <c r="AD28" s="3" t="s">
        <v>74</v>
      </c>
      <c r="AE28" s="3" t="s">
        <v>74</v>
      </c>
      <c r="AF28" s="3" t="s">
        <v>74</v>
      </c>
      <c r="AG28" s="3">
        <v>41</v>
      </c>
      <c r="AH28" s="3">
        <v>0</v>
      </c>
      <c r="AI28" s="3">
        <v>0</v>
      </c>
      <c r="AJ28" s="3">
        <v>0</v>
      </c>
      <c r="AK28" s="3">
        <v>6</v>
      </c>
      <c r="AL28" s="3" t="s">
        <v>719</v>
      </c>
      <c r="AM28" s="3" t="s">
        <v>720</v>
      </c>
      <c r="AN28" s="3" t="s">
        <v>721</v>
      </c>
      <c r="AO28" s="3" t="s">
        <v>722</v>
      </c>
      <c r="AP28" s="3" t="s">
        <v>74</v>
      </c>
      <c r="AQ28" s="3" t="s">
        <v>74</v>
      </c>
      <c r="AR28" s="3" t="s">
        <v>723</v>
      </c>
      <c r="AS28" s="3" t="s">
        <v>724</v>
      </c>
      <c r="AT28" s="3" t="s">
        <v>74</v>
      </c>
      <c r="AU28" s="3">
        <v>2023</v>
      </c>
      <c r="AV28" s="3">
        <v>15</v>
      </c>
      <c r="AW28" s="3">
        <v>4</v>
      </c>
      <c r="AX28" s="3" t="s">
        <v>74</v>
      </c>
      <c r="AY28" s="3" t="s">
        <v>74</v>
      </c>
      <c r="AZ28" s="3" t="s">
        <v>74</v>
      </c>
      <c r="BA28" s="3" t="s">
        <v>74</v>
      </c>
      <c r="BB28" s="3">
        <v>1810</v>
      </c>
      <c r="BC28" s="3">
        <v>1843</v>
      </c>
      <c r="BD28" s="3" t="s">
        <v>74</v>
      </c>
      <c r="BE28" s="3" t="s">
        <v>725</v>
      </c>
      <c r="BF28" s="3" t="str">
        <f>HYPERLINK("http://dx.doi.org/10.12957/rdc.2023.65722","http://dx.doi.org/10.12957/rdc.2023.65722")</f>
        <v>http://dx.doi.org/10.12957/rdc.2023.65722</v>
      </c>
      <c r="BG28" s="3" t="s">
        <v>74</v>
      </c>
      <c r="BH28" s="3" t="s">
        <v>74</v>
      </c>
      <c r="BI28" s="3">
        <v>34</v>
      </c>
      <c r="BJ28" s="3" t="s">
        <v>263</v>
      </c>
      <c r="BK28" s="3" t="s">
        <v>97</v>
      </c>
      <c r="BL28" s="3" t="s">
        <v>263</v>
      </c>
      <c r="BM28" s="3" t="s">
        <v>726</v>
      </c>
      <c r="BN28" s="3" t="s">
        <v>74</v>
      </c>
      <c r="BO28" s="3" t="s">
        <v>100</v>
      </c>
      <c r="BP28" s="3" t="s">
        <v>74</v>
      </c>
      <c r="BQ28" s="3" t="s">
        <v>74</v>
      </c>
      <c r="BR28" s="3" t="s">
        <v>101</v>
      </c>
      <c r="BS28" s="3" t="s">
        <v>727</v>
      </c>
      <c r="BT28" s="3" t="str">
        <f>HYPERLINK("https%3A%2F%2Fwww.webofscience.com%2Fwos%2Fwoscc%2Ffull-record%2FWOS:001156621000001","View Full Record in Web of Science")</f>
        <v>View Full Record in Web of Science</v>
      </c>
      <c r="BU28" s="3"/>
      <c r="BV28" s="3"/>
      <c r="BW28" s="1"/>
    </row>
    <row r="29" spans="1:75" x14ac:dyDescent="0.25">
      <c r="A29" s="3" t="s">
        <v>72</v>
      </c>
      <c r="B29" s="3" t="s">
        <v>728</v>
      </c>
      <c r="C29" s="3" t="s">
        <v>74</v>
      </c>
      <c r="D29" s="3" t="s">
        <v>74</v>
      </c>
      <c r="E29" s="3" t="s">
        <v>74</v>
      </c>
      <c r="F29" s="3" t="s">
        <v>729</v>
      </c>
      <c r="G29" s="3" t="s">
        <v>74</v>
      </c>
      <c r="H29" s="3" t="s">
        <v>74</v>
      </c>
      <c r="I29" s="3" t="s">
        <v>730</v>
      </c>
      <c r="J29" s="3" t="s">
        <v>731</v>
      </c>
      <c r="K29" s="3" t="s">
        <v>74</v>
      </c>
      <c r="L29" s="3" t="s">
        <v>74</v>
      </c>
      <c r="M29" s="3" t="s">
        <v>110</v>
      </c>
      <c r="N29" s="3" t="s">
        <v>216</v>
      </c>
      <c r="O29" s="3" t="s">
        <v>74</v>
      </c>
      <c r="P29" s="3" t="s">
        <v>74</v>
      </c>
      <c r="Q29" s="3" t="s">
        <v>74</v>
      </c>
      <c r="R29" s="3" t="s">
        <v>74</v>
      </c>
      <c r="S29" s="3" t="s">
        <v>74</v>
      </c>
      <c r="T29" s="3" t="s">
        <v>732</v>
      </c>
      <c r="U29" s="3" t="s">
        <v>733</v>
      </c>
      <c r="V29" s="3" t="s">
        <v>734</v>
      </c>
      <c r="W29" s="3" t="s">
        <v>735</v>
      </c>
      <c r="X29" s="3" t="s">
        <v>736</v>
      </c>
      <c r="Y29" s="3" t="s">
        <v>737</v>
      </c>
      <c r="Z29" s="3" t="s">
        <v>738</v>
      </c>
      <c r="AA29" s="3" t="s">
        <v>739</v>
      </c>
      <c r="AB29" s="3" t="s">
        <v>74</v>
      </c>
      <c r="AC29" s="3" t="s">
        <v>74</v>
      </c>
      <c r="AD29" s="3" t="s">
        <v>74</v>
      </c>
      <c r="AE29" s="3" t="s">
        <v>74</v>
      </c>
      <c r="AF29" s="3" t="s">
        <v>74</v>
      </c>
      <c r="AG29" s="3">
        <v>22</v>
      </c>
      <c r="AH29" s="3">
        <v>2</v>
      </c>
      <c r="AI29" s="3">
        <v>2</v>
      </c>
      <c r="AJ29" s="3">
        <v>1</v>
      </c>
      <c r="AK29" s="3">
        <v>12</v>
      </c>
      <c r="AL29" s="3" t="s">
        <v>740</v>
      </c>
      <c r="AM29" s="3" t="s">
        <v>741</v>
      </c>
      <c r="AN29" s="3" t="s">
        <v>742</v>
      </c>
      <c r="AO29" s="3" t="s">
        <v>743</v>
      </c>
      <c r="AP29" s="3" t="s">
        <v>744</v>
      </c>
      <c r="AQ29" s="3" t="s">
        <v>74</v>
      </c>
      <c r="AR29" s="3" t="s">
        <v>745</v>
      </c>
      <c r="AS29" s="3" t="s">
        <v>746</v>
      </c>
      <c r="AT29" s="3" t="s">
        <v>608</v>
      </c>
      <c r="AU29" s="3">
        <v>2023</v>
      </c>
      <c r="AV29" s="3">
        <v>16</v>
      </c>
      <c r="AW29" s="3">
        <v>1</v>
      </c>
      <c r="AX29" s="3" t="s">
        <v>74</v>
      </c>
      <c r="AY29" s="3" t="s">
        <v>74</v>
      </c>
      <c r="AZ29" s="3" t="s">
        <v>74</v>
      </c>
      <c r="BA29" s="3" t="s">
        <v>74</v>
      </c>
      <c r="BB29" s="3">
        <v>227</v>
      </c>
      <c r="BC29" s="3">
        <v>231</v>
      </c>
      <c r="BD29" s="3" t="s">
        <v>74</v>
      </c>
      <c r="BE29" s="3" t="s">
        <v>747</v>
      </c>
      <c r="BF29" s="3" t="str">
        <f>HYPERLINK("http://dx.doi.org/10.6093/1970-9870/9822","http://dx.doi.org/10.6093/1970-9870/9822")</f>
        <v>http://dx.doi.org/10.6093/1970-9870/9822</v>
      </c>
      <c r="BG29" s="3" t="s">
        <v>74</v>
      </c>
      <c r="BH29" s="3" t="s">
        <v>74</v>
      </c>
      <c r="BI29" s="3">
        <v>10</v>
      </c>
      <c r="BJ29" s="3" t="s">
        <v>263</v>
      </c>
      <c r="BK29" s="3" t="s">
        <v>97</v>
      </c>
      <c r="BL29" s="3" t="s">
        <v>263</v>
      </c>
      <c r="BM29" s="3" t="s">
        <v>748</v>
      </c>
      <c r="BN29" s="3" t="s">
        <v>74</v>
      </c>
      <c r="BO29" s="3" t="s">
        <v>74</v>
      </c>
      <c r="BP29" s="3" t="s">
        <v>74</v>
      </c>
      <c r="BQ29" s="3" t="s">
        <v>74</v>
      </c>
      <c r="BR29" s="3" t="s">
        <v>101</v>
      </c>
      <c r="BS29" s="3" t="s">
        <v>749</v>
      </c>
      <c r="BT29" s="3" t="str">
        <f>HYPERLINK("https%3A%2F%2Fwww.webofscience.com%2Fwos%2Fwoscc%2Ffull-record%2FWOS:000983269600014","View Full Record in Web of Science")</f>
        <v>View Full Record in Web of Science</v>
      </c>
      <c r="BU29" s="3"/>
      <c r="BV29" s="3"/>
      <c r="BW29" s="1"/>
    </row>
    <row r="30" spans="1:75" x14ac:dyDescent="0.25">
      <c r="A30" s="4" t="s">
        <v>72</v>
      </c>
      <c r="B30" s="4" t="s">
        <v>750</v>
      </c>
      <c r="C30" s="4" t="s">
        <v>74</v>
      </c>
      <c r="D30" s="4" t="s">
        <v>74</v>
      </c>
      <c r="E30" s="4" t="s">
        <v>74</v>
      </c>
      <c r="F30" s="4" t="s">
        <v>751</v>
      </c>
      <c r="G30" s="4" t="s">
        <v>74</v>
      </c>
      <c r="H30" s="4" t="s">
        <v>74</v>
      </c>
      <c r="I30" s="4" t="s">
        <v>752</v>
      </c>
      <c r="J30" s="4" t="s">
        <v>270</v>
      </c>
      <c r="K30" s="4" t="s">
        <v>74</v>
      </c>
      <c r="L30" s="4" t="s">
        <v>74</v>
      </c>
      <c r="M30" s="4" t="s">
        <v>110</v>
      </c>
      <c r="N30" s="4" t="s">
        <v>79</v>
      </c>
      <c r="O30" s="4" t="s">
        <v>74</v>
      </c>
      <c r="P30" s="4" t="s">
        <v>74</v>
      </c>
      <c r="Q30" s="4" t="s">
        <v>74</v>
      </c>
      <c r="R30" s="4" t="s">
        <v>74</v>
      </c>
      <c r="S30" s="4" t="s">
        <v>74</v>
      </c>
      <c r="T30" s="4" t="s">
        <v>753</v>
      </c>
      <c r="U30" s="4" t="s">
        <v>754</v>
      </c>
      <c r="V30" s="4" t="s">
        <v>755</v>
      </c>
      <c r="W30" s="4" t="s">
        <v>756</v>
      </c>
      <c r="X30" s="4" t="s">
        <v>757</v>
      </c>
      <c r="Y30" s="4" t="s">
        <v>758</v>
      </c>
      <c r="Z30" s="4" t="s">
        <v>759</v>
      </c>
      <c r="AA30" s="4" t="s">
        <v>760</v>
      </c>
      <c r="AB30" s="4" t="s">
        <v>761</v>
      </c>
      <c r="AC30" s="4" t="s">
        <v>74</v>
      </c>
      <c r="AD30" s="4" t="s">
        <v>74</v>
      </c>
      <c r="AE30" s="4" t="s">
        <v>74</v>
      </c>
      <c r="AF30" s="4" t="s">
        <v>74</v>
      </c>
      <c r="AG30" s="4">
        <v>43</v>
      </c>
      <c r="AH30" s="4">
        <v>36</v>
      </c>
      <c r="AI30" s="4">
        <v>42</v>
      </c>
      <c r="AJ30" s="4">
        <v>2</v>
      </c>
      <c r="AK30" s="4">
        <v>58</v>
      </c>
      <c r="AL30" s="4" t="s">
        <v>145</v>
      </c>
      <c r="AM30" s="4" t="s">
        <v>146</v>
      </c>
      <c r="AN30" s="4" t="s">
        <v>279</v>
      </c>
      <c r="AO30" s="4" t="s">
        <v>74</v>
      </c>
      <c r="AP30" s="4" t="s">
        <v>280</v>
      </c>
      <c r="AQ30" s="4" t="s">
        <v>74</v>
      </c>
      <c r="AR30" s="4" t="s">
        <v>281</v>
      </c>
      <c r="AS30" s="4" t="s">
        <v>282</v>
      </c>
      <c r="AT30" s="4" t="s">
        <v>333</v>
      </c>
      <c r="AU30" s="4">
        <v>2020</v>
      </c>
      <c r="AV30" s="4">
        <v>3</v>
      </c>
      <c r="AW30" s="4">
        <v>3</v>
      </c>
      <c r="AX30" s="4" t="s">
        <v>74</v>
      </c>
      <c r="AY30" s="4" t="s">
        <v>74</v>
      </c>
      <c r="AZ30" s="4" t="s">
        <v>74</v>
      </c>
      <c r="BA30" s="4" t="s">
        <v>74</v>
      </c>
      <c r="BB30" s="4">
        <v>585</v>
      </c>
      <c r="BC30" s="4">
        <v>603</v>
      </c>
      <c r="BD30" s="4" t="s">
        <v>74</v>
      </c>
      <c r="BE30" s="4" t="s">
        <v>762</v>
      </c>
      <c r="BF30" s="4" t="str">
        <f>HYPERLINK("http://dx.doi.org/10.3390/smartcities3030031","http://dx.doi.org/10.3390/smartcities3030031")</f>
        <v>http://dx.doi.org/10.3390/smartcities3030031</v>
      </c>
      <c r="BG30" s="4" t="s">
        <v>74</v>
      </c>
      <c r="BH30" s="4" t="s">
        <v>74</v>
      </c>
      <c r="BI30" s="4">
        <v>19</v>
      </c>
      <c r="BJ30" s="4" t="s">
        <v>285</v>
      </c>
      <c r="BK30" s="4" t="s">
        <v>97</v>
      </c>
      <c r="BL30" s="4" t="s">
        <v>286</v>
      </c>
      <c r="BM30" s="4" t="s">
        <v>763</v>
      </c>
      <c r="BN30" s="4" t="s">
        <v>74</v>
      </c>
      <c r="BO30" s="4" t="s">
        <v>133</v>
      </c>
      <c r="BP30" s="4" t="s">
        <v>74</v>
      </c>
      <c r="BQ30" s="4" t="s">
        <v>74</v>
      </c>
      <c r="BR30" s="4" t="s">
        <v>101</v>
      </c>
      <c r="BS30" s="4" t="s">
        <v>764</v>
      </c>
      <c r="BT30" s="4" t="str">
        <f>HYPERLINK("https%3A%2F%2Fwww.webofscience.com%2Fwos%2Fwoscc%2Ffull-record%2FWOS:000682786300003","View Full Record in Web of Science")</f>
        <v>View Full Record in Web of Science</v>
      </c>
      <c r="BU30" s="4"/>
      <c r="BV30" s="4"/>
      <c r="BW30" s="5"/>
    </row>
    <row r="31" spans="1:75" x14ac:dyDescent="0.25">
      <c r="A31" s="3" t="s">
        <v>103</v>
      </c>
      <c r="B31" s="3" t="s">
        <v>765</v>
      </c>
      <c r="C31" s="3" t="s">
        <v>74</v>
      </c>
      <c r="D31" s="3" t="s">
        <v>766</v>
      </c>
      <c r="E31" s="3" t="s">
        <v>74</v>
      </c>
      <c r="F31" s="3" t="s">
        <v>767</v>
      </c>
      <c r="G31" s="3" t="s">
        <v>74</v>
      </c>
      <c r="H31" s="3" t="s">
        <v>74</v>
      </c>
      <c r="I31" s="3" t="s">
        <v>768</v>
      </c>
      <c r="J31" s="3" t="s">
        <v>769</v>
      </c>
      <c r="K31" s="3" t="s">
        <v>770</v>
      </c>
      <c r="L31" s="3" t="s">
        <v>74</v>
      </c>
      <c r="M31" s="3" t="s">
        <v>110</v>
      </c>
      <c r="N31" s="3" t="s">
        <v>111</v>
      </c>
      <c r="O31" s="3" t="s">
        <v>771</v>
      </c>
      <c r="P31" s="3" t="s">
        <v>772</v>
      </c>
      <c r="Q31" s="3" t="s">
        <v>773</v>
      </c>
      <c r="R31" s="3" t="s">
        <v>74</v>
      </c>
      <c r="S31" s="3" t="s">
        <v>74</v>
      </c>
      <c r="T31" s="3" t="s">
        <v>774</v>
      </c>
      <c r="U31" s="3" t="s">
        <v>775</v>
      </c>
      <c r="V31" s="3" t="s">
        <v>776</v>
      </c>
      <c r="W31" s="3" t="s">
        <v>777</v>
      </c>
      <c r="X31" s="3" t="s">
        <v>778</v>
      </c>
      <c r="Y31" s="3" t="s">
        <v>779</v>
      </c>
      <c r="Z31" s="3" t="s">
        <v>780</v>
      </c>
      <c r="AA31" s="3" t="s">
        <v>781</v>
      </c>
      <c r="AB31" s="3" t="s">
        <v>782</v>
      </c>
      <c r="AC31" s="3" t="s">
        <v>74</v>
      </c>
      <c r="AD31" s="3" t="s">
        <v>74</v>
      </c>
      <c r="AE31" s="3" t="s">
        <v>74</v>
      </c>
      <c r="AF31" s="3" t="s">
        <v>74</v>
      </c>
      <c r="AG31" s="3">
        <v>25</v>
      </c>
      <c r="AH31" s="3">
        <v>0</v>
      </c>
      <c r="AI31" s="3">
        <v>0</v>
      </c>
      <c r="AJ31" s="3">
        <v>0</v>
      </c>
      <c r="AK31" s="3">
        <v>1</v>
      </c>
      <c r="AL31" s="3" t="s">
        <v>374</v>
      </c>
      <c r="AM31" s="3" t="s">
        <v>375</v>
      </c>
      <c r="AN31" s="3" t="s">
        <v>376</v>
      </c>
      <c r="AO31" s="3" t="s">
        <v>783</v>
      </c>
      <c r="AP31" s="3" t="s">
        <v>784</v>
      </c>
      <c r="AQ31" s="3" t="s">
        <v>785</v>
      </c>
      <c r="AR31" s="3" t="s">
        <v>786</v>
      </c>
      <c r="AS31" s="3" t="s">
        <v>74</v>
      </c>
      <c r="AT31" s="3" t="s">
        <v>74</v>
      </c>
      <c r="AU31" s="3">
        <v>2023</v>
      </c>
      <c r="AV31" s="3" t="s">
        <v>74</v>
      </c>
      <c r="AW31" s="3" t="s">
        <v>74</v>
      </c>
      <c r="AX31" s="3" t="s">
        <v>74</v>
      </c>
      <c r="AY31" s="3" t="s">
        <v>74</v>
      </c>
      <c r="AZ31" s="3" t="s">
        <v>74</v>
      </c>
      <c r="BA31" s="3" t="s">
        <v>74</v>
      </c>
      <c r="BB31" s="3">
        <v>1266</v>
      </c>
      <c r="BC31" s="3">
        <v>1277</v>
      </c>
      <c r="BD31" s="3" t="s">
        <v>74</v>
      </c>
      <c r="BE31" s="3" t="s">
        <v>787</v>
      </c>
      <c r="BF31" s="3" t="str">
        <f>HYPERLINK("http://dx.doi.org/10.1007/978-3-031-23721-8_102","http://dx.doi.org/10.1007/978-3-031-23721-8_102")</f>
        <v>http://dx.doi.org/10.1007/978-3-031-23721-8_102</v>
      </c>
      <c r="BG31" s="3" t="s">
        <v>74</v>
      </c>
      <c r="BH31" s="3" t="s">
        <v>74</v>
      </c>
      <c r="BI31" s="3">
        <v>12</v>
      </c>
      <c r="BJ31" s="3" t="s">
        <v>788</v>
      </c>
      <c r="BK31" s="3" t="s">
        <v>208</v>
      </c>
      <c r="BL31" s="3" t="s">
        <v>789</v>
      </c>
      <c r="BM31" s="3" t="s">
        <v>790</v>
      </c>
      <c r="BN31" s="3" t="s">
        <v>74</v>
      </c>
      <c r="BO31" s="3" t="s">
        <v>74</v>
      </c>
      <c r="BP31" s="3" t="s">
        <v>74</v>
      </c>
      <c r="BQ31" s="3" t="s">
        <v>74</v>
      </c>
      <c r="BR31" s="3" t="s">
        <v>101</v>
      </c>
      <c r="BS31" s="3" t="s">
        <v>791</v>
      </c>
      <c r="BT31" s="3" t="str">
        <f>HYPERLINK("https%3A%2F%2Fwww.webofscience.com%2Fwos%2Fwoscc%2Ffull-record%2FWOS:001000789400102","View Full Record in Web of Science")</f>
        <v>View Full Record in Web of Science</v>
      </c>
      <c r="BU31" s="3"/>
      <c r="BV31" s="3"/>
      <c r="BW31" s="1"/>
    </row>
    <row r="32" spans="1:75" x14ac:dyDescent="0.25">
      <c r="A32" s="3" t="s">
        <v>72</v>
      </c>
      <c r="B32" s="3" t="s">
        <v>792</v>
      </c>
      <c r="C32" s="3" t="s">
        <v>74</v>
      </c>
      <c r="D32" s="3" t="s">
        <v>74</v>
      </c>
      <c r="E32" s="3" t="s">
        <v>74</v>
      </c>
      <c r="F32" s="3" t="s">
        <v>793</v>
      </c>
      <c r="G32" s="3" t="s">
        <v>74</v>
      </c>
      <c r="H32" s="3" t="s">
        <v>74</v>
      </c>
      <c r="I32" s="3" t="s">
        <v>794</v>
      </c>
      <c r="J32" s="3" t="s">
        <v>138</v>
      </c>
      <c r="K32" s="3" t="s">
        <v>74</v>
      </c>
      <c r="L32" s="3" t="s">
        <v>74</v>
      </c>
      <c r="M32" s="3" t="s">
        <v>110</v>
      </c>
      <c r="N32" s="3" t="s">
        <v>216</v>
      </c>
      <c r="O32" s="3" t="s">
        <v>74</v>
      </c>
      <c r="P32" s="3" t="s">
        <v>74</v>
      </c>
      <c r="Q32" s="3" t="s">
        <v>74</v>
      </c>
      <c r="R32" s="3" t="s">
        <v>74</v>
      </c>
      <c r="S32" s="3" t="s">
        <v>74</v>
      </c>
      <c r="T32" s="3" t="s">
        <v>795</v>
      </c>
      <c r="U32" s="3" t="s">
        <v>796</v>
      </c>
      <c r="V32" s="3" t="s">
        <v>797</v>
      </c>
      <c r="W32" s="3" t="s">
        <v>798</v>
      </c>
      <c r="X32" s="3" t="s">
        <v>799</v>
      </c>
      <c r="Y32" s="3" t="s">
        <v>800</v>
      </c>
      <c r="Z32" s="3" t="s">
        <v>801</v>
      </c>
      <c r="AA32" s="3" t="s">
        <v>802</v>
      </c>
      <c r="AB32" s="3" t="s">
        <v>803</v>
      </c>
      <c r="AC32" s="3" t="s">
        <v>804</v>
      </c>
      <c r="AD32" s="3" t="s">
        <v>805</v>
      </c>
      <c r="AE32" s="3" t="s">
        <v>806</v>
      </c>
      <c r="AF32" s="3" t="s">
        <v>74</v>
      </c>
      <c r="AG32" s="3">
        <v>137</v>
      </c>
      <c r="AH32" s="3">
        <v>1</v>
      </c>
      <c r="AI32" s="3">
        <v>1</v>
      </c>
      <c r="AJ32" s="3">
        <v>6</v>
      </c>
      <c r="AK32" s="3">
        <v>13</v>
      </c>
      <c r="AL32" s="3" t="s">
        <v>145</v>
      </c>
      <c r="AM32" s="3" t="s">
        <v>146</v>
      </c>
      <c r="AN32" s="3" t="s">
        <v>147</v>
      </c>
      <c r="AO32" s="3" t="s">
        <v>74</v>
      </c>
      <c r="AP32" s="3" t="s">
        <v>148</v>
      </c>
      <c r="AQ32" s="3" t="s">
        <v>74</v>
      </c>
      <c r="AR32" s="3" t="s">
        <v>149</v>
      </c>
      <c r="AS32" s="3" t="s">
        <v>150</v>
      </c>
      <c r="AT32" s="3" t="s">
        <v>807</v>
      </c>
      <c r="AU32" s="3">
        <v>2025</v>
      </c>
      <c r="AV32" s="3">
        <v>17</v>
      </c>
      <c r="AW32" s="3">
        <v>3</v>
      </c>
      <c r="AX32" s="3" t="s">
        <v>74</v>
      </c>
      <c r="AY32" s="3" t="s">
        <v>74</v>
      </c>
      <c r="AZ32" s="3" t="s">
        <v>74</v>
      </c>
      <c r="BA32" s="3" t="s">
        <v>74</v>
      </c>
      <c r="BB32" s="3" t="s">
        <v>74</v>
      </c>
      <c r="BC32" s="3" t="s">
        <v>74</v>
      </c>
      <c r="BD32" s="3">
        <v>1015</v>
      </c>
      <c r="BE32" s="3" t="s">
        <v>808</v>
      </c>
      <c r="BF32" s="3" t="str">
        <f>HYPERLINK("http://dx.doi.org/10.3390/su17031015","http://dx.doi.org/10.3390/su17031015")</f>
        <v>http://dx.doi.org/10.3390/su17031015</v>
      </c>
      <c r="BG32" s="3" t="s">
        <v>74</v>
      </c>
      <c r="BH32" s="3" t="s">
        <v>74</v>
      </c>
      <c r="BI32" s="3">
        <v>26</v>
      </c>
      <c r="BJ32" s="3" t="s">
        <v>153</v>
      </c>
      <c r="BK32" s="3" t="s">
        <v>154</v>
      </c>
      <c r="BL32" s="3" t="s">
        <v>155</v>
      </c>
      <c r="BM32" s="3" t="s">
        <v>809</v>
      </c>
      <c r="BN32" s="3" t="s">
        <v>74</v>
      </c>
      <c r="BO32" s="3" t="s">
        <v>100</v>
      </c>
      <c r="BP32" s="3" t="s">
        <v>74</v>
      </c>
      <c r="BQ32" s="3" t="s">
        <v>74</v>
      </c>
      <c r="BR32" s="3" t="s">
        <v>101</v>
      </c>
      <c r="BS32" s="3" t="s">
        <v>810</v>
      </c>
      <c r="BT32" s="3" t="str">
        <f>HYPERLINK("https%3A%2F%2Fwww.webofscience.com%2Fwos%2Fwoscc%2Ffull-record%2FWOS:001419365300001","View Full Record in Web of Science")</f>
        <v>View Full Record in Web of Science</v>
      </c>
      <c r="BU32" s="3"/>
      <c r="BV32" s="3"/>
      <c r="BW32" s="1"/>
    </row>
    <row r="33" spans="1:75" x14ac:dyDescent="0.25">
      <c r="A33" s="3" t="s">
        <v>103</v>
      </c>
      <c r="B33" s="3" t="s">
        <v>811</v>
      </c>
      <c r="C33" s="3" t="s">
        <v>74</v>
      </c>
      <c r="D33" s="3" t="s">
        <v>812</v>
      </c>
      <c r="E33" s="3" t="s">
        <v>74</v>
      </c>
      <c r="F33" s="3" t="s">
        <v>813</v>
      </c>
      <c r="G33" s="3" t="s">
        <v>74</v>
      </c>
      <c r="H33" s="3" t="s">
        <v>74</v>
      </c>
      <c r="I33" s="3" t="s">
        <v>814</v>
      </c>
      <c r="J33" s="3" t="s">
        <v>815</v>
      </c>
      <c r="K33" s="3" t="s">
        <v>187</v>
      </c>
      <c r="L33" s="3" t="s">
        <v>74</v>
      </c>
      <c r="M33" s="3" t="s">
        <v>110</v>
      </c>
      <c r="N33" s="3" t="s">
        <v>111</v>
      </c>
      <c r="O33" s="3" t="s">
        <v>816</v>
      </c>
      <c r="P33" s="3" t="s">
        <v>817</v>
      </c>
      <c r="Q33" s="3" t="s">
        <v>818</v>
      </c>
      <c r="R33" s="3" t="s">
        <v>74</v>
      </c>
      <c r="S33" s="3" t="s">
        <v>74</v>
      </c>
      <c r="T33" s="3" t="s">
        <v>819</v>
      </c>
      <c r="U33" s="3" t="s">
        <v>820</v>
      </c>
      <c r="V33" s="3" t="s">
        <v>821</v>
      </c>
      <c r="W33" s="3" t="s">
        <v>822</v>
      </c>
      <c r="X33" s="3" t="s">
        <v>823</v>
      </c>
      <c r="Y33" s="3" t="s">
        <v>824</v>
      </c>
      <c r="Z33" s="3" t="s">
        <v>825</v>
      </c>
      <c r="AA33" s="3" t="s">
        <v>74</v>
      </c>
      <c r="AB33" s="3" t="s">
        <v>74</v>
      </c>
      <c r="AC33" s="3" t="s">
        <v>74</v>
      </c>
      <c r="AD33" s="3" t="s">
        <v>74</v>
      </c>
      <c r="AE33" s="3" t="s">
        <v>74</v>
      </c>
      <c r="AF33" s="3" t="s">
        <v>74</v>
      </c>
      <c r="AG33" s="3">
        <v>23</v>
      </c>
      <c r="AH33" s="3">
        <v>0</v>
      </c>
      <c r="AI33" s="3">
        <v>0</v>
      </c>
      <c r="AJ33" s="3">
        <v>0</v>
      </c>
      <c r="AK33" s="3">
        <v>0</v>
      </c>
      <c r="AL33" s="3" t="s">
        <v>199</v>
      </c>
      <c r="AM33" s="3" t="s">
        <v>200</v>
      </c>
      <c r="AN33" s="3" t="s">
        <v>201</v>
      </c>
      <c r="AO33" s="3" t="s">
        <v>202</v>
      </c>
      <c r="AP33" s="3" t="s">
        <v>203</v>
      </c>
      <c r="AQ33" s="3" t="s">
        <v>826</v>
      </c>
      <c r="AR33" s="3" t="s">
        <v>205</v>
      </c>
      <c r="AS33" s="3" t="s">
        <v>74</v>
      </c>
      <c r="AT33" s="3" t="s">
        <v>74</v>
      </c>
      <c r="AU33" s="3">
        <v>2025</v>
      </c>
      <c r="AV33" s="3" t="s">
        <v>74</v>
      </c>
      <c r="AW33" s="3" t="s">
        <v>74</v>
      </c>
      <c r="AX33" s="3" t="s">
        <v>74</v>
      </c>
      <c r="AY33" s="3" t="s">
        <v>74</v>
      </c>
      <c r="AZ33" s="3" t="s">
        <v>74</v>
      </c>
      <c r="BA33" s="3" t="s">
        <v>74</v>
      </c>
      <c r="BB33" s="3">
        <v>609</v>
      </c>
      <c r="BC33" s="3">
        <v>614</v>
      </c>
      <c r="BD33" s="3" t="s">
        <v>74</v>
      </c>
      <c r="BE33" s="3" t="s">
        <v>827</v>
      </c>
      <c r="BF33" s="3" t="str">
        <f>HYPERLINK("http://dx.doi.org/10.1109/LOGISTIQUA66323.2025.11122774","http://dx.doi.org/10.1109/LOGISTIQUA66323.2025.11122774")</f>
        <v>http://dx.doi.org/10.1109/LOGISTIQUA66323.2025.11122774</v>
      </c>
      <c r="BG33" s="3" t="s">
        <v>74</v>
      </c>
      <c r="BH33" s="3" t="s">
        <v>74</v>
      </c>
      <c r="BI33" s="3">
        <v>6</v>
      </c>
      <c r="BJ33" s="3" t="s">
        <v>828</v>
      </c>
      <c r="BK33" s="3" t="s">
        <v>130</v>
      </c>
      <c r="BL33" s="3" t="s">
        <v>829</v>
      </c>
      <c r="BM33" s="3" t="s">
        <v>830</v>
      </c>
      <c r="BN33" s="3" t="s">
        <v>74</v>
      </c>
      <c r="BO33" s="3" t="s">
        <v>74</v>
      </c>
      <c r="BP33" s="3" t="s">
        <v>74</v>
      </c>
      <c r="BQ33" s="3" t="s">
        <v>74</v>
      </c>
      <c r="BR33" s="3" t="s">
        <v>101</v>
      </c>
      <c r="BS33" s="3" t="s">
        <v>831</v>
      </c>
      <c r="BT33" s="3" t="str">
        <f>HYPERLINK("https%3A%2F%2Fwww.webofscience.com%2Fwos%2Fwoscc%2Ffull-record%2FWOS:001586065100079","View Full Record in Web of Science")</f>
        <v>View Full Record in Web of Science</v>
      </c>
      <c r="BU33" s="3"/>
      <c r="BV33" s="3"/>
      <c r="BW33" s="1"/>
    </row>
    <row r="34" spans="1:75" x14ac:dyDescent="0.25">
      <c r="A34" s="3" t="s">
        <v>72</v>
      </c>
      <c r="B34" s="3" t="s">
        <v>832</v>
      </c>
      <c r="C34" s="3" t="s">
        <v>74</v>
      </c>
      <c r="D34" s="3" t="s">
        <v>74</v>
      </c>
      <c r="E34" s="3" t="s">
        <v>74</v>
      </c>
      <c r="F34" s="3" t="s">
        <v>833</v>
      </c>
      <c r="G34" s="3" t="s">
        <v>74</v>
      </c>
      <c r="H34" s="3" t="s">
        <v>74</v>
      </c>
      <c r="I34" s="3" t="s">
        <v>834</v>
      </c>
      <c r="J34" s="3" t="s">
        <v>835</v>
      </c>
      <c r="K34" s="3" t="s">
        <v>74</v>
      </c>
      <c r="L34" s="3" t="s">
        <v>74</v>
      </c>
      <c r="M34" s="3" t="s">
        <v>110</v>
      </c>
      <c r="N34" s="3" t="s">
        <v>79</v>
      </c>
      <c r="O34" s="3" t="s">
        <v>74</v>
      </c>
      <c r="P34" s="3" t="s">
        <v>74</v>
      </c>
      <c r="Q34" s="3" t="s">
        <v>74</v>
      </c>
      <c r="R34" s="3" t="s">
        <v>74</v>
      </c>
      <c r="S34" s="3" t="s">
        <v>74</v>
      </c>
      <c r="T34" s="3" t="s">
        <v>836</v>
      </c>
      <c r="U34" s="3" t="s">
        <v>837</v>
      </c>
      <c r="V34" s="3" t="s">
        <v>838</v>
      </c>
      <c r="W34" s="3" t="s">
        <v>839</v>
      </c>
      <c r="X34" s="3" t="s">
        <v>840</v>
      </c>
      <c r="Y34" s="3" t="s">
        <v>841</v>
      </c>
      <c r="Z34" s="3" t="s">
        <v>842</v>
      </c>
      <c r="AA34" s="3" t="s">
        <v>74</v>
      </c>
      <c r="AB34" s="3" t="s">
        <v>74</v>
      </c>
      <c r="AC34" s="3" t="s">
        <v>843</v>
      </c>
      <c r="AD34" s="3" t="s">
        <v>844</v>
      </c>
      <c r="AE34" s="3" t="s">
        <v>845</v>
      </c>
      <c r="AF34" s="3" t="s">
        <v>74</v>
      </c>
      <c r="AG34" s="3">
        <v>25</v>
      </c>
      <c r="AH34" s="3">
        <v>3</v>
      </c>
      <c r="AI34" s="3">
        <v>3</v>
      </c>
      <c r="AJ34" s="3">
        <v>9</v>
      </c>
      <c r="AK34" s="3">
        <v>13</v>
      </c>
      <c r="AL34" s="3" t="s">
        <v>846</v>
      </c>
      <c r="AM34" s="3" t="s">
        <v>847</v>
      </c>
      <c r="AN34" s="3" t="s">
        <v>848</v>
      </c>
      <c r="AO34" s="3" t="s">
        <v>849</v>
      </c>
      <c r="AP34" s="3" t="s">
        <v>74</v>
      </c>
      <c r="AQ34" s="3" t="s">
        <v>74</v>
      </c>
      <c r="AR34" s="3" t="s">
        <v>835</v>
      </c>
      <c r="AS34" s="3" t="s">
        <v>850</v>
      </c>
      <c r="AT34" s="3" t="s">
        <v>74</v>
      </c>
      <c r="AU34" s="3">
        <v>2025</v>
      </c>
      <c r="AV34" s="3">
        <v>13</v>
      </c>
      <c r="AW34" s="3" t="s">
        <v>74</v>
      </c>
      <c r="AX34" s="3" t="s">
        <v>74</v>
      </c>
      <c r="AY34" s="3" t="s">
        <v>74</v>
      </c>
      <c r="AZ34" s="3" t="s">
        <v>74</v>
      </c>
      <c r="BA34" s="3" t="s">
        <v>74</v>
      </c>
      <c r="BB34" s="3">
        <v>52369</v>
      </c>
      <c r="BC34" s="3">
        <v>52384</v>
      </c>
      <c r="BD34" s="3" t="s">
        <v>74</v>
      </c>
      <c r="BE34" s="3" t="s">
        <v>851</v>
      </c>
      <c r="BF34" s="3" t="str">
        <f>HYPERLINK("http://dx.doi.org/10.1109/ACCESS.2025.3552276","http://dx.doi.org/10.1109/ACCESS.2025.3552276")</f>
        <v>http://dx.doi.org/10.1109/ACCESS.2025.3552276</v>
      </c>
      <c r="BG34" s="3" t="s">
        <v>74</v>
      </c>
      <c r="BH34" s="3" t="s">
        <v>74</v>
      </c>
      <c r="BI34" s="3">
        <v>16</v>
      </c>
      <c r="BJ34" s="3" t="s">
        <v>852</v>
      </c>
      <c r="BK34" s="3" t="s">
        <v>179</v>
      </c>
      <c r="BL34" s="3" t="s">
        <v>853</v>
      </c>
      <c r="BM34" s="3" t="s">
        <v>854</v>
      </c>
      <c r="BN34" s="3" t="s">
        <v>74</v>
      </c>
      <c r="BO34" s="3" t="s">
        <v>100</v>
      </c>
      <c r="BP34" s="3" t="s">
        <v>74</v>
      </c>
      <c r="BQ34" s="3" t="s">
        <v>74</v>
      </c>
      <c r="BR34" s="3" t="s">
        <v>101</v>
      </c>
      <c r="BS34" s="3" t="s">
        <v>855</v>
      </c>
      <c r="BT34" s="3" t="str">
        <f>HYPERLINK("https%3A%2F%2Fwww.webofscience.com%2Fwos%2Fwoscc%2Ffull-record%2FWOS:001455585800032","View Full Record in Web of Science")</f>
        <v>View Full Record in Web of Science</v>
      </c>
      <c r="BU34" s="3"/>
      <c r="BV34" s="3"/>
      <c r="BW34" s="1"/>
    </row>
    <row r="35" spans="1:75" x14ac:dyDescent="0.25">
      <c r="A35" s="4" t="s">
        <v>72</v>
      </c>
      <c r="B35" s="4" t="s">
        <v>856</v>
      </c>
      <c r="C35" s="4" t="s">
        <v>74</v>
      </c>
      <c r="D35" s="4" t="s">
        <v>74</v>
      </c>
      <c r="E35" s="4" t="s">
        <v>74</v>
      </c>
      <c r="F35" s="4" t="s">
        <v>857</v>
      </c>
      <c r="G35" s="4" t="s">
        <v>74</v>
      </c>
      <c r="H35" s="4" t="s">
        <v>74</v>
      </c>
      <c r="I35" s="4" t="s">
        <v>858</v>
      </c>
      <c r="J35" s="4" t="s">
        <v>859</v>
      </c>
      <c r="K35" s="4" t="s">
        <v>74</v>
      </c>
      <c r="L35" s="4" t="s">
        <v>74</v>
      </c>
      <c r="M35" s="4" t="s">
        <v>110</v>
      </c>
      <c r="N35" s="4" t="s">
        <v>79</v>
      </c>
      <c r="O35" s="4" t="s">
        <v>74</v>
      </c>
      <c r="P35" s="4" t="s">
        <v>74</v>
      </c>
      <c r="Q35" s="4" t="s">
        <v>74</v>
      </c>
      <c r="R35" s="4" t="s">
        <v>74</v>
      </c>
      <c r="S35" s="4" t="s">
        <v>74</v>
      </c>
      <c r="T35" s="4" t="s">
        <v>860</v>
      </c>
      <c r="U35" s="4" t="s">
        <v>861</v>
      </c>
      <c r="V35" s="4" t="s">
        <v>862</v>
      </c>
      <c r="W35" s="4" t="s">
        <v>863</v>
      </c>
      <c r="X35" s="4" t="s">
        <v>864</v>
      </c>
      <c r="Y35" s="4" t="s">
        <v>865</v>
      </c>
      <c r="Z35" s="4" t="s">
        <v>866</v>
      </c>
      <c r="AA35" s="4" t="s">
        <v>867</v>
      </c>
      <c r="AB35" s="4" t="s">
        <v>868</v>
      </c>
      <c r="AC35" s="4" t="s">
        <v>869</v>
      </c>
      <c r="AD35" s="4" t="s">
        <v>870</v>
      </c>
      <c r="AE35" s="4" t="s">
        <v>871</v>
      </c>
      <c r="AF35" s="4" t="s">
        <v>74</v>
      </c>
      <c r="AG35" s="4">
        <v>109</v>
      </c>
      <c r="AH35" s="4">
        <v>17</v>
      </c>
      <c r="AI35" s="4">
        <v>20</v>
      </c>
      <c r="AJ35" s="4">
        <v>5</v>
      </c>
      <c r="AK35" s="4">
        <v>43</v>
      </c>
      <c r="AL35" s="4" t="s">
        <v>872</v>
      </c>
      <c r="AM35" s="4" t="s">
        <v>873</v>
      </c>
      <c r="AN35" s="4" t="s">
        <v>874</v>
      </c>
      <c r="AO35" s="4" t="s">
        <v>875</v>
      </c>
      <c r="AP35" s="4" t="s">
        <v>876</v>
      </c>
      <c r="AQ35" s="4" t="s">
        <v>74</v>
      </c>
      <c r="AR35" s="4" t="s">
        <v>877</v>
      </c>
      <c r="AS35" s="4" t="s">
        <v>878</v>
      </c>
      <c r="AT35" s="4" t="s">
        <v>879</v>
      </c>
      <c r="AU35" s="4">
        <v>2024</v>
      </c>
      <c r="AV35" s="4">
        <v>27</v>
      </c>
      <c r="AW35" s="4">
        <v>6</v>
      </c>
      <c r="AX35" s="4" t="s">
        <v>74</v>
      </c>
      <c r="AY35" s="4" t="s">
        <v>74</v>
      </c>
      <c r="AZ35" s="4" t="s">
        <v>880</v>
      </c>
      <c r="BA35" s="4" t="s">
        <v>74</v>
      </c>
      <c r="BB35" s="4">
        <v>931</v>
      </c>
      <c r="BC35" s="4">
        <v>958</v>
      </c>
      <c r="BD35" s="4" t="s">
        <v>74</v>
      </c>
      <c r="BE35" s="4" t="s">
        <v>881</v>
      </c>
      <c r="BF35" s="4" t="str">
        <f>HYPERLINK("http://dx.doi.org/10.1080/13675567.2022.2130211","http://dx.doi.org/10.1080/13675567.2022.2130211")</f>
        <v>http://dx.doi.org/10.1080/13675567.2022.2130211</v>
      </c>
      <c r="BG35" s="4" t="s">
        <v>74</v>
      </c>
      <c r="BH35" s="4" t="s">
        <v>882</v>
      </c>
      <c r="BI35" s="4">
        <v>28</v>
      </c>
      <c r="BJ35" s="4" t="s">
        <v>96</v>
      </c>
      <c r="BK35" s="4" t="s">
        <v>264</v>
      </c>
      <c r="BL35" s="4" t="s">
        <v>98</v>
      </c>
      <c r="BM35" s="4" t="s">
        <v>883</v>
      </c>
      <c r="BN35" s="4" t="s">
        <v>74</v>
      </c>
      <c r="BO35" s="4" t="s">
        <v>884</v>
      </c>
      <c r="BP35" s="4" t="s">
        <v>74</v>
      </c>
      <c r="BQ35" s="4" t="s">
        <v>74</v>
      </c>
      <c r="BR35" s="4" t="s">
        <v>101</v>
      </c>
      <c r="BS35" s="4" t="s">
        <v>885</v>
      </c>
      <c r="BT35" s="4" t="str">
        <f>HYPERLINK("https%3A%2F%2Fwww.webofscience.com%2Fwos%2Fwoscc%2Ffull-record%2FWOS:000863368900001","View Full Record in Web of Science")</f>
        <v>View Full Record in Web of Science</v>
      </c>
      <c r="BU35" s="4"/>
      <c r="BV35" s="4"/>
      <c r="BW35" s="5"/>
    </row>
    <row r="36" spans="1:75" x14ac:dyDescent="0.25">
      <c r="A36" s="3" t="s">
        <v>72</v>
      </c>
      <c r="B36" s="3" t="s">
        <v>886</v>
      </c>
      <c r="C36" s="3" t="s">
        <v>74</v>
      </c>
      <c r="D36" s="3" t="s">
        <v>74</v>
      </c>
      <c r="E36" s="3" t="s">
        <v>74</v>
      </c>
      <c r="F36" s="3" t="s">
        <v>887</v>
      </c>
      <c r="G36" s="3" t="s">
        <v>74</v>
      </c>
      <c r="H36" s="3" t="s">
        <v>74</v>
      </c>
      <c r="I36" s="3" t="s">
        <v>888</v>
      </c>
      <c r="J36" s="3" t="s">
        <v>889</v>
      </c>
      <c r="K36" s="3" t="s">
        <v>74</v>
      </c>
      <c r="L36" s="3" t="s">
        <v>74</v>
      </c>
      <c r="M36" s="3" t="s">
        <v>110</v>
      </c>
      <c r="N36" s="3" t="s">
        <v>79</v>
      </c>
      <c r="O36" s="3" t="s">
        <v>74</v>
      </c>
      <c r="P36" s="3" t="s">
        <v>74</v>
      </c>
      <c r="Q36" s="3" t="s">
        <v>74</v>
      </c>
      <c r="R36" s="3" t="s">
        <v>74</v>
      </c>
      <c r="S36" s="3" t="s">
        <v>74</v>
      </c>
      <c r="T36" s="3" t="s">
        <v>890</v>
      </c>
      <c r="U36" s="3" t="s">
        <v>891</v>
      </c>
      <c r="V36" s="3" t="s">
        <v>892</v>
      </c>
      <c r="W36" s="3" t="s">
        <v>893</v>
      </c>
      <c r="X36" s="3" t="s">
        <v>894</v>
      </c>
      <c r="Y36" s="3" t="s">
        <v>895</v>
      </c>
      <c r="Z36" s="3" t="s">
        <v>896</v>
      </c>
      <c r="AA36" s="3" t="s">
        <v>74</v>
      </c>
      <c r="AB36" s="3" t="s">
        <v>74</v>
      </c>
      <c r="AC36" s="3" t="s">
        <v>74</v>
      </c>
      <c r="AD36" s="3" t="s">
        <v>74</v>
      </c>
      <c r="AE36" s="3" t="s">
        <v>74</v>
      </c>
      <c r="AF36" s="3" t="s">
        <v>74</v>
      </c>
      <c r="AG36" s="3">
        <v>38</v>
      </c>
      <c r="AH36" s="3">
        <v>0</v>
      </c>
      <c r="AI36" s="3">
        <v>0</v>
      </c>
      <c r="AJ36" s="3">
        <v>2</v>
      </c>
      <c r="AK36" s="3">
        <v>2</v>
      </c>
      <c r="AL36" s="3" t="s">
        <v>897</v>
      </c>
      <c r="AM36" s="3" t="s">
        <v>898</v>
      </c>
      <c r="AN36" s="3" t="s">
        <v>899</v>
      </c>
      <c r="AO36" s="3" t="s">
        <v>900</v>
      </c>
      <c r="AP36" s="3" t="s">
        <v>901</v>
      </c>
      <c r="AQ36" s="3" t="s">
        <v>74</v>
      </c>
      <c r="AR36" s="3" t="s">
        <v>902</v>
      </c>
      <c r="AS36" s="3" t="s">
        <v>903</v>
      </c>
      <c r="AT36" s="3" t="s">
        <v>74</v>
      </c>
      <c r="AU36" s="3">
        <v>2025</v>
      </c>
      <c r="AV36" s="3">
        <v>46</v>
      </c>
      <c r="AW36" s="3">
        <v>3</v>
      </c>
      <c r="AX36" s="3" t="s">
        <v>74</v>
      </c>
      <c r="AY36" s="3" t="s">
        <v>74</v>
      </c>
      <c r="AZ36" s="3" t="s">
        <v>74</v>
      </c>
      <c r="BA36" s="3" t="s">
        <v>74</v>
      </c>
      <c r="BB36" s="3">
        <v>657</v>
      </c>
      <c r="BC36" s="3">
        <v>668</v>
      </c>
      <c r="BD36" s="3" t="s">
        <v>74</v>
      </c>
      <c r="BE36" s="3" t="s">
        <v>904</v>
      </c>
      <c r="BF36" s="3" t="str">
        <f>HYPERLINK("http://dx.doi.org/10.47974/JIOS-1678","http://dx.doi.org/10.47974/JIOS-1678")</f>
        <v>http://dx.doi.org/10.47974/JIOS-1678</v>
      </c>
      <c r="BG36" s="3" t="s">
        <v>74</v>
      </c>
      <c r="BH36" s="3" t="s">
        <v>74</v>
      </c>
      <c r="BI36" s="3">
        <v>12</v>
      </c>
      <c r="BJ36" s="3" t="s">
        <v>905</v>
      </c>
      <c r="BK36" s="3" t="s">
        <v>97</v>
      </c>
      <c r="BL36" s="3" t="s">
        <v>905</v>
      </c>
      <c r="BM36" s="3" t="s">
        <v>906</v>
      </c>
      <c r="BN36" s="3" t="s">
        <v>74</v>
      </c>
      <c r="BO36" s="3" t="s">
        <v>74</v>
      </c>
      <c r="BP36" s="3" t="s">
        <v>74</v>
      </c>
      <c r="BQ36" s="3" t="s">
        <v>74</v>
      </c>
      <c r="BR36" s="3" t="s">
        <v>101</v>
      </c>
      <c r="BS36" s="3" t="s">
        <v>907</v>
      </c>
      <c r="BT36" s="3" t="str">
        <f>HYPERLINK("https%3A%2F%2Fwww.webofscience.com%2Fwos%2Fwoscc%2Ffull-record%2FWOS:001484246200006","View Full Record in Web of Science")</f>
        <v>View Full Record in Web of Science</v>
      </c>
      <c r="BU36" s="3"/>
      <c r="BV36" s="3"/>
      <c r="BW36" s="1"/>
    </row>
    <row r="37" spans="1:75" x14ac:dyDescent="0.25">
      <c r="A37" s="3" t="s">
        <v>103</v>
      </c>
      <c r="B37" s="3" t="s">
        <v>908</v>
      </c>
      <c r="C37" s="3" t="s">
        <v>74</v>
      </c>
      <c r="D37" s="3" t="s">
        <v>74</v>
      </c>
      <c r="E37" s="3" t="s">
        <v>199</v>
      </c>
      <c r="F37" s="3" t="s">
        <v>909</v>
      </c>
      <c r="G37" s="3" t="s">
        <v>74</v>
      </c>
      <c r="H37" s="3" t="s">
        <v>74</v>
      </c>
      <c r="I37" s="3" t="s">
        <v>910</v>
      </c>
      <c r="J37" s="3" t="s">
        <v>911</v>
      </c>
      <c r="K37" s="3" t="s">
        <v>912</v>
      </c>
      <c r="L37" s="3" t="s">
        <v>74</v>
      </c>
      <c r="M37" s="3" t="s">
        <v>110</v>
      </c>
      <c r="N37" s="3" t="s">
        <v>111</v>
      </c>
      <c r="O37" s="3" t="s">
        <v>913</v>
      </c>
      <c r="P37" s="3" t="s">
        <v>914</v>
      </c>
      <c r="Q37" s="3" t="s">
        <v>915</v>
      </c>
      <c r="R37" s="3" t="s">
        <v>74</v>
      </c>
      <c r="S37" s="3" t="s">
        <v>74</v>
      </c>
      <c r="T37" s="3" t="s">
        <v>916</v>
      </c>
      <c r="U37" s="3" t="s">
        <v>74</v>
      </c>
      <c r="V37" s="3" t="s">
        <v>917</v>
      </c>
      <c r="W37" s="3" t="s">
        <v>918</v>
      </c>
      <c r="X37" s="3" t="s">
        <v>919</v>
      </c>
      <c r="Y37" s="3" t="s">
        <v>920</v>
      </c>
      <c r="Z37" s="3" t="s">
        <v>74</v>
      </c>
      <c r="AA37" s="3" t="s">
        <v>921</v>
      </c>
      <c r="AB37" s="3" t="s">
        <v>922</v>
      </c>
      <c r="AC37" s="3" t="s">
        <v>923</v>
      </c>
      <c r="AD37" s="3" t="s">
        <v>924</v>
      </c>
      <c r="AE37" s="3" t="s">
        <v>925</v>
      </c>
      <c r="AF37" s="3" t="s">
        <v>74</v>
      </c>
      <c r="AG37" s="3">
        <v>31</v>
      </c>
      <c r="AH37" s="3">
        <v>0</v>
      </c>
      <c r="AI37" s="3">
        <v>0</v>
      </c>
      <c r="AJ37" s="3">
        <v>2</v>
      </c>
      <c r="AK37" s="3">
        <v>2</v>
      </c>
      <c r="AL37" s="3" t="s">
        <v>199</v>
      </c>
      <c r="AM37" s="3" t="s">
        <v>200</v>
      </c>
      <c r="AN37" s="3" t="s">
        <v>201</v>
      </c>
      <c r="AO37" s="3" t="s">
        <v>926</v>
      </c>
      <c r="AP37" s="3" t="s">
        <v>74</v>
      </c>
      <c r="AQ37" s="3" t="s">
        <v>927</v>
      </c>
      <c r="AR37" s="3" t="s">
        <v>928</v>
      </c>
      <c r="AS37" s="3" t="s">
        <v>74</v>
      </c>
      <c r="AT37" s="3" t="s">
        <v>74</v>
      </c>
      <c r="AU37" s="3">
        <v>2025</v>
      </c>
      <c r="AV37" s="3" t="s">
        <v>74</v>
      </c>
      <c r="AW37" s="3" t="s">
        <v>74</v>
      </c>
      <c r="AX37" s="3" t="s">
        <v>74</v>
      </c>
      <c r="AY37" s="3" t="s">
        <v>74</v>
      </c>
      <c r="AZ37" s="3" t="s">
        <v>74</v>
      </c>
      <c r="BA37" s="3" t="s">
        <v>74</v>
      </c>
      <c r="BB37" s="3" t="s">
        <v>74</v>
      </c>
      <c r="BC37" s="3" t="s">
        <v>74</v>
      </c>
      <c r="BD37" s="3" t="s">
        <v>74</v>
      </c>
      <c r="BE37" s="3" t="s">
        <v>929</v>
      </c>
      <c r="BF37" s="3" t="str">
        <f>HYPERLINK("http://dx.doi.org/10.1109/ICNS65417.2025.10976747","http://dx.doi.org/10.1109/ICNS65417.2025.10976747")</f>
        <v>http://dx.doi.org/10.1109/ICNS65417.2025.10976747</v>
      </c>
      <c r="BG37" s="3" t="s">
        <v>74</v>
      </c>
      <c r="BH37" s="3" t="s">
        <v>74</v>
      </c>
      <c r="BI37" s="3">
        <v>9</v>
      </c>
      <c r="BJ37" s="3" t="s">
        <v>930</v>
      </c>
      <c r="BK37" s="3" t="s">
        <v>208</v>
      </c>
      <c r="BL37" s="3" t="s">
        <v>931</v>
      </c>
      <c r="BM37" s="3" t="s">
        <v>932</v>
      </c>
      <c r="BN37" s="3" t="s">
        <v>74</v>
      </c>
      <c r="BO37" s="3" t="s">
        <v>74</v>
      </c>
      <c r="BP37" s="3" t="s">
        <v>74</v>
      </c>
      <c r="BQ37" s="3" t="s">
        <v>74</v>
      </c>
      <c r="BR37" s="3" t="s">
        <v>101</v>
      </c>
      <c r="BS37" s="3" t="s">
        <v>933</v>
      </c>
      <c r="BT37" s="3" t="str">
        <f>HYPERLINK("https%3A%2F%2Fwww.webofscience.com%2Fwos%2Fwoscc%2Ffull-record%2FWOS:001516425900001","View Full Record in Web of Science")</f>
        <v>View Full Record in Web of Science</v>
      </c>
      <c r="BU37" s="3"/>
      <c r="BV37" s="3"/>
      <c r="BW37" s="1"/>
    </row>
    <row r="38" spans="1:75" x14ac:dyDescent="0.25">
      <c r="A38" s="3" t="s">
        <v>72</v>
      </c>
      <c r="B38" s="3" t="s">
        <v>934</v>
      </c>
      <c r="C38" s="3" t="s">
        <v>74</v>
      </c>
      <c r="D38" s="3" t="s">
        <v>74</v>
      </c>
      <c r="E38" s="3" t="s">
        <v>74</v>
      </c>
      <c r="F38" s="3" t="s">
        <v>935</v>
      </c>
      <c r="G38" s="3" t="s">
        <v>74</v>
      </c>
      <c r="H38" s="3" t="s">
        <v>74</v>
      </c>
      <c r="I38" s="3" t="s">
        <v>936</v>
      </c>
      <c r="J38" s="3" t="s">
        <v>161</v>
      </c>
      <c r="K38" s="3" t="s">
        <v>74</v>
      </c>
      <c r="L38" s="3" t="s">
        <v>74</v>
      </c>
      <c r="M38" s="3" t="s">
        <v>110</v>
      </c>
      <c r="N38" s="3" t="s">
        <v>79</v>
      </c>
      <c r="O38" s="3" t="s">
        <v>74</v>
      </c>
      <c r="P38" s="3" t="s">
        <v>74</v>
      </c>
      <c r="Q38" s="3" t="s">
        <v>74</v>
      </c>
      <c r="R38" s="3" t="s">
        <v>74</v>
      </c>
      <c r="S38" s="3" t="s">
        <v>74</v>
      </c>
      <c r="T38" s="3" t="s">
        <v>937</v>
      </c>
      <c r="U38" s="3" t="s">
        <v>938</v>
      </c>
      <c r="V38" s="3" t="s">
        <v>939</v>
      </c>
      <c r="W38" s="3" t="s">
        <v>940</v>
      </c>
      <c r="X38" s="3" t="s">
        <v>941</v>
      </c>
      <c r="Y38" s="3" t="s">
        <v>942</v>
      </c>
      <c r="Z38" s="3" t="s">
        <v>943</v>
      </c>
      <c r="AA38" s="3" t="s">
        <v>944</v>
      </c>
      <c r="AB38" s="3" t="s">
        <v>945</v>
      </c>
      <c r="AC38" s="3" t="s">
        <v>946</v>
      </c>
      <c r="AD38" s="3" t="s">
        <v>947</v>
      </c>
      <c r="AE38" s="3" t="s">
        <v>948</v>
      </c>
      <c r="AF38" s="3" t="s">
        <v>74</v>
      </c>
      <c r="AG38" s="3">
        <v>60</v>
      </c>
      <c r="AH38" s="3">
        <v>12</v>
      </c>
      <c r="AI38" s="3">
        <v>13</v>
      </c>
      <c r="AJ38" s="3">
        <v>7</v>
      </c>
      <c r="AK38" s="3">
        <v>32</v>
      </c>
      <c r="AL38" s="3" t="s">
        <v>145</v>
      </c>
      <c r="AM38" s="3" t="s">
        <v>146</v>
      </c>
      <c r="AN38" s="3" t="s">
        <v>279</v>
      </c>
      <c r="AO38" s="3" t="s">
        <v>74</v>
      </c>
      <c r="AP38" s="3" t="s">
        <v>174</v>
      </c>
      <c r="AQ38" s="3" t="s">
        <v>74</v>
      </c>
      <c r="AR38" s="3" t="s">
        <v>161</v>
      </c>
      <c r="AS38" s="3" t="s">
        <v>175</v>
      </c>
      <c r="AT38" s="3" t="s">
        <v>949</v>
      </c>
      <c r="AU38" s="3">
        <v>2024</v>
      </c>
      <c r="AV38" s="3">
        <v>17</v>
      </c>
      <c r="AW38" s="3">
        <v>5</v>
      </c>
      <c r="AX38" s="3" t="s">
        <v>74</v>
      </c>
      <c r="AY38" s="3" t="s">
        <v>74</v>
      </c>
      <c r="AZ38" s="3" t="s">
        <v>74</v>
      </c>
      <c r="BA38" s="3" t="s">
        <v>74</v>
      </c>
      <c r="BB38" s="3" t="s">
        <v>74</v>
      </c>
      <c r="BC38" s="3" t="s">
        <v>74</v>
      </c>
      <c r="BD38" s="3">
        <v>985</v>
      </c>
      <c r="BE38" s="3" t="s">
        <v>950</v>
      </c>
      <c r="BF38" s="3" t="str">
        <f>HYPERLINK("http://dx.doi.org/10.3390/en17050985","http://dx.doi.org/10.3390/en17050985")</f>
        <v>http://dx.doi.org/10.3390/en17050985</v>
      </c>
      <c r="BG38" s="3" t="s">
        <v>74</v>
      </c>
      <c r="BH38" s="3" t="s">
        <v>74</v>
      </c>
      <c r="BI38" s="3">
        <v>24</v>
      </c>
      <c r="BJ38" s="3" t="s">
        <v>178</v>
      </c>
      <c r="BK38" s="3" t="s">
        <v>179</v>
      </c>
      <c r="BL38" s="3" t="s">
        <v>178</v>
      </c>
      <c r="BM38" s="3" t="s">
        <v>951</v>
      </c>
      <c r="BN38" s="3" t="s">
        <v>74</v>
      </c>
      <c r="BO38" s="3" t="s">
        <v>100</v>
      </c>
      <c r="BP38" s="3" t="s">
        <v>74</v>
      </c>
      <c r="BQ38" s="3" t="s">
        <v>74</v>
      </c>
      <c r="BR38" s="3" t="s">
        <v>101</v>
      </c>
      <c r="BS38" s="3" t="s">
        <v>952</v>
      </c>
      <c r="BT38" s="3" t="str">
        <f>HYPERLINK("https%3A%2F%2Fwww.webofscience.com%2Fwos%2Fwoscc%2Ffull-record%2FWOS:001182851400001","View Full Record in Web of Science")</f>
        <v>View Full Record in Web of Science</v>
      </c>
      <c r="BU38" s="3"/>
      <c r="BV38" s="3"/>
      <c r="BW38" s="1"/>
    </row>
    <row r="39" spans="1:75" x14ac:dyDescent="0.25">
      <c r="A39" s="3" t="s">
        <v>72</v>
      </c>
      <c r="B39" s="3" t="s">
        <v>953</v>
      </c>
      <c r="C39" s="3" t="s">
        <v>74</v>
      </c>
      <c r="D39" s="3" t="s">
        <v>74</v>
      </c>
      <c r="E39" s="3" t="s">
        <v>74</v>
      </c>
      <c r="F39" s="3" t="s">
        <v>954</v>
      </c>
      <c r="G39" s="3" t="s">
        <v>74</v>
      </c>
      <c r="H39" s="3" t="s">
        <v>74</v>
      </c>
      <c r="I39" s="3" t="s">
        <v>955</v>
      </c>
      <c r="J39" s="3" t="s">
        <v>138</v>
      </c>
      <c r="K39" s="3" t="s">
        <v>74</v>
      </c>
      <c r="L39" s="3" t="s">
        <v>74</v>
      </c>
      <c r="M39" s="3" t="s">
        <v>110</v>
      </c>
      <c r="N39" s="3" t="s">
        <v>79</v>
      </c>
      <c r="O39" s="3" t="s">
        <v>74</v>
      </c>
      <c r="P39" s="3" t="s">
        <v>74</v>
      </c>
      <c r="Q39" s="3" t="s">
        <v>74</v>
      </c>
      <c r="R39" s="3" t="s">
        <v>74</v>
      </c>
      <c r="S39" s="3" t="s">
        <v>74</v>
      </c>
      <c r="T39" s="3" t="s">
        <v>956</v>
      </c>
      <c r="U39" s="3" t="s">
        <v>957</v>
      </c>
      <c r="V39" s="3" t="s">
        <v>958</v>
      </c>
      <c r="W39" s="3" t="s">
        <v>959</v>
      </c>
      <c r="X39" s="3" t="s">
        <v>960</v>
      </c>
      <c r="Y39" s="3" t="s">
        <v>961</v>
      </c>
      <c r="Z39" s="3" t="s">
        <v>962</v>
      </c>
      <c r="AA39" s="3" t="s">
        <v>963</v>
      </c>
      <c r="AB39" s="3" t="s">
        <v>74</v>
      </c>
      <c r="AC39" s="3" t="s">
        <v>964</v>
      </c>
      <c r="AD39" s="3" t="s">
        <v>965</v>
      </c>
      <c r="AE39" s="3" t="s">
        <v>966</v>
      </c>
      <c r="AF39" s="3" t="s">
        <v>74</v>
      </c>
      <c r="AG39" s="3">
        <v>135</v>
      </c>
      <c r="AH39" s="3">
        <v>0</v>
      </c>
      <c r="AI39" s="3">
        <v>0</v>
      </c>
      <c r="AJ39" s="3">
        <v>8</v>
      </c>
      <c r="AK39" s="3">
        <v>8</v>
      </c>
      <c r="AL39" s="3" t="s">
        <v>145</v>
      </c>
      <c r="AM39" s="3" t="s">
        <v>146</v>
      </c>
      <c r="AN39" s="3" t="s">
        <v>147</v>
      </c>
      <c r="AO39" s="3" t="s">
        <v>74</v>
      </c>
      <c r="AP39" s="3" t="s">
        <v>148</v>
      </c>
      <c r="AQ39" s="3" t="s">
        <v>74</v>
      </c>
      <c r="AR39" s="3" t="s">
        <v>149</v>
      </c>
      <c r="AS39" s="3" t="s">
        <v>150</v>
      </c>
      <c r="AT39" s="3" t="s">
        <v>967</v>
      </c>
      <c r="AU39" s="3">
        <v>2025</v>
      </c>
      <c r="AV39" s="3">
        <v>17</v>
      </c>
      <c r="AW39" s="3">
        <v>15</v>
      </c>
      <c r="AX39" s="3" t="s">
        <v>74</v>
      </c>
      <c r="AY39" s="3" t="s">
        <v>74</v>
      </c>
      <c r="AZ39" s="3" t="s">
        <v>74</v>
      </c>
      <c r="BA39" s="3" t="s">
        <v>74</v>
      </c>
      <c r="BB39" s="3" t="s">
        <v>74</v>
      </c>
      <c r="BC39" s="3" t="s">
        <v>74</v>
      </c>
      <c r="BD39" s="3">
        <v>6660</v>
      </c>
      <c r="BE39" s="3" t="s">
        <v>968</v>
      </c>
      <c r="BF39" s="3" t="str">
        <f>HYPERLINK("http://dx.doi.org/10.3390/su17156660","http://dx.doi.org/10.3390/su17156660")</f>
        <v>http://dx.doi.org/10.3390/su17156660</v>
      </c>
      <c r="BG39" s="3" t="s">
        <v>74</v>
      </c>
      <c r="BH39" s="3" t="s">
        <v>74</v>
      </c>
      <c r="BI39" s="3">
        <v>30</v>
      </c>
      <c r="BJ39" s="3" t="s">
        <v>153</v>
      </c>
      <c r="BK39" s="3" t="s">
        <v>154</v>
      </c>
      <c r="BL39" s="3" t="s">
        <v>155</v>
      </c>
      <c r="BM39" s="3" t="s">
        <v>969</v>
      </c>
      <c r="BN39" s="3" t="s">
        <v>74</v>
      </c>
      <c r="BO39" s="3" t="s">
        <v>100</v>
      </c>
      <c r="BP39" s="3" t="s">
        <v>74</v>
      </c>
      <c r="BQ39" s="3" t="s">
        <v>74</v>
      </c>
      <c r="BR39" s="3" t="s">
        <v>101</v>
      </c>
      <c r="BS39" s="3" t="s">
        <v>970</v>
      </c>
      <c r="BT39" s="3" t="str">
        <f>HYPERLINK("https%3A%2F%2Fwww.webofscience.com%2Fwos%2Fwoscc%2Ffull-record%2FWOS:001549734200001","View Full Record in Web of Science")</f>
        <v>View Full Record in Web of Science</v>
      </c>
      <c r="BU39" s="3"/>
      <c r="BV39" s="3"/>
      <c r="BW39" s="1"/>
    </row>
    <row r="40" spans="1:75" x14ac:dyDescent="0.25">
      <c r="A40" s="3" t="s">
        <v>72</v>
      </c>
      <c r="B40" s="3" t="s">
        <v>971</v>
      </c>
      <c r="C40" s="3" t="s">
        <v>74</v>
      </c>
      <c r="D40" s="3" t="s">
        <v>74</v>
      </c>
      <c r="E40" s="3" t="s">
        <v>74</v>
      </c>
      <c r="F40" s="3" t="s">
        <v>972</v>
      </c>
      <c r="G40" s="3" t="s">
        <v>74</v>
      </c>
      <c r="H40" s="3" t="s">
        <v>74</v>
      </c>
      <c r="I40" s="3" t="s">
        <v>973</v>
      </c>
      <c r="J40" s="3" t="s">
        <v>974</v>
      </c>
      <c r="K40" s="3" t="s">
        <v>74</v>
      </c>
      <c r="L40" s="3" t="s">
        <v>74</v>
      </c>
      <c r="M40" s="3" t="s">
        <v>110</v>
      </c>
      <c r="N40" s="3" t="s">
        <v>79</v>
      </c>
      <c r="O40" s="3" t="s">
        <v>74</v>
      </c>
      <c r="P40" s="3" t="s">
        <v>74</v>
      </c>
      <c r="Q40" s="3" t="s">
        <v>74</v>
      </c>
      <c r="R40" s="3" t="s">
        <v>74</v>
      </c>
      <c r="S40" s="3" t="s">
        <v>74</v>
      </c>
      <c r="T40" s="3" t="s">
        <v>975</v>
      </c>
      <c r="U40" s="3" t="s">
        <v>976</v>
      </c>
      <c r="V40" s="3" t="s">
        <v>977</v>
      </c>
      <c r="W40" s="3" t="s">
        <v>978</v>
      </c>
      <c r="X40" s="3" t="s">
        <v>979</v>
      </c>
      <c r="Y40" s="3" t="s">
        <v>980</v>
      </c>
      <c r="Z40" s="3" t="s">
        <v>981</v>
      </c>
      <c r="AA40" s="3" t="s">
        <v>982</v>
      </c>
      <c r="AB40" s="3" t="s">
        <v>74</v>
      </c>
      <c r="AC40" s="3" t="s">
        <v>983</v>
      </c>
      <c r="AD40" s="3" t="s">
        <v>984</v>
      </c>
      <c r="AE40" s="3" t="s">
        <v>985</v>
      </c>
      <c r="AF40" s="3" t="s">
        <v>74</v>
      </c>
      <c r="AG40" s="3">
        <v>259</v>
      </c>
      <c r="AH40" s="3">
        <v>1</v>
      </c>
      <c r="AI40" s="3">
        <v>1</v>
      </c>
      <c r="AJ40" s="3">
        <v>16</v>
      </c>
      <c r="AK40" s="3">
        <v>20</v>
      </c>
      <c r="AL40" s="3" t="s">
        <v>304</v>
      </c>
      <c r="AM40" s="3" t="s">
        <v>305</v>
      </c>
      <c r="AN40" s="3" t="s">
        <v>306</v>
      </c>
      <c r="AO40" s="3" t="s">
        <v>986</v>
      </c>
      <c r="AP40" s="3" t="s">
        <v>987</v>
      </c>
      <c r="AQ40" s="3" t="s">
        <v>74</v>
      </c>
      <c r="AR40" s="3" t="s">
        <v>988</v>
      </c>
      <c r="AS40" s="3" t="s">
        <v>989</v>
      </c>
      <c r="AT40" s="3" t="s">
        <v>990</v>
      </c>
      <c r="AU40" s="3">
        <v>2025</v>
      </c>
      <c r="AV40" s="3">
        <v>277</v>
      </c>
      <c r="AW40" s="3" t="s">
        <v>74</v>
      </c>
      <c r="AX40" s="3" t="s">
        <v>74</v>
      </c>
      <c r="AY40" s="3" t="s">
        <v>74</v>
      </c>
      <c r="AZ40" s="3" t="s">
        <v>74</v>
      </c>
      <c r="BA40" s="3" t="s">
        <v>74</v>
      </c>
      <c r="BB40" s="3" t="s">
        <v>74</v>
      </c>
      <c r="BC40" s="3" t="s">
        <v>74</v>
      </c>
      <c r="BD40" s="3">
        <v>112920</v>
      </c>
      <c r="BE40" s="3" t="s">
        <v>991</v>
      </c>
      <c r="BF40" s="3" t="str">
        <f>HYPERLINK("http://dx.doi.org/10.1016/j.buildenv.2025.112920","http://dx.doi.org/10.1016/j.buildenv.2025.112920")</f>
        <v>http://dx.doi.org/10.1016/j.buildenv.2025.112920</v>
      </c>
      <c r="BG40" s="3" t="s">
        <v>74</v>
      </c>
      <c r="BH40" s="3" t="s">
        <v>992</v>
      </c>
      <c r="BI40" s="3">
        <v>20</v>
      </c>
      <c r="BJ40" s="3" t="s">
        <v>993</v>
      </c>
      <c r="BK40" s="3" t="s">
        <v>179</v>
      </c>
      <c r="BL40" s="3" t="s">
        <v>994</v>
      </c>
      <c r="BM40" s="3" t="s">
        <v>995</v>
      </c>
      <c r="BN40" s="3" t="s">
        <v>74</v>
      </c>
      <c r="BO40" s="3" t="s">
        <v>74</v>
      </c>
      <c r="BP40" s="3" t="s">
        <v>74</v>
      </c>
      <c r="BQ40" s="3" t="s">
        <v>74</v>
      </c>
      <c r="BR40" s="3" t="s">
        <v>101</v>
      </c>
      <c r="BS40" s="3" t="s">
        <v>996</v>
      </c>
      <c r="BT40" s="3" t="str">
        <f>HYPERLINK("https%3A%2F%2Fwww.webofscience.com%2Fwos%2Fwoscc%2Ffull-record%2FWOS:001488946300001","View Full Record in Web of Science")</f>
        <v>View Full Record in Web of Science</v>
      </c>
      <c r="BU40" s="3"/>
      <c r="BV40" s="3"/>
      <c r="BW40" s="1"/>
    </row>
    <row r="41" spans="1:75" x14ac:dyDescent="0.25">
      <c r="A41" s="3" t="s">
        <v>72</v>
      </c>
      <c r="B41" s="3" t="s">
        <v>997</v>
      </c>
      <c r="C41" s="3" t="s">
        <v>74</v>
      </c>
      <c r="D41" s="3" t="s">
        <v>74</v>
      </c>
      <c r="E41" s="3" t="s">
        <v>74</v>
      </c>
      <c r="F41" s="3" t="s">
        <v>998</v>
      </c>
      <c r="G41" s="3" t="s">
        <v>74</v>
      </c>
      <c r="H41" s="3" t="s">
        <v>74</v>
      </c>
      <c r="I41" s="3" t="s">
        <v>999</v>
      </c>
      <c r="J41" s="3" t="s">
        <v>1000</v>
      </c>
      <c r="K41" s="3" t="s">
        <v>74</v>
      </c>
      <c r="L41" s="3" t="s">
        <v>74</v>
      </c>
      <c r="M41" s="3" t="s">
        <v>110</v>
      </c>
      <c r="N41" s="3" t="s">
        <v>79</v>
      </c>
      <c r="O41" s="3" t="s">
        <v>74</v>
      </c>
      <c r="P41" s="3" t="s">
        <v>74</v>
      </c>
      <c r="Q41" s="3" t="s">
        <v>74</v>
      </c>
      <c r="R41" s="3" t="s">
        <v>74</v>
      </c>
      <c r="S41" s="3" t="s">
        <v>74</v>
      </c>
      <c r="T41" s="3" t="s">
        <v>1001</v>
      </c>
      <c r="U41" s="3" t="s">
        <v>1002</v>
      </c>
      <c r="V41" s="3" t="s">
        <v>1003</v>
      </c>
      <c r="W41" s="3" t="s">
        <v>1004</v>
      </c>
      <c r="X41" s="3" t="s">
        <v>1005</v>
      </c>
      <c r="Y41" s="3" t="s">
        <v>1006</v>
      </c>
      <c r="Z41" s="3" t="s">
        <v>1007</v>
      </c>
      <c r="AA41" s="3" t="s">
        <v>74</v>
      </c>
      <c r="AB41" s="3" t="s">
        <v>74</v>
      </c>
      <c r="AC41" s="3" t="s">
        <v>74</v>
      </c>
      <c r="AD41" s="3" t="s">
        <v>74</v>
      </c>
      <c r="AE41" s="3" t="s">
        <v>74</v>
      </c>
      <c r="AF41" s="3" t="s">
        <v>74</v>
      </c>
      <c r="AG41" s="3">
        <v>31</v>
      </c>
      <c r="AH41" s="3">
        <v>0</v>
      </c>
      <c r="AI41" s="3">
        <v>0</v>
      </c>
      <c r="AJ41" s="3">
        <v>4</v>
      </c>
      <c r="AK41" s="3">
        <v>4</v>
      </c>
      <c r="AL41" s="3" t="s">
        <v>1008</v>
      </c>
      <c r="AM41" s="3" t="s">
        <v>1009</v>
      </c>
      <c r="AN41" s="3" t="s">
        <v>1010</v>
      </c>
      <c r="AO41" s="3" t="s">
        <v>1011</v>
      </c>
      <c r="AP41" s="3" t="s">
        <v>1012</v>
      </c>
      <c r="AQ41" s="3" t="s">
        <v>74</v>
      </c>
      <c r="AR41" s="3" t="s">
        <v>1013</v>
      </c>
      <c r="AS41" s="3" t="s">
        <v>1014</v>
      </c>
      <c r="AT41" s="3" t="s">
        <v>333</v>
      </c>
      <c r="AU41" s="3">
        <v>2025</v>
      </c>
      <c r="AV41" s="3">
        <v>23</v>
      </c>
      <c r="AW41" s="3">
        <v>3</v>
      </c>
      <c r="AX41" s="3" t="s">
        <v>74</v>
      </c>
      <c r="AY41" s="3" t="s">
        <v>74</v>
      </c>
      <c r="AZ41" s="3" t="s">
        <v>74</v>
      </c>
      <c r="BA41" s="3" t="s">
        <v>74</v>
      </c>
      <c r="BB41" s="3">
        <v>796</v>
      </c>
      <c r="BC41" s="3">
        <v>815</v>
      </c>
      <c r="BD41" s="3" t="s">
        <v>74</v>
      </c>
      <c r="BE41" s="3" t="s">
        <v>1015</v>
      </c>
      <c r="BF41" s="3" t="str">
        <f>HYPERLINK("http://dx.doi.org/10.1177/14780771251362414","http://dx.doi.org/10.1177/14780771251362414")</f>
        <v>http://dx.doi.org/10.1177/14780771251362414</v>
      </c>
      <c r="BG41" s="3" t="s">
        <v>74</v>
      </c>
      <c r="BH41" s="3" t="s">
        <v>1016</v>
      </c>
      <c r="BI41" s="3">
        <v>20</v>
      </c>
      <c r="BJ41" s="3" t="s">
        <v>1017</v>
      </c>
      <c r="BK41" s="3" t="s">
        <v>97</v>
      </c>
      <c r="BL41" s="3" t="s">
        <v>1017</v>
      </c>
      <c r="BM41" s="3" t="s">
        <v>1018</v>
      </c>
      <c r="BN41" s="3" t="s">
        <v>74</v>
      </c>
      <c r="BO41" s="3" t="s">
        <v>74</v>
      </c>
      <c r="BP41" s="3" t="s">
        <v>74</v>
      </c>
      <c r="BQ41" s="3" t="s">
        <v>74</v>
      </c>
      <c r="BR41" s="3" t="s">
        <v>101</v>
      </c>
      <c r="BS41" s="3" t="s">
        <v>1019</v>
      </c>
      <c r="BT41" s="3" t="str">
        <f>HYPERLINK("https%3A%2F%2Fwww.webofscience.com%2Fwos%2Fwoscc%2Ffull-record%2FWOS:001539330500001","View Full Record in Web of Science")</f>
        <v>View Full Record in Web of Science</v>
      </c>
      <c r="BU41" s="3"/>
      <c r="BV41" s="3"/>
      <c r="BW41" s="1"/>
    </row>
    <row r="42" spans="1:75" x14ac:dyDescent="0.25">
      <c r="A42" s="3" t="s">
        <v>72</v>
      </c>
      <c r="B42" s="3" t="s">
        <v>1020</v>
      </c>
      <c r="C42" s="3" t="s">
        <v>74</v>
      </c>
      <c r="D42" s="3" t="s">
        <v>74</v>
      </c>
      <c r="E42" s="3" t="s">
        <v>74</v>
      </c>
      <c r="F42" s="3" t="s">
        <v>1021</v>
      </c>
      <c r="G42" s="3" t="s">
        <v>74</v>
      </c>
      <c r="H42" s="3" t="s">
        <v>74</v>
      </c>
      <c r="I42" s="3" t="s">
        <v>1022</v>
      </c>
      <c r="J42" s="3" t="s">
        <v>835</v>
      </c>
      <c r="K42" s="3" t="s">
        <v>74</v>
      </c>
      <c r="L42" s="3" t="s">
        <v>74</v>
      </c>
      <c r="M42" s="3" t="s">
        <v>110</v>
      </c>
      <c r="N42" s="3" t="s">
        <v>79</v>
      </c>
      <c r="O42" s="3" t="s">
        <v>74</v>
      </c>
      <c r="P42" s="3" t="s">
        <v>74</v>
      </c>
      <c r="Q42" s="3" t="s">
        <v>74</v>
      </c>
      <c r="R42" s="3" t="s">
        <v>74</v>
      </c>
      <c r="S42" s="3" t="s">
        <v>74</v>
      </c>
      <c r="T42" s="3" t="s">
        <v>1023</v>
      </c>
      <c r="U42" s="3" t="s">
        <v>1024</v>
      </c>
      <c r="V42" s="3" t="s">
        <v>1025</v>
      </c>
      <c r="W42" s="3" t="s">
        <v>1026</v>
      </c>
      <c r="X42" s="3" t="s">
        <v>1027</v>
      </c>
      <c r="Y42" s="3" t="s">
        <v>1028</v>
      </c>
      <c r="Z42" s="3" t="s">
        <v>1029</v>
      </c>
      <c r="AA42" s="3" t="s">
        <v>1030</v>
      </c>
      <c r="AB42" s="3" t="s">
        <v>1031</v>
      </c>
      <c r="AC42" s="3" t="s">
        <v>1032</v>
      </c>
      <c r="AD42" s="3" t="s">
        <v>1033</v>
      </c>
      <c r="AE42" s="3" t="s">
        <v>1034</v>
      </c>
      <c r="AF42" s="3" t="s">
        <v>74</v>
      </c>
      <c r="AG42" s="3">
        <v>247</v>
      </c>
      <c r="AH42" s="3">
        <v>51</v>
      </c>
      <c r="AI42" s="3">
        <v>55</v>
      </c>
      <c r="AJ42" s="3">
        <v>14</v>
      </c>
      <c r="AK42" s="3">
        <v>138</v>
      </c>
      <c r="AL42" s="3" t="s">
        <v>846</v>
      </c>
      <c r="AM42" s="3" t="s">
        <v>847</v>
      </c>
      <c r="AN42" s="3" t="s">
        <v>848</v>
      </c>
      <c r="AO42" s="3" t="s">
        <v>849</v>
      </c>
      <c r="AP42" s="3" t="s">
        <v>74</v>
      </c>
      <c r="AQ42" s="3" t="s">
        <v>74</v>
      </c>
      <c r="AR42" s="3" t="s">
        <v>835</v>
      </c>
      <c r="AS42" s="3" t="s">
        <v>850</v>
      </c>
      <c r="AT42" s="3" t="s">
        <v>74</v>
      </c>
      <c r="AU42" s="3">
        <v>2022</v>
      </c>
      <c r="AV42" s="3">
        <v>10</v>
      </c>
      <c r="AW42" s="3" t="s">
        <v>74</v>
      </c>
      <c r="AX42" s="3" t="s">
        <v>74</v>
      </c>
      <c r="AY42" s="3" t="s">
        <v>74</v>
      </c>
      <c r="AZ42" s="3" t="s">
        <v>74</v>
      </c>
      <c r="BA42" s="3" t="s">
        <v>74</v>
      </c>
      <c r="BB42" s="3">
        <v>61843</v>
      </c>
      <c r="BC42" s="3">
        <v>61872</v>
      </c>
      <c r="BD42" s="3" t="s">
        <v>74</v>
      </c>
      <c r="BE42" s="3" t="s">
        <v>1035</v>
      </c>
      <c r="BF42" s="3" t="str">
        <f>HYPERLINK("http://dx.doi.org/10.1109/ACCESS.2022.3180033","http://dx.doi.org/10.1109/ACCESS.2022.3180033")</f>
        <v>http://dx.doi.org/10.1109/ACCESS.2022.3180033</v>
      </c>
      <c r="BG42" s="3" t="s">
        <v>74</v>
      </c>
      <c r="BH42" s="3" t="s">
        <v>74</v>
      </c>
      <c r="BI42" s="3">
        <v>30</v>
      </c>
      <c r="BJ42" s="3" t="s">
        <v>852</v>
      </c>
      <c r="BK42" s="3" t="s">
        <v>179</v>
      </c>
      <c r="BL42" s="3" t="s">
        <v>853</v>
      </c>
      <c r="BM42" s="3" t="s">
        <v>1036</v>
      </c>
      <c r="BN42" s="3" t="s">
        <v>74</v>
      </c>
      <c r="BO42" s="3" t="s">
        <v>100</v>
      </c>
      <c r="BP42" s="3" t="s">
        <v>74</v>
      </c>
      <c r="BQ42" s="3" t="s">
        <v>74</v>
      </c>
      <c r="BR42" s="3" t="s">
        <v>101</v>
      </c>
      <c r="BS42" s="3" t="s">
        <v>1037</v>
      </c>
      <c r="BT42" s="3" t="str">
        <f>HYPERLINK("https%3A%2F%2Fwww.webofscience.com%2Fwos%2Fwoscc%2Ffull-record%2FWOS:000811543500001","View Full Record in Web of Science")</f>
        <v>View Full Record in Web of Science</v>
      </c>
      <c r="BU42" s="3"/>
      <c r="BV42" s="3"/>
      <c r="BW42" s="1"/>
    </row>
    <row r="43" spans="1:75" x14ac:dyDescent="0.25">
      <c r="A43" s="3" t="s">
        <v>72</v>
      </c>
      <c r="B43" s="3" t="s">
        <v>1038</v>
      </c>
      <c r="C43" s="3" t="s">
        <v>74</v>
      </c>
      <c r="D43" s="3" t="s">
        <v>74</v>
      </c>
      <c r="E43" s="3" t="s">
        <v>74</v>
      </c>
      <c r="F43" s="3" t="s">
        <v>1039</v>
      </c>
      <c r="G43" s="3" t="s">
        <v>74</v>
      </c>
      <c r="H43" s="3" t="s">
        <v>74</v>
      </c>
      <c r="I43" s="3" t="s">
        <v>1040</v>
      </c>
      <c r="J43" s="3" t="s">
        <v>1041</v>
      </c>
      <c r="K43" s="3" t="s">
        <v>74</v>
      </c>
      <c r="L43" s="3" t="s">
        <v>74</v>
      </c>
      <c r="M43" s="3" t="s">
        <v>110</v>
      </c>
      <c r="N43" s="3" t="s">
        <v>79</v>
      </c>
      <c r="O43" s="3" t="s">
        <v>74</v>
      </c>
      <c r="P43" s="3" t="s">
        <v>74</v>
      </c>
      <c r="Q43" s="3" t="s">
        <v>74</v>
      </c>
      <c r="R43" s="3" t="s">
        <v>74</v>
      </c>
      <c r="S43" s="3" t="s">
        <v>74</v>
      </c>
      <c r="T43" s="3" t="s">
        <v>1042</v>
      </c>
      <c r="U43" s="3" t="s">
        <v>1043</v>
      </c>
      <c r="V43" s="3" t="s">
        <v>1044</v>
      </c>
      <c r="W43" s="3" t="s">
        <v>1045</v>
      </c>
      <c r="X43" s="3" t="s">
        <v>1046</v>
      </c>
      <c r="Y43" s="3" t="s">
        <v>1047</v>
      </c>
      <c r="Z43" s="3" t="s">
        <v>1048</v>
      </c>
      <c r="AA43" s="3" t="s">
        <v>1049</v>
      </c>
      <c r="AB43" s="3" t="s">
        <v>1050</v>
      </c>
      <c r="AC43" s="3" t="s">
        <v>74</v>
      </c>
      <c r="AD43" s="3" t="s">
        <v>74</v>
      </c>
      <c r="AE43" s="3" t="s">
        <v>74</v>
      </c>
      <c r="AF43" s="3" t="s">
        <v>74</v>
      </c>
      <c r="AG43" s="3">
        <v>52</v>
      </c>
      <c r="AH43" s="3">
        <v>26</v>
      </c>
      <c r="AI43" s="3">
        <v>30</v>
      </c>
      <c r="AJ43" s="3">
        <v>9</v>
      </c>
      <c r="AK43" s="3">
        <v>99</v>
      </c>
      <c r="AL43" s="3" t="s">
        <v>1051</v>
      </c>
      <c r="AM43" s="3" t="s">
        <v>1052</v>
      </c>
      <c r="AN43" s="3" t="s">
        <v>1053</v>
      </c>
      <c r="AO43" s="3" t="s">
        <v>1054</v>
      </c>
      <c r="AP43" s="3" t="s">
        <v>1055</v>
      </c>
      <c r="AQ43" s="3" t="s">
        <v>74</v>
      </c>
      <c r="AR43" s="3" t="s">
        <v>1056</v>
      </c>
      <c r="AS43" s="3" t="s">
        <v>1057</v>
      </c>
      <c r="AT43" s="3" t="s">
        <v>592</v>
      </c>
      <c r="AU43" s="3">
        <v>2022</v>
      </c>
      <c r="AV43" s="3">
        <v>22</v>
      </c>
      <c r="AW43" s="3">
        <v>5</v>
      </c>
      <c r="AX43" s="3" t="s">
        <v>74</v>
      </c>
      <c r="AY43" s="3" t="s">
        <v>74</v>
      </c>
      <c r="AZ43" s="3" t="s">
        <v>74</v>
      </c>
      <c r="BA43" s="3" t="s">
        <v>74</v>
      </c>
      <c r="BB43" s="3">
        <v>5953</v>
      </c>
      <c r="BC43" s="3">
        <v>5982</v>
      </c>
      <c r="BD43" s="3" t="s">
        <v>74</v>
      </c>
      <c r="BE43" s="3" t="s">
        <v>1058</v>
      </c>
      <c r="BF43" s="3" t="str">
        <f>HYPERLINK("http://dx.doi.org/10.1007/s12351-022-00695-0","http://dx.doi.org/10.1007/s12351-022-00695-0")</f>
        <v>http://dx.doi.org/10.1007/s12351-022-00695-0</v>
      </c>
      <c r="BG43" s="3" t="s">
        <v>74</v>
      </c>
      <c r="BH43" s="3" t="s">
        <v>1059</v>
      </c>
      <c r="BI43" s="3">
        <v>30</v>
      </c>
      <c r="BJ43" s="3" t="s">
        <v>1060</v>
      </c>
      <c r="BK43" s="3" t="s">
        <v>179</v>
      </c>
      <c r="BL43" s="3" t="s">
        <v>1060</v>
      </c>
      <c r="BM43" s="3" t="s">
        <v>1061</v>
      </c>
      <c r="BN43" s="3" t="s">
        <v>74</v>
      </c>
      <c r="BO43" s="3" t="s">
        <v>74</v>
      </c>
      <c r="BP43" s="3" t="s">
        <v>74</v>
      </c>
      <c r="BQ43" s="3" t="s">
        <v>74</v>
      </c>
      <c r="BR43" s="3" t="s">
        <v>101</v>
      </c>
      <c r="BS43" s="3" t="s">
        <v>1062</v>
      </c>
      <c r="BT43" s="3" t="str">
        <f>HYPERLINK("https%3A%2F%2Fwww.webofscience.com%2Fwos%2Fwoscc%2Ffull-record%2FWOS:000762867500001","View Full Record in Web of Science")</f>
        <v>View Full Record in Web of Science</v>
      </c>
      <c r="BU43" s="3"/>
      <c r="BV43" s="3"/>
      <c r="BW43" s="1"/>
    </row>
    <row r="44" spans="1:75" x14ac:dyDescent="0.25">
      <c r="A44" s="3" t="s">
        <v>72</v>
      </c>
      <c r="B44" s="3" t="s">
        <v>1063</v>
      </c>
      <c r="C44" s="3" t="s">
        <v>74</v>
      </c>
      <c r="D44" s="3" t="s">
        <v>74</v>
      </c>
      <c r="E44" s="3" t="s">
        <v>74</v>
      </c>
      <c r="F44" s="3" t="s">
        <v>1064</v>
      </c>
      <c r="G44" s="3" t="s">
        <v>74</v>
      </c>
      <c r="H44" s="3" t="s">
        <v>74</v>
      </c>
      <c r="I44" s="3" t="s">
        <v>1065</v>
      </c>
      <c r="J44" s="3" t="s">
        <v>1066</v>
      </c>
      <c r="K44" s="3" t="s">
        <v>74</v>
      </c>
      <c r="L44" s="3" t="s">
        <v>74</v>
      </c>
      <c r="M44" s="3" t="s">
        <v>110</v>
      </c>
      <c r="N44" s="3" t="s">
        <v>216</v>
      </c>
      <c r="O44" s="3" t="s">
        <v>74</v>
      </c>
      <c r="P44" s="3" t="s">
        <v>74</v>
      </c>
      <c r="Q44" s="3" t="s">
        <v>74</v>
      </c>
      <c r="R44" s="3" t="s">
        <v>74</v>
      </c>
      <c r="S44" s="3" t="s">
        <v>74</v>
      </c>
      <c r="T44" s="3" t="s">
        <v>1067</v>
      </c>
      <c r="U44" s="3" t="s">
        <v>1068</v>
      </c>
      <c r="V44" s="3" t="s">
        <v>1069</v>
      </c>
      <c r="W44" s="3" t="s">
        <v>1070</v>
      </c>
      <c r="X44" s="3" t="s">
        <v>1071</v>
      </c>
      <c r="Y44" s="3" t="s">
        <v>1072</v>
      </c>
      <c r="Z44" s="3" t="s">
        <v>1073</v>
      </c>
      <c r="AA44" s="3" t="s">
        <v>1074</v>
      </c>
      <c r="AB44" s="3" t="s">
        <v>1075</v>
      </c>
      <c r="AC44" s="3" t="s">
        <v>74</v>
      </c>
      <c r="AD44" s="3" t="s">
        <v>74</v>
      </c>
      <c r="AE44" s="3" t="s">
        <v>74</v>
      </c>
      <c r="AF44" s="3" t="s">
        <v>74</v>
      </c>
      <c r="AG44" s="3">
        <v>22</v>
      </c>
      <c r="AH44" s="3">
        <v>30</v>
      </c>
      <c r="AI44" s="3">
        <v>33</v>
      </c>
      <c r="AJ44" s="3">
        <v>7</v>
      </c>
      <c r="AK44" s="3">
        <v>81</v>
      </c>
      <c r="AL44" s="3" t="s">
        <v>1076</v>
      </c>
      <c r="AM44" s="3" t="s">
        <v>375</v>
      </c>
      <c r="AN44" s="3" t="s">
        <v>376</v>
      </c>
      <c r="AO44" s="3" t="s">
        <v>1077</v>
      </c>
      <c r="AP44" s="3" t="s">
        <v>1078</v>
      </c>
      <c r="AQ44" s="3" t="s">
        <v>74</v>
      </c>
      <c r="AR44" s="3" t="s">
        <v>1079</v>
      </c>
      <c r="AS44" s="3" t="s">
        <v>1080</v>
      </c>
      <c r="AT44" s="3" t="s">
        <v>176</v>
      </c>
      <c r="AU44" s="3">
        <v>2022</v>
      </c>
      <c r="AV44" s="3">
        <v>8</v>
      </c>
      <c r="AW44" s="3">
        <v>3</v>
      </c>
      <c r="AX44" s="3" t="s">
        <v>74</v>
      </c>
      <c r="AY44" s="3" t="s">
        <v>74</v>
      </c>
      <c r="AZ44" s="3" t="s">
        <v>74</v>
      </c>
      <c r="BA44" s="3" t="s">
        <v>74</v>
      </c>
      <c r="BB44" s="3" t="s">
        <v>74</v>
      </c>
      <c r="BC44" s="3" t="s">
        <v>74</v>
      </c>
      <c r="BD44" s="3">
        <v>85</v>
      </c>
      <c r="BE44" s="3" t="s">
        <v>1081</v>
      </c>
      <c r="BF44" s="3" t="str">
        <f>HYPERLINK("http://dx.doi.org/10.1007/s40899-022-00666-5","http://dx.doi.org/10.1007/s40899-022-00666-5")</f>
        <v>http://dx.doi.org/10.1007/s40899-022-00666-5</v>
      </c>
      <c r="BG44" s="3" t="s">
        <v>74</v>
      </c>
      <c r="BH44" s="3" t="s">
        <v>74</v>
      </c>
      <c r="BI44" s="3">
        <v>15</v>
      </c>
      <c r="BJ44" s="3" t="s">
        <v>1082</v>
      </c>
      <c r="BK44" s="3" t="s">
        <v>97</v>
      </c>
      <c r="BL44" s="3" t="s">
        <v>1082</v>
      </c>
      <c r="BM44" s="3" t="s">
        <v>1083</v>
      </c>
      <c r="BN44" s="3" t="s">
        <v>74</v>
      </c>
      <c r="BO44" s="3" t="s">
        <v>74</v>
      </c>
      <c r="BP44" s="3" t="s">
        <v>74</v>
      </c>
      <c r="BQ44" s="3" t="s">
        <v>74</v>
      </c>
      <c r="BR44" s="3" t="s">
        <v>101</v>
      </c>
      <c r="BS44" s="3" t="s">
        <v>1084</v>
      </c>
      <c r="BT44" s="3" t="str">
        <f>HYPERLINK("https%3A%2F%2Fwww.webofscience.com%2Fwos%2Fwoscc%2Ffull-record%2FWOS:000790795500002","View Full Record in Web of Science")</f>
        <v>View Full Record in Web of Science</v>
      </c>
      <c r="BU44" s="3"/>
      <c r="BV44" s="3"/>
      <c r="BW44" s="1"/>
    </row>
    <row r="45" spans="1:75" x14ac:dyDescent="0.25">
      <c r="A45" s="3" t="s">
        <v>72</v>
      </c>
      <c r="B45" s="3" t="s">
        <v>1085</v>
      </c>
      <c r="C45" s="3" t="s">
        <v>74</v>
      </c>
      <c r="D45" s="3" t="s">
        <v>74</v>
      </c>
      <c r="E45" s="3" t="s">
        <v>74</v>
      </c>
      <c r="F45" s="3" t="s">
        <v>1086</v>
      </c>
      <c r="G45" s="3" t="s">
        <v>74</v>
      </c>
      <c r="H45" s="3" t="s">
        <v>74</v>
      </c>
      <c r="I45" s="3" t="s">
        <v>1087</v>
      </c>
      <c r="J45" s="3" t="s">
        <v>1088</v>
      </c>
      <c r="K45" s="3" t="s">
        <v>74</v>
      </c>
      <c r="L45" s="3" t="s">
        <v>74</v>
      </c>
      <c r="M45" s="3" t="s">
        <v>110</v>
      </c>
      <c r="N45" s="3" t="s">
        <v>79</v>
      </c>
      <c r="O45" s="3" t="s">
        <v>74</v>
      </c>
      <c r="P45" s="3" t="s">
        <v>74</v>
      </c>
      <c r="Q45" s="3" t="s">
        <v>74</v>
      </c>
      <c r="R45" s="3" t="s">
        <v>74</v>
      </c>
      <c r="S45" s="3" t="s">
        <v>74</v>
      </c>
      <c r="T45" s="3" t="s">
        <v>1089</v>
      </c>
      <c r="U45" s="3" t="s">
        <v>1090</v>
      </c>
      <c r="V45" s="3" t="s">
        <v>1091</v>
      </c>
      <c r="W45" s="3" t="s">
        <v>1092</v>
      </c>
      <c r="X45" s="3" t="s">
        <v>1093</v>
      </c>
      <c r="Y45" s="3" t="s">
        <v>1094</v>
      </c>
      <c r="Z45" s="3" t="s">
        <v>1095</v>
      </c>
      <c r="AA45" s="3" t="s">
        <v>1096</v>
      </c>
      <c r="AB45" s="3" t="s">
        <v>1097</v>
      </c>
      <c r="AC45" s="3" t="s">
        <v>74</v>
      </c>
      <c r="AD45" s="3" t="s">
        <v>74</v>
      </c>
      <c r="AE45" s="3" t="s">
        <v>74</v>
      </c>
      <c r="AF45" s="3" t="s">
        <v>74</v>
      </c>
      <c r="AG45" s="3">
        <v>60</v>
      </c>
      <c r="AH45" s="3">
        <v>56</v>
      </c>
      <c r="AI45" s="3">
        <v>64</v>
      </c>
      <c r="AJ45" s="3">
        <v>11</v>
      </c>
      <c r="AK45" s="3">
        <v>106</v>
      </c>
      <c r="AL45" s="3" t="s">
        <v>846</v>
      </c>
      <c r="AM45" s="3" t="s">
        <v>847</v>
      </c>
      <c r="AN45" s="3" t="s">
        <v>848</v>
      </c>
      <c r="AO45" s="3" t="s">
        <v>1098</v>
      </c>
      <c r="AP45" s="3" t="s">
        <v>1099</v>
      </c>
      <c r="AQ45" s="3" t="s">
        <v>74</v>
      </c>
      <c r="AR45" s="3" t="s">
        <v>1100</v>
      </c>
      <c r="AS45" s="3" t="s">
        <v>1101</v>
      </c>
      <c r="AT45" s="3" t="s">
        <v>608</v>
      </c>
      <c r="AU45" s="3">
        <v>2023</v>
      </c>
      <c r="AV45" s="3">
        <v>24</v>
      </c>
      <c r="AW45" s="3">
        <v>4</v>
      </c>
      <c r="AX45" s="3" t="s">
        <v>74</v>
      </c>
      <c r="AY45" s="3" t="s">
        <v>74</v>
      </c>
      <c r="AZ45" s="3" t="s">
        <v>74</v>
      </c>
      <c r="BA45" s="3" t="s">
        <v>74</v>
      </c>
      <c r="BB45" s="3">
        <v>3922</v>
      </c>
      <c r="BC45" s="3">
        <v>3934</v>
      </c>
      <c r="BD45" s="3" t="s">
        <v>74</v>
      </c>
      <c r="BE45" s="3" t="s">
        <v>1102</v>
      </c>
      <c r="BF45" s="3" t="str">
        <f>HYPERLINK("http://dx.doi.org/10.1109/TITS.2022.3233801","http://dx.doi.org/10.1109/TITS.2022.3233801")</f>
        <v>http://dx.doi.org/10.1109/TITS.2022.3233801</v>
      </c>
      <c r="BG45" s="3" t="s">
        <v>74</v>
      </c>
      <c r="BH45" s="3" t="s">
        <v>1103</v>
      </c>
      <c r="BI45" s="3">
        <v>13</v>
      </c>
      <c r="BJ45" s="3" t="s">
        <v>1104</v>
      </c>
      <c r="BK45" s="3" t="s">
        <v>179</v>
      </c>
      <c r="BL45" s="3" t="s">
        <v>411</v>
      </c>
      <c r="BM45" s="3" t="s">
        <v>1105</v>
      </c>
      <c r="BN45" s="3" t="s">
        <v>74</v>
      </c>
      <c r="BO45" s="3" t="s">
        <v>74</v>
      </c>
      <c r="BP45" s="3" t="s">
        <v>74</v>
      </c>
      <c r="BQ45" s="3" t="s">
        <v>74</v>
      </c>
      <c r="BR45" s="3" t="s">
        <v>101</v>
      </c>
      <c r="BS45" s="3" t="s">
        <v>1106</v>
      </c>
      <c r="BT45" s="3" t="str">
        <f>HYPERLINK("https%3A%2F%2Fwww.webofscience.com%2Fwos%2Fwoscc%2Ffull-record%2FWOS:000915546600001","View Full Record in Web of Science")</f>
        <v>View Full Record in Web of Science</v>
      </c>
      <c r="BU45" s="3"/>
      <c r="BV45" s="3"/>
      <c r="BW45" s="1"/>
    </row>
    <row r="46" spans="1:75" x14ac:dyDescent="0.25">
      <c r="A46" s="3" t="s">
        <v>72</v>
      </c>
      <c r="B46" s="3" t="s">
        <v>1107</v>
      </c>
      <c r="C46" s="3" t="s">
        <v>74</v>
      </c>
      <c r="D46" s="3" t="s">
        <v>74</v>
      </c>
      <c r="E46" s="3" t="s">
        <v>74</v>
      </c>
      <c r="F46" s="3" t="s">
        <v>1108</v>
      </c>
      <c r="G46" s="3" t="s">
        <v>74</v>
      </c>
      <c r="H46" s="3" t="s">
        <v>74</v>
      </c>
      <c r="I46" s="3" t="s">
        <v>1109</v>
      </c>
      <c r="J46" s="3" t="s">
        <v>1110</v>
      </c>
      <c r="K46" s="3" t="s">
        <v>74</v>
      </c>
      <c r="L46" s="3" t="s">
        <v>74</v>
      </c>
      <c r="M46" s="3" t="s">
        <v>110</v>
      </c>
      <c r="N46" s="3" t="s">
        <v>79</v>
      </c>
      <c r="O46" s="3" t="s">
        <v>74</v>
      </c>
      <c r="P46" s="3" t="s">
        <v>74</v>
      </c>
      <c r="Q46" s="3" t="s">
        <v>74</v>
      </c>
      <c r="R46" s="3" t="s">
        <v>74</v>
      </c>
      <c r="S46" s="3" t="s">
        <v>74</v>
      </c>
      <c r="T46" s="3" t="s">
        <v>1111</v>
      </c>
      <c r="U46" s="3" t="s">
        <v>1112</v>
      </c>
      <c r="V46" s="3" t="s">
        <v>1113</v>
      </c>
      <c r="W46" s="3" t="s">
        <v>1114</v>
      </c>
      <c r="X46" s="3" t="s">
        <v>1115</v>
      </c>
      <c r="Y46" s="3" t="s">
        <v>1116</v>
      </c>
      <c r="Z46" s="3" t="s">
        <v>1117</v>
      </c>
      <c r="AA46" s="3" t="s">
        <v>1118</v>
      </c>
      <c r="AB46" s="3" t="s">
        <v>1119</v>
      </c>
      <c r="AC46" s="3" t="s">
        <v>74</v>
      </c>
      <c r="AD46" s="3" t="s">
        <v>74</v>
      </c>
      <c r="AE46" s="3" t="s">
        <v>74</v>
      </c>
      <c r="AF46" s="3" t="s">
        <v>74</v>
      </c>
      <c r="AG46" s="3">
        <v>40</v>
      </c>
      <c r="AH46" s="3">
        <v>16</v>
      </c>
      <c r="AI46" s="3">
        <v>18</v>
      </c>
      <c r="AJ46" s="3">
        <v>1</v>
      </c>
      <c r="AK46" s="3">
        <v>11</v>
      </c>
      <c r="AL46" s="3" t="s">
        <v>1120</v>
      </c>
      <c r="AM46" s="3" t="s">
        <v>1121</v>
      </c>
      <c r="AN46" s="3" t="s">
        <v>1122</v>
      </c>
      <c r="AO46" s="3" t="s">
        <v>1123</v>
      </c>
      <c r="AP46" s="3" t="s">
        <v>1124</v>
      </c>
      <c r="AQ46" s="3" t="s">
        <v>74</v>
      </c>
      <c r="AR46" s="3" t="s">
        <v>1125</v>
      </c>
      <c r="AS46" s="3" t="s">
        <v>1126</v>
      </c>
      <c r="AT46" s="3" t="s">
        <v>151</v>
      </c>
      <c r="AU46" s="3">
        <v>2022</v>
      </c>
      <c r="AV46" s="3">
        <v>52</v>
      </c>
      <c r="AW46" s="3">
        <v>15</v>
      </c>
      <c r="AX46" s="3" t="s">
        <v>74</v>
      </c>
      <c r="AY46" s="3" t="s">
        <v>74</v>
      </c>
      <c r="AZ46" s="3" t="s">
        <v>880</v>
      </c>
      <c r="BA46" s="3" t="s">
        <v>74</v>
      </c>
      <c r="BB46" s="3">
        <v>18030</v>
      </c>
      <c r="BC46" s="3">
        <v>18048</v>
      </c>
      <c r="BD46" s="3" t="s">
        <v>74</v>
      </c>
      <c r="BE46" s="3" t="s">
        <v>1127</v>
      </c>
      <c r="BF46" s="3" t="str">
        <f>HYPERLINK("http://dx.doi.org/10.1007/s10489-022-03535-y","http://dx.doi.org/10.1007/s10489-022-03535-y")</f>
        <v>http://dx.doi.org/10.1007/s10489-022-03535-y</v>
      </c>
      <c r="BG46" s="3" t="s">
        <v>74</v>
      </c>
      <c r="BH46" s="3" t="s">
        <v>1128</v>
      </c>
      <c r="BI46" s="3">
        <v>19</v>
      </c>
      <c r="BJ46" s="3" t="s">
        <v>485</v>
      </c>
      <c r="BK46" s="3" t="s">
        <v>179</v>
      </c>
      <c r="BL46" s="3" t="s">
        <v>486</v>
      </c>
      <c r="BM46" s="3" t="s">
        <v>1129</v>
      </c>
      <c r="BN46" s="3" t="s">
        <v>74</v>
      </c>
      <c r="BO46" s="3" t="s">
        <v>74</v>
      </c>
      <c r="BP46" s="3" t="s">
        <v>74</v>
      </c>
      <c r="BQ46" s="3" t="s">
        <v>74</v>
      </c>
      <c r="BR46" s="3" t="s">
        <v>101</v>
      </c>
      <c r="BS46" s="3" t="s">
        <v>1130</v>
      </c>
      <c r="BT46" s="3" t="str">
        <f>HYPERLINK("https%3A%2F%2Fwww.webofscience.com%2Fwos%2Fwoscc%2Ffull-record%2FWOS:000779613400005","View Full Record in Web of Science")</f>
        <v>View Full Record in Web of Science</v>
      </c>
      <c r="BU46" s="3"/>
      <c r="BV46" s="3"/>
      <c r="BW46" s="1"/>
    </row>
    <row r="47" spans="1:75" x14ac:dyDescent="0.25">
      <c r="A47" s="3" t="s">
        <v>72</v>
      </c>
      <c r="B47" s="3" t="s">
        <v>1131</v>
      </c>
      <c r="C47" s="3" t="s">
        <v>74</v>
      </c>
      <c r="D47" s="3" t="s">
        <v>74</v>
      </c>
      <c r="E47" s="3" t="s">
        <v>74</v>
      </c>
      <c r="F47" s="3" t="s">
        <v>1132</v>
      </c>
      <c r="G47" s="3" t="s">
        <v>74</v>
      </c>
      <c r="H47" s="3" t="s">
        <v>74</v>
      </c>
      <c r="I47" s="3" t="s">
        <v>1133</v>
      </c>
      <c r="J47" s="3" t="s">
        <v>138</v>
      </c>
      <c r="K47" s="3" t="s">
        <v>74</v>
      </c>
      <c r="L47" s="3" t="s">
        <v>74</v>
      </c>
      <c r="M47" s="3" t="s">
        <v>110</v>
      </c>
      <c r="N47" s="3" t="s">
        <v>79</v>
      </c>
      <c r="O47" s="3" t="s">
        <v>74</v>
      </c>
      <c r="P47" s="3" t="s">
        <v>74</v>
      </c>
      <c r="Q47" s="3" t="s">
        <v>74</v>
      </c>
      <c r="R47" s="3" t="s">
        <v>74</v>
      </c>
      <c r="S47" s="3" t="s">
        <v>74</v>
      </c>
      <c r="T47" s="3" t="s">
        <v>1134</v>
      </c>
      <c r="U47" s="3" t="s">
        <v>1135</v>
      </c>
      <c r="V47" s="3" t="s">
        <v>1136</v>
      </c>
      <c r="W47" s="3" t="s">
        <v>1137</v>
      </c>
      <c r="X47" s="3" t="s">
        <v>1138</v>
      </c>
      <c r="Y47" s="3" t="s">
        <v>1139</v>
      </c>
      <c r="Z47" s="3" t="s">
        <v>1140</v>
      </c>
      <c r="AA47" s="3" t="s">
        <v>1141</v>
      </c>
      <c r="AB47" s="3" t="s">
        <v>1142</v>
      </c>
      <c r="AC47" s="3" t="s">
        <v>1143</v>
      </c>
      <c r="AD47" s="3" t="s">
        <v>1144</v>
      </c>
      <c r="AE47" s="3" t="s">
        <v>1145</v>
      </c>
      <c r="AF47" s="3" t="s">
        <v>74</v>
      </c>
      <c r="AG47" s="3">
        <v>53</v>
      </c>
      <c r="AH47" s="3">
        <v>15</v>
      </c>
      <c r="AI47" s="3">
        <v>17</v>
      </c>
      <c r="AJ47" s="3">
        <v>0</v>
      </c>
      <c r="AK47" s="3">
        <v>33</v>
      </c>
      <c r="AL47" s="3" t="s">
        <v>145</v>
      </c>
      <c r="AM47" s="3" t="s">
        <v>146</v>
      </c>
      <c r="AN47" s="3" t="s">
        <v>279</v>
      </c>
      <c r="AO47" s="3" t="s">
        <v>74</v>
      </c>
      <c r="AP47" s="3" t="s">
        <v>148</v>
      </c>
      <c r="AQ47" s="3" t="s">
        <v>74</v>
      </c>
      <c r="AR47" s="3" t="s">
        <v>149</v>
      </c>
      <c r="AS47" s="3" t="s">
        <v>150</v>
      </c>
      <c r="AT47" s="3" t="s">
        <v>151</v>
      </c>
      <c r="AU47" s="3">
        <v>2022</v>
      </c>
      <c r="AV47" s="3">
        <v>14</v>
      </c>
      <c r="AW47" s="3">
        <v>23</v>
      </c>
      <c r="AX47" s="3" t="s">
        <v>74</v>
      </c>
      <c r="AY47" s="3" t="s">
        <v>74</v>
      </c>
      <c r="AZ47" s="3" t="s">
        <v>74</v>
      </c>
      <c r="BA47" s="3" t="s">
        <v>74</v>
      </c>
      <c r="BB47" s="3" t="s">
        <v>74</v>
      </c>
      <c r="BC47" s="3" t="s">
        <v>74</v>
      </c>
      <c r="BD47" s="3">
        <v>15773</v>
      </c>
      <c r="BE47" s="3" t="s">
        <v>1146</v>
      </c>
      <c r="BF47" s="3" t="str">
        <f>HYPERLINK("http://dx.doi.org/10.3390/su142315773","http://dx.doi.org/10.3390/su142315773")</f>
        <v>http://dx.doi.org/10.3390/su142315773</v>
      </c>
      <c r="BG47" s="3" t="s">
        <v>74</v>
      </c>
      <c r="BH47" s="3" t="s">
        <v>74</v>
      </c>
      <c r="BI47" s="3">
        <v>30</v>
      </c>
      <c r="BJ47" s="3" t="s">
        <v>153</v>
      </c>
      <c r="BK47" s="3" t="s">
        <v>154</v>
      </c>
      <c r="BL47" s="3" t="s">
        <v>155</v>
      </c>
      <c r="BM47" s="3" t="s">
        <v>1147</v>
      </c>
      <c r="BN47" s="3" t="s">
        <v>74</v>
      </c>
      <c r="BO47" s="3" t="s">
        <v>133</v>
      </c>
      <c r="BP47" s="3" t="s">
        <v>74</v>
      </c>
      <c r="BQ47" s="3" t="s">
        <v>74</v>
      </c>
      <c r="BR47" s="3" t="s">
        <v>101</v>
      </c>
      <c r="BS47" s="3" t="s">
        <v>1148</v>
      </c>
      <c r="BT47" s="3" t="str">
        <f>HYPERLINK("https%3A%2F%2Fwww.webofscience.com%2Fwos%2Fwoscc%2Ffull-record%2FWOS:000897262800001","View Full Record in Web of Science")</f>
        <v>View Full Record in Web of Science</v>
      </c>
      <c r="BU47" s="3"/>
      <c r="BV47" s="3"/>
      <c r="BW47" s="1"/>
    </row>
    <row r="48" spans="1:75" x14ac:dyDescent="0.25">
      <c r="A48" s="3" t="s">
        <v>72</v>
      </c>
      <c r="B48" s="3" t="s">
        <v>1149</v>
      </c>
      <c r="C48" s="3" t="s">
        <v>74</v>
      </c>
      <c r="D48" s="3" t="s">
        <v>74</v>
      </c>
      <c r="E48" s="3" t="s">
        <v>74</v>
      </c>
      <c r="F48" s="3" t="s">
        <v>1150</v>
      </c>
      <c r="G48" s="3" t="s">
        <v>74</v>
      </c>
      <c r="H48" s="3" t="s">
        <v>74</v>
      </c>
      <c r="I48" s="3" t="s">
        <v>1151</v>
      </c>
      <c r="J48" s="3" t="s">
        <v>270</v>
      </c>
      <c r="K48" s="3" t="s">
        <v>74</v>
      </c>
      <c r="L48" s="3" t="s">
        <v>74</v>
      </c>
      <c r="M48" s="3" t="s">
        <v>110</v>
      </c>
      <c r="N48" s="3" t="s">
        <v>216</v>
      </c>
      <c r="O48" s="3" t="s">
        <v>74</v>
      </c>
      <c r="P48" s="3" t="s">
        <v>74</v>
      </c>
      <c r="Q48" s="3" t="s">
        <v>74</v>
      </c>
      <c r="R48" s="3" t="s">
        <v>74</v>
      </c>
      <c r="S48" s="3" t="s">
        <v>74</v>
      </c>
      <c r="T48" s="3" t="s">
        <v>1152</v>
      </c>
      <c r="U48" s="3" t="s">
        <v>1153</v>
      </c>
      <c r="V48" s="3" t="s">
        <v>1154</v>
      </c>
      <c r="W48" s="3" t="s">
        <v>1155</v>
      </c>
      <c r="X48" s="3" t="s">
        <v>1156</v>
      </c>
      <c r="Y48" s="3" t="s">
        <v>1157</v>
      </c>
      <c r="Z48" s="3" t="s">
        <v>1158</v>
      </c>
      <c r="AA48" s="3" t="s">
        <v>1159</v>
      </c>
      <c r="AB48" s="3" t="s">
        <v>1160</v>
      </c>
      <c r="AC48" s="3" t="s">
        <v>1161</v>
      </c>
      <c r="AD48" s="3" t="s">
        <v>1162</v>
      </c>
      <c r="AE48" s="3" t="s">
        <v>1163</v>
      </c>
      <c r="AF48" s="3" t="s">
        <v>74</v>
      </c>
      <c r="AG48" s="3">
        <v>221</v>
      </c>
      <c r="AH48" s="3">
        <v>25</v>
      </c>
      <c r="AI48" s="3">
        <v>27</v>
      </c>
      <c r="AJ48" s="3">
        <v>6</v>
      </c>
      <c r="AK48" s="3">
        <v>42</v>
      </c>
      <c r="AL48" s="3" t="s">
        <v>145</v>
      </c>
      <c r="AM48" s="3" t="s">
        <v>146</v>
      </c>
      <c r="AN48" s="3" t="s">
        <v>147</v>
      </c>
      <c r="AO48" s="3" t="s">
        <v>74</v>
      </c>
      <c r="AP48" s="3" t="s">
        <v>280</v>
      </c>
      <c r="AQ48" s="3" t="s">
        <v>74</v>
      </c>
      <c r="AR48" s="3" t="s">
        <v>281</v>
      </c>
      <c r="AS48" s="3" t="s">
        <v>282</v>
      </c>
      <c r="AT48" s="3" t="s">
        <v>1164</v>
      </c>
      <c r="AU48" s="3">
        <v>2023</v>
      </c>
      <c r="AV48" s="3">
        <v>6</v>
      </c>
      <c r="AW48" s="3">
        <v>5</v>
      </c>
      <c r="AX48" s="3" t="s">
        <v>74</v>
      </c>
      <c r="AY48" s="3" t="s">
        <v>74</v>
      </c>
      <c r="AZ48" s="3" t="s">
        <v>74</v>
      </c>
      <c r="BA48" s="3" t="s">
        <v>74</v>
      </c>
      <c r="BB48" s="3">
        <v>2519</v>
      </c>
      <c r="BC48" s="3">
        <v>2552</v>
      </c>
      <c r="BD48" s="3" t="s">
        <v>74</v>
      </c>
      <c r="BE48" s="3" t="s">
        <v>1165</v>
      </c>
      <c r="BF48" s="3" t="str">
        <f>HYPERLINK("http://dx.doi.org/10.3390/smartcities6050114","http://dx.doi.org/10.3390/smartcities6050114")</f>
        <v>http://dx.doi.org/10.3390/smartcities6050114</v>
      </c>
      <c r="BG48" s="3" t="s">
        <v>74</v>
      </c>
      <c r="BH48" s="3" t="s">
        <v>74</v>
      </c>
      <c r="BI48" s="3">
        <v>34</v>
      </c>
      <c r="BJ48" s="3" t="s">
        <v>285</v>
      </c>
      <c r="BK48" s="3" t="s">
        <v>97</v>
      </c>
      <c r="BL48" s="3" t="s">
        <v>286</v>
      </c>
      <c r="BM48" s="3" t="s">
        <v>1166</v>
      </c>
      <c r="BN48" s="3" t="s">
        <v>74</v>
      </c>
      <c r="BO48" s="3" t="s">
        <v>100</v>
      </c>
      <c r="BP48" s="3" t="s">
        <v>74</v>
      </c>
      <c r="BQ48" s="3" t="s">
        <v>74</v>
      </c>
      <c r="BR48" s="3" t="s">
        <v>101</v>
      </c>
      <c r="BS48" s="3" t="s">
        <v>1167</v>
      </c>
      <c r="BT48" s="3" t="str">
        <f>HYPERLINK("https%3A%2F%2Fwww.webofscience.com%2Fwos%2Fwoscc%2Ffull-record%2FWOS:001090029400001","View Full Record in Web of Science")</f>
        <v>View Full Record in Web of Science</v>
      </c>
      <c r="BU48" s="3"/>
      <c r="BV48" s="3"/>
      <c r="BW48" s="1"/>
    </row>
    <row r="49" spans="1:75" x14ac:dyDescent="0.25">
      <c r="A49" s="3" t="s">
        <v>72</v>
      </c>
      <c r="B49" s="3" t="s">
        <v>1168</v>
      </c>
      <c r="C49" s="3" t="s">
        <v>74</v>
      </c>
      <c r="D49" s="3" t="s">
        <v>74</v>
      </c>
      <c r="E49" s="3" t="s">
        <v>74</v>
      </c>
      <c r="F49" s="3" t="s">
        <v>1169</v>
      </c>
      <c r="G49" s="3" t="s">
        <v>74</v>
      </c>
      <c r="H49" s="3" t="s">
        <v>74</v>
      </c>
      <c r="I49" s="3" t="s">
        <v>1170</v>
      </c>
      <c r="J49" s="3" t="s">
        <v>1171</v>
      </c>
      <c r="K49" s="3" t="s">
        <v>74</v>
      </c>
      <c r="L49" s="3" t="s">
        <v>74</v>
      </c>
      <c r="M49" s="3" t="s">
        <v>110</v>
      </c>
      <c r="N49" s="3" t="s">
        <v>79</v>
      </c>
      <c r="O49" s="3" t="s">
        <v>74</v>
      </c>
      <c r="P49" s="3" t="s">
        <v>74</v>
      </c>
      <c r="Q49" s="3" t="s">
        <v>74</v>
      </c>
      <c r="R49" s="3" t="s">
        <v>74</v>
      </c>
      <c r="S49" s="3" t="s">
        <v>74</v>
      </c>
      <c r="T49" s="3" t="s">
        <v>1172</v>
      </c>
      <c r="U49" s="3" t="s">
        <v>1173</v>
      </c>
      <c r="V49" s="3" t="s">
        <v>1174</v>
      </c>
      <c r="W49" s="3" t="s">
        <v>1175</v>
      </c>
      <c r="X49" s="3" t="s">
        <v>1176</v>
      </c>
      <c r="Y49" s="3" t="s">
        <v>1177</v>
      </c>
      <c r="Z49" s="3" t="s">
        <v>1178</v>
      </c>
      <c r="AA49" s="3" t="s">
        <v>1179</v>
      </c>
      <c r="AB49" s="3" t="s">
        <v>1180</v>
      </c>
      <c r="AC49" s="3" t="s">
        <v>74</v>
      </c>
      <c r="AD49" s="3" t="s">
        <v>74</v>
      </c>
      <c r="AE49" s="3" t="s">
        <v>74</v>
      </c>
      <c r="AF49" s="3" t="s">
        <v>74</v>
      </c>
      <c r="AG49" s="3">
        <v>93</v>
      </c>
      <c r="AH49" s="3">
        <v>9</v>
      </c>
      <c r="AI49" s="3">
        <v>9</v>
      </c>
      <c r="AJ49" s="3">
        <v>1</v>
      </c>
      <c r="AK49" s="3">
        <v>21</v>
      </c>
      <c r="AL49" s="3" t="s">
        <v>671</v>
      </c>
      <c r="AM49" s="3" t="s">
        <v>124</v>
      </c>
      <c r="AN49" s="3" t="s">
        <v>672</v>
      </c>
      <c r="AO49" s="3" t="s">
        <v>1181</v>
      </c>
      <c r="AP49" s="3" t="s">
        <v>1182</v>
      </c>
      <c r="AQ49" s="3" t="s">
        <v>74</v>
      </c>
      <c r="AR49" s="3" t="s">
        <v>1183</v>
      </c>
      <c r="AS49" s="3" t="s">
        <v>1184</v>
      </c>
      <c r="AT49" s="3" t="s">
        <v>151</v>
      </c>
      <c r="AU49" s="3">
        <v>2022</v>
      </c>
      <c r="AV49" s="3">
        <v>45</v>
      </c>
      <c r="AW49" s="3" t="s">
        <v>74</v>
      </c>
      <c r="AX49" s="3" t="s">
        <v>103</v>
      </c>
      <c r="AY49" s="3" t="s">
        <v>74</v>
      </c>
      <c r="AZ49" s="3" t="s">
        <v>74</v>
      </c>
      <c r="BA49" s="3" t="s">
        <v>74</v>
      </c>
      <c r="BB49" s="3" t="s">
        <v>74</v>
      </c>
      <c r="BC49" s="3" t="s">
        <v>74</v>
      </c>
      <c r="BD49" s="3">
        <v>100865</v>
      </c>
      <c r="BE49" s="3" t="s">
        <v>1185</v>
      </c>
      <c r="BF49" s="3" t="str">
        <f>HYPERLINK("http://dx.doi.org/10.1016/j.rtbm.2022.100865","http://dx.doi.org/10.1016/j.rtbm.2022.100865")</f>
        <v>http://dx.doi.org/10.1016/j.rtbm.2022.100865</v>
      </c>
      <c r="BG49" s="3" t="s">
        <v>74</v>
      </c>
      <c r="BH49" s="3" t="s">
        <v>74</v>
      </c>
      <c r="BI49" s="3">
        <v>11</v>
      </c>
      <c r="BJ49" s="3" t="s">
        <v>1186</v>
      </c>
      <c r="BK49" s="3" t="s">
        <v>264</v>
      </c>
      <c r="BL49" s="3" t="s">
        <v>1187</v>
      </c>
      <c r="BM49" s="3" t="s">
        <v>1188</v>
      </c>
      <c r="BN49" s="3">
        <v>38013983</v>
      </c>
      <c r="BO49" s="3" t="s">
        <v>683</v>
      </c>
      <c r="BP49" s="3" t="s">
        <v>74</v>
      </c>
      <c r="BQ49" s="3" t="s">
        <v>74</v>
      </c>
      <c r="BR49" s="3" t="s">
        <v>101</v>
      </c>
      <c r="BS49" s="3" t="s">
        <v>1189</v>
      </c>
      <c r="BT49" s="3" t="str">
        <f>HYPERLINK("https%3A%2F%2Fwww.webofscience.com%2Fwos%2Fwoscc%2Ffull-record%2FWOS:000904001100009","View Full Record in Web of Science")</f>
        <v>View Full Record in Web of Science</v>
      </c>
      <c r="BU49" s="3"/>
      <c r="BV49" s="3"/>
      <c r="BW49" s="1"/>
    </row>
    <row r="50" spans="1:75" x14ac:dyDescent="0.25">
      <c r="A50" s="3" t="s">
        <v>72</v>
      </c>
      <c r="B50" s="3" t="s">
        <v>1190</v>
      </c>
      <c r="C50" s="3" t="s">
        <v>74</v>
      </c>
      <c r="D50" s="3" t="s">
        <v>74</v>
      </c>
      <c r="E50" s="3" t="s">
        <v>74</v>
      </c>
      <c r="F50" s="3" t="s">
        <v>1191</v>
      </c>
      <c r="G50" s="3" t="s">
        <v>74</v>
      </c>
      <c r="H50" s="3" t="s">
        <v>74</v>
      </c>
      <c r="I50" s="3" t="s">
        <v>1192</v>
      </c>
      <c r="J50" s="3" t="s">
        <v>138</v>
      </c>
      <c r="K50" s="3" t="s">
        <v>74</v>
      </c>
      <c r="L50" s="3" t="s">
        <v>74</v>
      </c>
      <c r="M50" s="3" t="s">
        <v>110</v>
      </c>
      <c r="N50" s="3" t="s">
        <v>79</v>
      </c>
      <c r="O50" s="3" t="s">
        <v>74</v>
      </c>
      <c r="P50" s="3" t="s">
        <v>74</v>
      </c>
      <c r="Q50" s="3" t="s">
        <v>74</v>
      </c>
      <c r="R50" s="3" t="s">
        <v>74</v>
      </c>
      <c r="S50" s="3" t="s">
        <v>74</v>
      </c>
      <c r="T50" s="3" t="s">
        <v>1193</v>
      </c>
      <c r="U50" s="3" t="s">
        <v>1194</v>
      </c>
      <c r="V50" s="3" t="s">
        <v>1195</v>
      </c>
      <c r="W50" s="3" t="s">
        <v>1196</v>
      </c>
      <c r="X50" s="3" t="s">
        <v>1197</v>
      </c>
      <c r="Y50" s="3" t="s">
        <v>1198</v>
      </c>
      <c r="Z50" s="3" t="s">
        <v>1199</v>
      </c>
      <c r="AA50" s="3" t="s">
        <v>1200</v>
      </c>
      <c r="AB50" s="3" t="s">
        <v>1201</v>
      </c>
      <c r="AC50" s="3" t="s">
        <v>1202</v>
      </c>
      <c r="AD50" s="3" t="s">
        <v>1203</v>
      </c>
      <c r="AE50" s="3" t="s">
        <v>1204</v>
      </c>
      <c r="AF50" s="3" t="s">
        <v>74</v>
      </c>
      <c r="AG50" s="3">
        <v>62</v>
      </c>
      <c r="AH50" s="3">
        <v>22</v>
      </c>
      <c r="AI50" s="3">
        <v>25</v>
      </c>
      <c r="AJ50" s="3">
        <v>4</v>
      </c>
      <c r="AK50" s="3">
        <v>36</v>
      </c>
      <c r="AL50" s="3" t="s">
        <v>145</v>
      </c>
      <c r="AM50" s="3" t="s">
        <v>146</v>
      </c>
      <c r="AN50" s="3" t="s">
        <v>147</v>
      </c>
      <c r="AO50" s="3" t="s">
        <v>74</v>
      </c>
      <c r="AP50" s="3" t="s">
        <v>148</v>
      </c>
      <c r="AQ50" s="3" t="s">
        <v>74</v>
      </c>
      <c r="AR50" s="3" t="s">
        <v>149</v>
      </c>
      <c r="AS50" s="3" t="s">
        <v>150</v>
      </c>
      <c r="AT50" s="3" t="s">
        <v>283</v>
      </c>
      <c r="AU50" s="3">
        <v>2022</v>
      </c>
      <c r="AV50" s="3">
        <v>14</v>
      </c>
      <c r="AW50" s="3">
        <v>16</v>
      </c>
      <c r="AX50" s="3" t="s">
        <v>74</v>
      </c>
      <c r="AY50" s="3" t="s">
        <v>74</v>
      </c>
      <c r="AZ50" s="3" t="s">
        <v>74</v>
      </c>
      <c r="BA50" s="3" t="s">
        <v>74</v>
      </c>
      <c r="BB50" s="3" t="s">
        <v>74</v>
      </c>
      <c r="BC50" s="3" t="s">
        <v>74</v>
      </c>
      <c r="BD50" s="3">
        <v>10001</v>
      </c>
      <c r="BE50" s="3" t="s">
        <v>1205</v>
      </c>
      <c r="BF50" s="3" t="str">
        <f>HYPERLINK("http://dx.doi.org/10.3390/su141610001","http://dx.doi.org/10.3390/su141610001")</f>
        <v>http://dx.doi.org/10.3390/su141610001</v>
      </c>
      <c r="BG50" s="3" t="s">
        <v>74</v>
      </c>
      <c r="BH50" s="3" t="s">
        <v>74</v>
      </c>
      <c r="BI50" s="3">
        <v>13</v>
      </c>
      <c r="BJ50" s="3" t="s">
        <v>153</v>
      </c>
      <c r="BK50" s="3" t="s">
        <v>154</v>
      </c>
      <c r="BL50" s="3" t="s">
        <v>155</v>
      </c>
      <c r="BM50" s="3" t="s">
        <v>1206</v>
      </c>
      <c r="BN50" s="3" t="s">
        <v>74</v>
      </c>
      <c r="BO50" s="3" t="s">
        <v>133</v>
      </c>
      <c r="BP50" s="3" t="s">
        <v>74</v>
      </c>
      <c r="BQ50" s="3" t="s">
        <v>74</v>
      </c>
      <c r="BR50" s="3" t="s">
        <v>101</v>
      </c>
      <c r="BS50" s="3" t="s">
        <v>1207</v>
      </c>
      <c r="BT50" s="3" t="str">
        <f>HYPERLINK("https%3A%2F%2Fwww.webofscience.com%2Fwos%2Fwoscc%2Ffull-record%2FWOS:000846608600001","View Full Record in Web of Science")</f>
        <v>View Full Record in Web of Science</v>
      </c>
      <c r="BU50" s="3"/>
      <c r="BV50" s="3"/>
      <c r="BW50" s="1"/>
    </row>
    <row r="51" spans="1:75" x14ac:dyDescent="0.25">
      <c r="A51" s="3" t="s">
        <v>72</v>
      </c>
      <c r="B51" s="3" t="s">
        <v>1208</v>
      </c>
      <c r="C51" s="3" t="s">
        <v>74</v>
      </c>
      <c r="D51" s="3" t="s">
        <v>74</v>
      </c>
      <c r="E51" s="3" t="s">
        <v>74</v>
      </c>
      <c r="F51" s="3" t="s">
        <v>1209</v>
      </c>
      <c r="G51" s="3" t="s">
        <v>74</v>
      </c>
      <c r="H51" s="3" t="s">
        <v>74</v>
      </c>
      <c r="I51" s="3" t="s">
        <v>1210</v>
      </c>
      <c r="J51" s="3" t="s">
        <v>1211</v>
      </c>
      <c r="K51" s="3" t="s">
        <v>74</v>
      </c>
      <c r="L51" s="3" t="s">
        <v>74</v>
      </c>
      <c r="M51" s="3" t="s">
        <v>110</v>
      </c>
      <c r="N51" s="3" t="s">
        <v>79</v>
      </c>
      <c r="O51" s="3" t="s">
        <v>74</v>
      </c>
      <c r="P51" s="3" t="s">
        <v>74</v>
      </c>
      <c r="Q51" s="3" t="s">
        <v>74</v>
      </c>
      <c r="R51" s="3" t="s">
        <v>74</v>
      </c>
      <c r="S51" s="3" t="s">
        <v>74</v>
      </c>
      <c r="T51" s="3" t="s">
        <v>1212</v>
      </c>
      <c r="U51" s="3" t="s">
        <v>74</v>
      </c>
      <c r="V51" s="3" t="s">
        <v>1213</v>
      </c>
      <c r="W51" s="3" t="s">
        <v>1214</v>
      </c>
      <c r="X51" s="3" t="s">
        <v>1215</v>
      </c>
      <c r="Y51" s="3" t="s">
        <v>1216</v>
      </c>
      <c r="Z51" s="3" t="s">
        <v>1217</v>
      </c>
      <c r="AA51" s="3" t="s">
        <v>1218</v>
      </c>
      <c r="AB51" s="3" t="s">
        <v>1219</v>
      </c>
      <c r="AC51" s="3" t="s">
        <v>74</v>
      </c>
      <c r="AD51" s="3" t="s">
        <v>74</v>
      </c>
      <c r="AE51" s="3" t="s">
        <v>74</v>
      </c>
      <c r="AF51" s="3" t="s">
        <v>74</v>
      </c>
      <c r="AG51" s="3">
        <v>5</v>
      </c>
      <c r="AH51" s="3">
        <v>2</v>
      </c>
      <c r="AI51" s="3">
        <v>2</v>
      </c>
      <c r="AJ51" s="3">
        <v>1</v>
      </c>
      <c r="AK51" s="3">
        <v>2</v>
      </c>
      <c r="AL51" s="3" t="s">
        <v>846</v>
      </c>
      <c r="AM51" s="3" t="s">
        <v>847</v>
      </c>
      <c r="AN51" s="3" t="s">
        <v>848</v>
      </c>
      <c r="AO51" s="3" t="s">
        <v>1220</v>
      </c>
      <c r="AP51" s="3" t="s">
        <v>1221</v>
      </c>
      <c r="AQ51" s="3" t="s">
        <v>74</v>
      </c>
      <c r="AR51" s="3" t="s">
        <v>1222</v>
      </c>
      <c r="AS51" s="3" t="s">
        <v>1223</v>
      </c>
      <c r="AT51" s="3" t="s">
        <v>283</v>
      </c>
      <c r="AU51" s="3">
        <v>2024</v>
      </c>
      <c r="AV51" s="3">
        <v>70</v>
      </c>
      <c r="AW51" s="3">
        <v>3</v>
      </c>
      <c r="AX51" s="3" t="s">
        <v>74</v>
      </c>
      <c r="AY51" s="3" t="s">
        <v>74</v>
      </c>
      <c r="AZ51" s="3" t="s">
        <v>74</v>
      </c>
      <c r="BA51" s="3" t="s">
        <v>74</v>
      </c>
      <c r="BB51" s="3">
        <v>5814</v>
      </c>
      <c r="BC51" s="3">
        <v>5817</v>
      </c>
      <c r="BD51" s="3" t="s">
        <v>74</v>
      </c>
      <c r="BE51" s="3" t="s">
        <v>1224</v>
      </c>
      <c r="BF51" s="3" t="str">
        <f>HYPERLINK("http://dx.doi.org/10.1109/TCE.2024.3422617","http://dx.doi.org/10.1109/TCE.2024.3422617")</f>
        <v>http://dx.doi.org/10.1109/TCE.2024.3422617</v>
      </c>
      <c r="BG51" s="3" t="s">
        <v>74</v>
      </c>
      <c r="BH51" s="3" t="s">
        <v>74</v>
      </c>
      <c r="BI51" s="3">
        <v>4</v>
      </c>
      <c r="BJ51" s="3" t="s">
        <v>1225</v>
      </c>
      <c r="BK51" s="3" t="s">
        <v>179</v>
      </c>
      <c r="BL51" s="3" t="s">
        <v>1226</v>
      </c>
      <c r="BM51" s="3" t="s">
        <v>1227</v>
      </c>
      <c r="BN51" s="3" t="s">
        <v>74</v>
      </c>
      <c r="BO51" s="3" t="s">
        <v>74</v>
      </c>
      <c r="BP51" s="3" t="s">
        <v>74</v>
      </c>
      <c r="BQ51" s="3" t="s">
        <v>74</v>
      </c>
      <c r="BR51" s="3" t="s">
        <v>101</v>
      </c>
      <c r="BS51" s="3" t="s">
        <v>1228</v>
      </c>
      <c r="BT51" s="3" t="str">
        <f>HYPERLINK("https%3A%2F%2Fwww.webofscience.com%2Fwos%2Fwoscc%2Ffull-record%2FWOS:001378122400021","View Full Record in Web of Science")</f>
        <v>View Full Record in Web of Science</v>
      </c>
      <c r="BU51" s="3"/>
      <c r="BV51" s="3"/>
      <c r="BW51" s="1"/>
    </row>
    <row r="52" spans="1:75" x14ac:dyDescent="0.25">
      <c r="A52" s="3" t="s">
        <v>72</v>
      </c>
      <c r="B52" s="3" t="s">
        <v>1229</v>
      </c>
      <c r="C52" s="3" t="s">
        <v>74</v>
      </c>
      <c r="D52" s="3" t="s">
        <v>74</v>
      </c>
      <c r="E52" s="3" t="s">
        <v>74</v>
      </c>
      <c r="F52" s="3" t="s">
        <v>1230</v>
      </c>
      <c r="G52" s="3" t="s">
        <v>74</v>
      </c>
      <c r="H52" s="3" t="s">
        <v>74</v>
      </c>
      <c r="I52" s="3" t="s">
        <v>1231</v>
      </c>
      <c r="J52" s="3" t="s">
        <v>138</v>
      </c>
      <c r="K52" s="3" t="s">
        <v>74</v>
      </c>
      <c r="L52" s="3" t="s">
        <v>74</v>
      </c>
      <c r="M52" s="3" t="s">
        <v>110</v>
      </c>
      <c r="N52" s="3" t="s">
        <v>79</v>
      </c>
      <c r="O52" s="3" t="s">
        <v>74</v>
      </c>
      <c r="P52" s="3" t="s">
        <v>74</v>
      </c>
      <c r="Q52" s="3" t="s">
        <v>74</v>
      </c>
      <c r="R52" s="3" t="s">
        <v>74</v>
      </c>
      <c r="S52" s="3" t="s">
        <v>74</v>
      </c>
      <c r="T52" s="3" t="s">
        <v>1232</v>
      </c>
      <c r="U52" s="3" t="s">
        <v>1233</v>
      </c>
      <c r="V52" s="3" t="s">
        <v>1234</v>
      </c>
      <c r="W52" s="3" t="s">
        <v>1235</v>
      </c>
      <c r="X52" s="3" t="s">
        <v>1236</v>
      </c>
      <c r="Y52" s="3" t="s">
        <v>1237</v>
      </c>
      <c r="Z52" s="3" t="s">
        <v>1238</v>
      </c>
      <c r="AA52" s="3" t="s">
        <v>74</v>
      </c>
      <c r="AB52" s="3" t="s">
        <v>1239</v>
      </c>
      <c r="AC52" s="3" t="s">
        <v>74</v>
      </c>
      <c r="AD52" s="3" t="s">
        <v>74</v>
      </c>
      <c r="AE52" s="3" t="s">
        <v>74</v>
      </c>
      <c r="AF52" s="3" t="s">
        <v>74</v>
      </c>
      <c r="AG52" s="3">
        <v>71</v>
      </c>
      <c r="AH52" s="3">
        <v>5</v>
      </c>
      <c r="AI52" s="3">
        <v>8</v>
      </c>
      <c r="AJ52" s="3">
        <v>4</v>
      </c>
      <c r="AK52" s="3">
        <v>73</v>
      </c>
      <c r="AL52" s="3" t="s">
        <v>145</v>
      </c>
      <c r="AM52" s="3" t="s">
        <v>146</v>
      </c>
      <c r="AN52" s="3" t="s">
        <v>147</v>
      </c>
      <c r="AO52" s="3" t="s">
        <v>74</v>
      </c>
      <c r="AP52" s="3" t="s">
        <v>148</v>
      </c>
      <c r="AQ52" s="3" t="s">
        <v>74</v>
      </c>
      <c r="AR52" s="3" t="s">
        <v>149</v>
      </c>
      <c r="AS52" s="3" t="s">
        <v>150</v>
      </c>
      <c r="AT52" s="3" t="s">
        <v>1240</v>
      </c>
      <c r="AU52" s="3">
        <v>2022</v>
      </c>
      <c r="AV52" s="3">
        <v>14</v>
      </c>
      <c r="AW52" s="3">
        <v>10</v>
      </c>
      <c r="AX52" s="3" t="s">
        <v>74</v>
      </c>
      <c r="AY52" s="3" t="s">
        <v>74</v>
      </c>
      <c r="AZ52" s="3" t="s">
        <v>74</v>
      </c>
      <c r="BA52" s="3" t="s">
        <v>74</v>
      </c>
      <c r="BB52" s="3" t="s">
        <v>74</v>
      </c>
      <c r="BC52" s="3" t="s">
        <v>74</v>
      </c>
      <c r="BD52" s="3">
        <v>6039</v>
      </c>
      <c r="BE52" s="3" t="s">
        <v>1241</v>
      </c>
      <c r="BF52" s="3" t="str">
        <f>HYPERLINK("http://dx.doi.org/10.3390/su14106039","http://dx.doi.org/10.3390/su14106039")</f>
        <v>http://dx.doi.org/10.3390/su14106039</v>
      </c>
      <c r="BG52" s="3" t="s">
        <v>74</v>
      </c>
      <c r="BH52" s="3" t="s">
        <v>74</v>
      </c>
      <c r="BI52" s="3">
        <v>18</v>
      </c>
      <c r="BJ52" s="3" t="s">
        <v>153</v>
      </c>
      <c r="BK52" s="3" t="s">
        <v>154</v>
      </c>
      <c r="BL52" s="3" t="s">
        <v>155</v>
      </c>
      <c r="BM52" s="3" t="s">
        <v>1242</v>
      </c>
      <c r="BN52" s="3" t="s">
        <v>74</v>
      </c>
      <c r="BO52" s="3" t="s">
        <v>133</v>
      </c>
      <c r="BP52" s="3" t="s">
        <v>74</v>
      </c>
      <c r="BQ52" s="3" t="s">
        <v>74</v>
      </c>
      <c r="BR52" s="3" t="s">
        <v>101</v>
      </c>
      <c r="BS52" s="3" t="s">
        <v>1243</v>
      </c>
      <c r="BT52" s="3" t="str">
        <f>HYPERLINK("https%3A%2F%2Fwww.webofscience.com%2Fwos%2Fwoscc%2Ffull-record%2FWOS:000801914700001","View Full Record in Web of Science")</f>
        <v>View Full Record in Web of Science</v>
      </c>
      <c r="BU52" s="3"/>
      <c r="BV52" s="3"/>
      <c r="BW52" s="1"/>
    </row>
    <row r="53" spans="1:75" x14ac:dyDescent="0.25">
      <c r="A53" s="3" t="s">
        <v>72</v>
      </c>
      <c r="B53" s="3" t="s">
        <v>1244</v>
      </c>
      <c r="C53" s="3" t="s">
        <v>74</v>
      </c>
      <c r="D53" s="3" t="s">
        <v>74</v>
      </c>
      <c r="E53" s="3" t="s">
        <v>74</v>
      </c>
      <c r="F53" s="3" t="s">
        <v>1245</v>
      </c>
      <c r="G53" s="3" t="s">
        <v>74</v>
      </c>
      <c r="H53" s="3" t="s">
        <v>74</v>
      </c>
      <c r="I53" s="3" t="s">
        <v>1246</v>
      </c>
      <c r="J53" s="3" t="s">
        <v>161</v>
      </c>
      <c r="K53" s="3" t="s">
        <v>74</v>
      </c>
      <c r="L53" s="3" t="s">
        <v>74</v>
      </c>
      <c r="M53" s="3" t="s">
        <v>110</v>
      </c>
      <c r="N53" s="3" t="s">
        <v>216</v>
      </c>
      <c r="O53" s="3" t="s">
        <v>74</v>
      </c>
      <c r="P53" s="3" t="s">
        <v>74</v>
      </c>
      <c r="Q53" s="3" t="s">
        <v>74</v>
      </c>
      <c r="R53" s="3" t="s">
        <v>74</v>
      </c>
      <c r="S53" s="3" t="s">
        <v>74</v>
      </c>
      <c r="T53" s="3" t="s">
        <v>1247</v>
      </c>
      <c r="U53" s="3" t="s">
        <v>1248</v>
      </c>
      <c r="V53" s="3" t="s">
        <v>1249</v>
      </c>
      <c r="W53" s="3" t="s">
        <v>1250</v>
      </c>
      <c r="X53" s="3" t="s">
        <v>1251</v>
      </c>
      <c r="Y53" s="3" t="s">
        <v>1252</v>
      </c>
      <c r="Z53" s="3" t="s">
        <v>74</v>
      </c>
      <c r="AA53" s="3" t="s">
        <v>1253</v>
      </c>
      <c r="AB53" s="3" t="s">
        <v>1254</v>
      </c>
      <c r="AC53" s="3" t="s">
        <v>74</v>
      </c>
      <c r="AD53" s="3" t="s">
        <v>74</v>
      </c>
      <c r="AE53" s="3" t="s">
        <v>74</v>
      </c>
      <c r="AF53" s="3" t="s">
        <v>74</v>
      </c>
      <c r="AG53" s="3">
        <v>106</v>
      </c>
      <c r="AH53" s="3">
        <v>12</v>
      </c>
      <c r="AI53" s="3">
        <v>16</v>
      </c>
      <c r="AJ53" s="3">
        <v>3</v>
      </c>
      <c r="AK53" s="3">
        <v>44</v>
      </c>
      <c r="AL53" s="3" t="s">
        <v>145</v>
      </c>
      <c r="AM53" s="3" t="s">
        <v>146</v>
      </c>
      <c r="AN53" s="3" t="s">
        <v>147</v>
      </c>
      <c r="AO53" s="3" t="s">
        <v>74</v>
      </c>
      <c r="AP53" s="3" t="s">
        <v>174</v>
      </c>
      <c r="AQ53" s="3" t="s">
        <v>74</v>
      </c>
      <c r="AR53" s="3" t="s">
        <v>161</v>
      </c>
      <c r="AS53" s="3" t="s">
        <v>175</v>
      </c>
      <c r="AT53" s="3" t="s">
        <v>151</v>
      </c>
      <c r="AU53" s="3">
        <v>2022</v>
      </c>
      <c r="AV53" s="3">
        <v>15</v>
      </c>
      <c r="AW53" s="3">
        <v>24</v>
      </c>
      <c r="AX53" s="3" t="s">
        <v>74</v>
      </c>
      <c r="AY53" s="3" t="s">
        <v>74</v>
      </c>
      <c r="AZ53" s="3" t="s">
        <v>74</v>
      </c>
      <c r="BA53" s="3" t="s">
        <v>74</v>
      </c>
      <c r="BB53" s="3" t="s">
        <v>74</v>
      </c>
      <c r="BC53" s="3" t="s">
        <v>74</v>
      </c>
      <c r="BD53" s="3">
        <v>9326</v>
      </c>
      <c r="BE53" s="3" t="s">
        <v>1255</v>
      </c>
      <c r="BF53" s="3" t="str">
        <f>HYPERLINK("http://dx.doi.org/10.3390/en15249326","http://dx.doi.org/10.3390/en15249326")</f>
        <v>http://dx.doi.org/10.3390/en15249326</v>
      </c>
      <c r="BG53" s="3" t="s">
        <v>74</v>
      </c>
      <c r="BH53" s="3" t="s">
        <v>74</v>
      </c>
      <c r="BI53" s="3">
        <v>19</v>
      </c>
      <c r="BJ53" s="3" t="s">
        <v>178</v>
      </c>
      <c r="BK53" s="3" t="s">
        <v>179</v>
      </c>
      <c r="BL53" s="3" t="s">
        <v>178</v>
      </c>
      <c r="BM53" s="3" t="s">
        <v>1256</v>
      </c>
      <c r="BN53" s="3" t="s">
        <v>74</v>
      </c>
      <c r="BO53" s="3" t="s">
        <v>133</v>
      </c>
      <c r="BP53" s="3" t="s">
        <v>74</v>
      </c>
      <c r="BQ53" s="3" t="s">
        <v>74</v>
      </c>
      <c r="BR53" s="3" t="s">
        <v>101</v>
      </c>
      <c r="BS53" s="3" t="s">
        <v>1257</v>
      </c>
      <c r="BT53" s="3" t="str">
        <f>HYPERLINK("https%3A%2F%2Fwww.webofscience.com%2Fwos%2Fwoscc%2Ffull-record%2FWOS:000901108600001","View Full Record in Web of Science")</f>
        <v>View Full Record in Web of Science</v>
      </c>
      <c r="BU53" s="3"/>
      <c r="BV53" s="3"/>
      <c r="BW53" s="1"/>
    </row>
    <row r="54" spans="1:75" x14ac:dyDescent="0.25">
      <c r="A54" s="3" t="s">
        <v>72</v>
      </c>
      <c r="B54" s="3" t="s">
        <v>1258</v>
      </c>
      <c r="C54" s="3" t="s">
        <v>74</v>
      </c>
      <c r="D54" s="3" t="s">
        <v>74</v>
      </c>
      <c r="E54" s="3" t="s">
        <v>74</v>
      </c>
      <c r="F54" s="3" t="s">
        <v>1259</v>
      </c>
      <c r="G54" s="3" t="s">
        <v>74</v>
      </c>
      <c r="H54" s="3" t="s">
        <v>74</v>
      </c>
      <c r="I54" s="3" t="s">
        <v>1260</v>
      </c>
      <c r="J54" s="3" t="s">
        <v>1261</v>
      </c>
      <c r="K54" s="3" t="s">
        <v>74</v>
      </c>
      <c r="L54" s="3" t="s">
        <v>74</v>
      </c>
      <c r="M54" s="3" t="s">
        <v>110</v>
      </c>
      <c r="N54" s="3" t="s">
        <v>79</v>
      </c>
      <c r="O54" s="3" t="s">
        <v>74</v>
      </c>
      <c r="P54" s="3" t="s">
        <v>74</v>
      </c>
      <c r="Q54" s="3" t="s">
        <v>74</v>
      </c>
      <c r="R54" s="3" t="s">
        <v>74</v>
      </c>
      <c r="S54" s="3" t="s">
        <v>74</v>
      </c>
      <c r="T54" s="3" t="s">
        <v>1262</v>
      </c>
      <c r="U54" s="3" t="s">
        <v>1263</v>
      </c>
      <c r="V54" s="3" t="s">
        <v>1264</v>
      </c>
      <c r="W54" s="3" t="s">
        <v>1265</v>
      </c>
      <c r="X54" s="3" t="s">
        <v>1266</v>
      </c>
      <c r="Y54" s="3" t="s">
        <v>1267</v>
      </c>
      <c r="Z54" s="3" t="s">
        <v>1268</v>
      </c>
      <c r="AA54" s="3" t="s">
        <v>1269</v>
      </c>
      <c r="AB54" s="3" t="s">
        <v>1270</v>
      </c>
      <c r="AC54" s="3" t="s">
        <v>1271</v>
      </c>
      <c r="AD54" s="3" t="s">
        <v>1272</v>
      </c>
      <c r="AE54" s="3" t="s">
        <v>1273</v>
      </c>
      <c r="AF54" s="3" t="s">
        <v>74</v>
      </c>
      <c r="AG54" s="3">
        <v>85</v>
      </c>
      <c r="AH54" s="3">
        <v>7</v>
      </c>
      <c r="AI54" s="3">
        <v>8</v>
      </c>
      <c r="AJ54" s="3">
        <v>2</v>
      </c>
      <c r="AK54" s="3">
        <v>3</v>
      </c>
      <c r="AL54" s="3" t="s">
        <v>145</v>
      </c>
      <c r="AM54" s="3" t="s">
        <v>146</v>
      </c>
      <c r="AN54" s="3" t="s">
        <v>279</v>
      </c>
      <c r="AO54" s="3" t="s">
        <v>74</v>
      </c>
      <c r="AP54" s="3" t="s">
        <v>1274</v>
      </c>
      <c r="AQ54" s="3" t="s">
        <v>74</v>
      </c>
      <c r="AR54" s="3" t="s">
        <v>1275</v>
      </c>
      <c r="AS54" s="3" t="s">
        <v>1276</v>
      </c>
      <c r="AT54" s="3" t="s">
        <v>151</v>
      </c>
      <c r="AU54" s="3">
        <v>2022</v>
      </c>
      <c r="AV54" s="3">
        <v>2</v>
      </c>
      <c r="AW54" s="3">
        <v>4</v>
      </c>
      <c r="AX54" s="3" t="s">
        <v>74</v>
      </c>
      <c r="AY54" s="3" t="s">
        <v>74</v>
      </c>
      <c r="AZ54" s="3" t="s">
        <v>74</v>
      </c>
      <c r="BA54" s="3" t="s">
        <v>74</v>
      </c>
      <c r="BB54" s="3">
        <v>868</v>
      </c>
      <c r="BC54" s="3">
        <v>885</v>
      </c>
      <c r="BD54" s="3" t="s">
        <v>74</v>
      </c>
      <c r="BE54" s="3" t="s">
        <v>1277</v>
      </c>
      <c r="BF54" s="3" t="str">
        <f>HYPERLINK("http://dx.doi.org/10.3390/futuretransp2040048","http://dx.doi.org/10.3390/futuretransp2040048")</f>
        <v>http://dx.doi.org/10.3390/futuretransp2040048</v>
      </c>
      <c r="BG54" s="3" t="s">
        <v>74</v>
      </c>
      <c r="BH54" s="3" t="s">
        <v>74</v>
      </c>
      <c r="BI54" s="3">
        <v>18</v>
      </c>
      <c r="BJ54" s="3" t="s">
        <v>129</v>
      </c>
      <c r="BK54" s="3" t="s">
        <v>97</v>
      </c>
      <c r="BL54" s="3" t="s">
        <v>131</v>
      </c>
      <c r="BM54" s="3" t="s">
        <v>1278</v>
      </c>
      <c r="BN54" s="3" t="s">
        <v>74</v>
      </c>
      <c r="BO54" s="3" t="s">
        <v>133</v>
      </c>
      <c r="BP54" s="3" t="s">
        <v>74</v>
      </c>
      <c r="BQ54" s="3" t="s">
        <v>74</v>
      </c>
      <c r="BR54" s="3" t="s">
        <v>101</v>
      </c>
      <c r="BS54" s="3" t="s">
        <v>1279</v>
      </c>
      <c r="BT54" s="3" t="str">
        <f>HYPERLINK("https%3A%2F%2Fwww.webofscience.com%2Fwos%2Fwoscc%2Ffull-record%2FWOS:001274260600001","View Full Record in Web of Science")</f>
        <v>View Full Record in Web of Science</v>
      </c>
      <c r="BU54" s="3"/>
      <c r="BV54" s="3"/>
      <c r="BW54" s="1"/>
    </row>
    <row r="55" spans="1:75" x14ac:dyDescent="0.25">
      <c r="A55" s="3" t="s">
        <v>72</v>
      </c>
      <c r="B55" s="3" t="s">
        <v>1280</v>
      </c>
      <c r="C55" s="3" t="s">
        <v>74</v>
      </c>
      <c r="D55" s="3" t="s">
        <v>74</v>
      </c>
      <c r="E55" s="3" t="s">
        <v>74</v>
      </c>
      <c r="F55" s="3" t="s">
        <v>1281</v>
      </c>
      <c r="G55" s="3" t="s">
        <v>74</v>
      </c>
      <c r="H55" s="3" t="s">
        <v>74</v>
      </c>
      <c r="I55" s="3" t="s">
        <v>1282</v>
      </c>
      <c r="J55" s="3" t="s">
        <v>1283</v>
      </c>
      <c r="K55" s="3" t="s">
        <v>74</v>
      </c>
      <c r="L55" s="3" t="s">
        <v>74</v>
      </c>
      <c r="M55" s="3" t="s">
        <v>110</v>
      </c>
      <c r="N55" s="3" t="s">
        <v>79</v>
      </c>
      <c r="O55" s="3" t="s">
        <v>74</v>
      </c>
      <c r="P55" s="3" t="s">
        <v>74</v>
      </c>
      <c r="Q55" s="3" t="s">
        <v>74</v>
      </c>
      <c r="R55" s="3" t="s">
        <v>74</v>
      </c>
      <c r="S55" s="3" t="s">
        <v>74</v>
      </c>
      <c r="T55" s="3" t="s">
        <v>1284</v>
      </c>
      <c r="U55" s="3" t="s">
        <v>1285</v>
      </c>
      <c r="V55" s="3" t="s">
        <v>1286</v>
      </c>
      <c r="W55" s="3" t="s">
        <v>1287</v>
      </c>
      <c r="X55" s="3" t="s">
        <v>1288</v>
      </c>
      <c r="Y55" s="3" t="s">
        <v>1289</v>
      </c>
      <c r="Z55" s="3" t="s">
        <v>1290</v>
      </c>
      <c r="AA55" s="3" t="s">
        <v>1291</v>
      </c>
      <c r="AB55" s="3" t="s">
        <v>1292</v>
      </c>
      <c r="AC55" s="3" t="s">
        <v>74</v>
      </c>
      <c r="AD55" s="3" t="s">
        <v>74</v>
      </c>
      <c r="AE55" s="3" t="s">
        <v>74</v>
      </c>
      <c r="AF55" s="3" t="s">
        <v>74</v>
      </c>
      <c r="AG55" s="3">
        <v>61</v>
      </c>
      <c r="AH55" s="3">
        <v>28</v>
      </c>
      <c r="AI55" s="3">
        <v>30</v>
      </c>
      <c r="AJ55" s="3">
        <v>11</v>
      </c>
      <c r="AK55" s="3">
        <v>81</v>
      </c>
      <c r="AL55" s="3" t="s">
        <v>872</v>
      </c>
      <c r="AM55" s="3" t="s">
        <v>873</v>
      </c>
      <c r="AN55" s="3" t="s">
        <v>874</v>
      </c>
      <c r="AO55" s="3" t="s">
        <v>1293</v>
      </c>
      <c r="AP55" s="3" t="s">
        <v>1294</v>
      </c>
      <c r="AQ55" s="3" t="s">
        <v>74</v>
      </c>
      <c r="AR55" s="3" t="s">
        <v>1295</v>
      </c>
      <c r="AS55" s="3" t="s">
        <v>1296</v>
      </c>
      <c r="AT55" s="3" t="s">
        <v>1297</v>
      </c>
      <c r="AU55" s="3">
        <v>2024</v>
      </c>
      <c r="AV55" s="3">
        <v>27</v>
      </c>
      <c r="AW55" s="3">
        <v>4</v>
      </c>
      <c r="AX55" s="3" t="s">
        <v>74</v>
      </c>
      <c r="AY55" s="3" t="s">
        <v>74</v>
      </c>
      <c r="AZ55" s="3" t="s">
        <v>74</v>
      </c>
      <c r="BA55" s="3" t="s">
        <v>74</v>
      </c>
      <c r="BB55" s="3">
        <v>1212</v>
      </c>
      <c r="BC55" s="3">
        <v>1236</v>
      </c>
      <c r="BD55" s="3" t="s">
        <v>74</v>
      </c>
      <c r="BE55" s="3" t="s">
        <v>1298</v>
      </c>
      <c r="BF55" s="3" t="str">
        <f>HYPERLINK("http://dx.doi.org/10.1080/10095020.2023.2184729","http://dx.doi.org/10.1080/10095020.2023.2184729")</f>
        <v>http://dx.doi.org/10.1080/10095020.2023.2184729</v>
      </c>
      <c r="BG55" s="3" t="s">
        <v>74</v>
      </c>
      <c r="BH55" s="3" t="s">
        <v>1299</v>
      </c>
      <c r="BI55" s="3">
        <v>25</v>
      </c>
      <c r="BJ55" s="3" t="s">
        <v>1300</v>
      </c>
      <c r="BK55" s="3" t="s">
        <v>179</v>
      </c>
      <c r="BL55" s="3" t="s">
        <v>1300</v>
      </c>
      <c r="BM55" s="3" t="s">
        <v>1301</v>
      </c>
      <c r="BN55" s="3" t="s">
        <v>74</v>
      </c>
      <c r="BO55" s="3" t="s">
        <v>100</v>
      </c>
      <c r="BP55" s="3" t="s">
        <v>74</v>
      </c>
      <c r="BQ55" s="3" t="s">
        <v>74</v>
      </c>
      <c r="BR55" s="3" t="s">
        <v>101</v>
      </c>
      <c r="BS55" s="3" t="s">
        <v>1302</v>
      </c>
      <c r="BT55" s="3" t="str">
        <f>HYPERLINK("https%3A%2F%2Fwww.webofscience.com%2Fwos%2Fwoscc%2Ffull-record%2FWOS:000972793300001","View Full Record in Web of Science")</f>
        <v>View Full Record in Web of Science</v>
      </c>
      <c r="BU55" s="3"/>
      <c r="BV55" s="3"/>
      <c r="BW55" s="1"/>
    </row>
    <row r="56" spans="1:75" x14ac:dyDescent="0.25">
      <c r="A56" s="3" t="s">
        <v>72</v>
      </c>
      <c r="B56" s="3" t="s">
        <v>1303</v>
      </c>
      <c r="C56" s="3" t="s">
        <v>74</v>
      </c>
      <c r="D56" s="3" t="s">
        <v>74</v>
      </c>
      <c r="E56" s="3" t="s">
        <v>74</v>
      </c>
      <c r="F56" s="3" t="s">
        <v>1304</v>
      </c>
      <c r="G56" s="3" t="s">
        <v>74</v>
      </c>
      <c r="H56" s="3" t="s">
        <v>74</v>
      </c>
      <c r="I56" s="3" t="s">
        <v>1305</v>
      </c>
      <c r="J56" s="3" t="s">
        <v>161</v>
      </c>
      <c r="K56" s="3" t="s">
        <v>74</v>
      </c>
      <c r="L56" s="3" t="s">
        <v>74</v>
      </c>
      <c r="M56" s="3" t="s">
        <v>110</v>
      </c>
      <c r="N56" s="3" t="s">
        <v>216</v>
      </c>
      <c r="O56" s="3" t="s">
        <v>74</v>
      </c>
      <c r="P56" s="3" t="s">
        <v>74</v>
      </c>
      <c r="Q56" s="3" t="s">
        <v>74</v>
      </c>
      <c r="R56" s="3" t="s">
        <v>74</v>
      </c>
      <c r="S56" s="3" t="s">
        <v>74</v>
      </c>
      <c r="T56" s="3" t="s">
        <v>1306</v>
      </c>
      <c r="U56" s="3" t="s">
        <v>1307</v>
      </c>
      <c r="V56" s="3" t="s">
        <v>1308</v>
      </c>
      <c r="W56" s="3" t="s">
        <v>1309</v>
      </c>
      <c r="X56" s="3" t="s">
        <v>1310</v>
      </c>
      <c r="Y56" s="3" t="s">
        <v>1311</v>
      </c>
      <c r="Z56" s="3" t="s">
        <v>1312</v>
      </c>
      <c r="AA56" s="3" t="s">
        <v>1313</v>
      </c>
      <c r="AB56" s="3" t="s">
        <v>1314</v>
      </c>
      <c r="AC56" s="3" t="s">
        <v>1315</v>
      </c>
      <c r="AD56" s="3" t="s">
        <v>1316</v>
      </c>
      <c r="AE56" s="3" t="s">
        <v>1317</v>
      </c>
      <c r="AF56" s="3" t="s">
        <v>74</v>
      </c>
      <c r="AG56" s="3">
        <v>116</v>
      </c>
      <c r="AH56" s="3">
        <v>23</v>
      </c>
      <c r="AI56" s="3">
        <v>30</v>
      </c>
      <c r="AJ56" s="3">
        <v>6</v>
      </c>
      <c r="AK56" s="3">
        <v>70</v>
      </c>
      <c r="AL56" s="3" t="s">
        <v>145</v>
      </c>
      <c r="AM56" s="3" t="s">
        <v>146</v>
      </c>
      <c r="AN56" s="3" t="s">
        <v>279</v>
      </c>
      <c r="AO56" s="3" t="s">
        <v>74</v>
      </c>
      <c r="AP56" s="3" t="s">
        <v>174</v>
      </c>
      <c r="AQ56" s="3" t="s">
        <v>74</v>
      </c>
      <c r="AR56" s="3" t="s">
        <v>161</v>
      </c>
      <c r="AS56" s="3" t="s">
        <v>175</v>
      </c>
      <c r="AT56" s="3" t="s">
        <v>608</v>
      </c>
      <c r="AU56" s="3">
        <v>2023</v>
      </c>
      <c r="AV56" s="3">
        <v>16</v>
      </c>
      <c r="AW56" s="3">
        <v>8</v>
      </c>
      <c r="AX56" s="3" t="s">
        <v>74</v>
      </c>
      <c r="AY56" s="3" t="s">
        <v>74</v>
      </c>
      <c r="AZ56" s="3" t="s">
        <v>74</v>
      </c>
      <c r="BA56" s="3" t="s">
        <v>74</v>
      </c>
      <c r="BB56" s="3" t="s">
        <v>74</v>
      </c>
      <c r="BC56" s="3" t="s">
        <v>74</v>
      </c>
      <c r="BD56" s="3">
        <v>3585</v>
      </c>
      <c r="BE56" s="3" t="s">
        <v>1318</v>
      </c>
      <c r="BF56" s="3" t="str">
        <f>HYPERLINK("http://dx.doi.org/10.3390/en16083585","http://dx.doi.org/10.3390/en16083585")</f>
        <v>http://dx.doi.org/10.3390/en16083585</v>
      </c>
      <c r="BG56" s="3" t="s">
        <v>74</v>
      </c>
      <c r="BH56" s="3" t="s">
        <v>74</v>
      </c>
      <c r="BI56" s="3">
        <v>16</v>
      </c>
      <c r="BJ56" s="3" t="s">
        <v>178</v>
      </c>
      <c r="BK56" s="3" t="s">
        <v>179</v>
      </c>
      <c r="BL56" s="3" t="s">
        <v>178</v>
      </c>
      <c r="BM56" s="3" t="s">
        <v>1319</v>
      </c>
      <c r="BN56" s="3" t="s">
        <v>74</v>
      </c>
      <c r="BO56" s="3" t="s">
        <v>133</v>
      </c>
      <c r="BP56" s="3" t="s">
        <v>74</v>
      </c>
      <c r="BQ56" s="3" t="s">
        <v>74</v>
      </c>
      <c r="BR56" s="3" t="s">
        <v>101</v>
      </c>
      <c r="BS56" s="3" t="s">
        <v>1320</v>
      </c>
      <c r="BT56" s="3" t="str">
        <f>HYPERLINK("https%3A%2F%2Fwww.webofscience.com%2Fwos%2Fwoscc%2Ffull-record%2FWOS:000979018000001","View Full Record in Web of Science")</f>
        <v>View Full Record in Web of Science</v>
      </c>
      <c r="BU56" s="3"/>
      <c r="BV56" s="3"/>
      <c r="BW56" s="1"/>
    </row>
    <row r="57" spans="1:75" x14ac:dyDescent="0.25">
      <c r="A57" s="3" t="s">
        <v>103</v>
      </c>
      <c r="B57" s="3" t="s">
        <v>1321</v>
      </c>
      <c r="C57" s="3" t="s">
        <v>74</v>
      </c>
      <c r="D57" s="3" t="s">
        <v>1322</v>
      </c>
      <c r="E57" s="3" t="s">
        <v>74</v>
      </c>
      <c r="F57" s="3" t="s">
        <v>1323</v>
      </c>
      <c r="G57" s="3" t="s">
        <v>74</v>
      </c>
      <c r="H57" s="3" t="s">
        <v>74</v>
      </c>
      <c r="I57" s="3" t="s">
        <v>1324</v>
      </c>
      <c r="J57" s="3" t="s">
        <v>1325</v>
      </c>
      <c r="K57" s="3" t="s">
        <v>1326</v>
      </c>
      <c r="L57" s="3" t="s">
        <v>74</v>
      </c>
      <c r="M57" s="3" t="s">
        <v>110</v>
      </c>
      <c r="N57" s="3" t="s">
        <v>111</v>
      </c>
      <c r="O57" s="3" t="s">
        <v>1327</v>
      </c>
      <c r="P57" s="3" t="s">
        <v>1328</v>
      </c>
      <c r="Q57" s="3" t="s">
        <v>1329</v>
      </c>
      <c r="R57" s="3" t="s">
        <v>74</v>
      </c>
      <c r="S57" s="3" t="s">
        <v>74</v>
      </c>
      <c r="T57" s="3" t="s">
        <v>1330</v>
      </c>
      <c r="U57" s="3" t="s">
        <v>1331</v>
      </c>
      <c r="V57" s="3" t="s">
        <v>1332</v>
      </c>
      <c r="W57" s="3" t="s">
        <v>1333</v>
      </c>
      <c r="X57" s="3" t="s">
        <v>74</v>
      </c>
      <c r="Y57" s="3" t="s">
        <v>1334</v>
      </c>
      <c r="Z57" s="3" t="s">
        <v>1335</v>
      </c>
      <c r="AA57" s="3" t="s">
        <v>74</v>
      </c>
      <c r="AB57" s="3" t="s">
        <v>1336</v>
      </c>
      <c r="AC57" s="3" t="s">
        <v>1337</v>
      </c>
      <c r="AD57" s="3" t="s">
        <v>1338</v>
      </c>
      <c r="AE57" s="3" t="s">
        <v>1339</v>
      </c>
      <c r="AF57" s="3" t="s">
        <v>74</v>
      </c>
      <c r="AG57" s="3">
        <v>23</v>
      </c>
      <c r="AH57" s="3">
        <v>0</v>
      </c>
      <c r="AI57" s="3">
        <v>0</v>
      </c>
      <c r="AJ57" s="3">
        <v>0</v>
      </c>
      <c r="AK57" s="3">
        <v>0</v>
      </c>
      <c r="AL57" s="3" t="s">
        <v>374</v>
      </c>
      <c r="AM57" s="3" t="s">
        <v>375</v>
      </c>
      <c r="AN57" s="3" t="s">
        <v>376</v>
      </c>
      <c r="AO57" s="3" t="s">
        <v>1340</v>
      </c>
      <c r="AP57" s="3" t="s">
        <v>1341</v>
      </c>
      <c r="AQ57" s="3" t="s">
        <v>1342</v>
      </c>
      <c r="AR57" s="3" t="s">
        <v>1343</v>
      </c>
      <c r="AS57" s="3" t="s">
        <v>74</v>
      </c>
      <c r="AT57" s="3" t="s">
        <v>74</v>
      </c>
      <c r="AU57" s="3">
        <v>2022</v>
      </c>
      <c r="AV57" s="3">
        <v>13382</v>
      </c>
      <c r="AW57" s="3" t="s">
        <v>74</v>
      </c>
      <c r="AX57" s="3" t="s">
        <v>74</v>
      </c>
      <c r="AY57" s="3" t="s">
        <v>74</v>
      </c>
      <c r="AZ57" s="3" t="s">
        <v>74</v>
      </c>
      <c r="BA57" s="3" t="s">
        <v>74</v>
      </c>
      <c r="BB57" s="3">
        <v>157</v>
      </c>
      <c r="BC57" s="3">
        <v>172</v>
      </c>
      <c r="BD57" s="3" t="s">
        <v>74</v>
      </c>
      <c r="BE57" s="3" t="s">
        <v>1344</v>
      </c>
      <c r="BF57" s="3" t="str">
        <f>HYPERLINK("http://dx.doi.org/10.1007/978-3-031-10592-0_13","http://dx.doi.org/10.1007/978-3-031-10592-0_13")</f>
        <v>http://dx.doi.org/10.1007/978-3-031-10592-0_13</v>
      </c>
      <c r="BG57" s="3" t="s">
        <v>74</v>
      </c>
      <c r="BH57" s="3" t="s">
        <v>74</v>
      </c>
      <c r="BI57" s="3">
        <v>16</v>
      </c>
      <c r="BJ57" s="3" t="s">
        <v>1345</v>
      </c>
      <c r="BK57" s="3" t="s">
        <v>208</v>
      </c>
      <c r="BL57" s="3" t="s">
        <v>1346</v>
      </c>
      <c r="BM57" s="3" t="s">
        <v>1347</v>
      </c>
      <c r="BN57" s="3" t="s">
        <v>74</v>
      </c>
      <c r="BO57" s="3" t="s">
        <v>74</v>
      </c>
      <c r="BP57" s="3" t="s">
        <v>74</v>
      </c>
      <c r="BQ57" s="3" t="s">
        <v>74</v>
      </c>
      <c r="BR57" s="3" t="s">
        <v>101</v>
      </c>
      <c r="BS57" s="3" t="s">
        <v>1348</v>
      </c>
      <c r="BT57" s="3" t="str">
        <f>HYPERLINK("https%3A%2F%2Fwww.webofscience.com%2Fwos%2Fwoscc%2Ffull-record%2FWOS:000916142000013","View Full Record in Web of Science")</f>
        <v>View Full Record in Web of Science</v>
      </c>
      <c r="BU57" s="3"/>
      <c r="BV57" s="3"/>
      <c r="BW57" s="1"/>
    </row>
    <row r="58" spans="1:75" x14ac:dyDescent="0.25">
      <c r="A58" s="3" t="s">
        <v>103</v>
      </c>
      <c r="B58" s="3" t="s">
        <v>1349</v>
      </c>
      <c r="C58" s="3" t="s">
        <v>74</v>
      </c>
      <c r="D58" s="3" t="s">
        <v>74</v>
      </c>
      <c r="E58" s="3" t="s">
        <v>199</v>
      </c>
      <c r="F58" s="3" t="s">
        <v>1350</v>
      </c>
      <c r="G58" s="3" t="s">
        <v>74</v>
      </c>
      <c r="H58" s="3" t="s">
        <v>74</v>
      </c>
      <c r="I58" s="3" t="s">
        <v>1351</v>
      </c>
      <c r="J58" s="3" t="s">
        <v>1352</v>
      </c>
      <c r="K58" s="3" t="s">
        <v>74</v>
      </c>
      <c r="L58" s="3" t="s">
        <v>74</v>
      </c>
      <c r="M58" s="3" t="s">
        <v>110</v>
      </c>
      <c r="N58" s="3" t="s">
        <v>111</v>
      </c>
      <c r="O58" s="3" t="s">
        <v>1353</v>
      </c>
      <c r="P58" s="3" t="s">
        <v>1354</v>
      </c>
      <c r="Q58" s="3" t="s">
        <v>1355</v>
      </c>
      <c r="R58" s="3" t="s">
        <v>74</v>
      </c>
      <c r="S58" s="3" t="s">
        <v>74</v>
      </c>
      <c r="T58" s="3" t="s">
        <v>1356</v>
      </c>
      <c r="U58" s="3" t="s">
        <v>74</v>
      </c>
      <c r="V58" s="3" t="s">
        <v>1357</v>
      </c>
      <c r="W58" s="3" t="s">
        <v>1358</v>
      </c>
      <c r="X58" s="3" t="s">
        <v>1359</v>
      </c>
      <c r="Y58" s="3" t="s">
        <v>1360</v>
      </c>
      <c r="Z58" s="3" t="s">
        <v>1361</v>
      </c>
      <c r="AA58" s="3" t="s">
        <v>1362</v>
      </c>
      <c r="AB58" s="3" t="s">
        <v>1363</v>
      </c>
      <c r="AC58" s="3" t="s">
        <v>74</v>
      </c>
      <c r="AD58" s="3" t="s">
        <v>74</v>
      </c>
      <c r="AE58" s="3" t="s">
        <v>74</v>
      </c>
      <c r="AF58" s="3" t="s">
        <v>74</v>
      </c>
      <c r="AG58" s="3">
        <v>15</v>
      </c>
      <c r="AH58" s="3">
        <v>0</v>
      </c>
      <c r="AI58" s="3">
        <v>0</v>
      </c>
      <c r="AJ58" s="3">
        <v>0</v>
      </c>
      <c r="AK58" s="3">
        <v>1</v>
      </c>
      <c r="AL58" s="3" t="s">
        <v>199</v>
      </c>
      <c r="AM58" s="3" t="s">
        <v>200</v>
      </c>
      <c r="AN58" s="3" t="s">
        <v>201</v>
      </c>
      <c r="AO58" s="3" t="s">
        <v>74</v>
      </c>
      <c r="AP58" s="3" t="s">
        <v>74</v>
      </c>
      <c r="AQ58" s="3" t="s">
        <v>1364</v>
      </c>
      <c r="AR58" s="3" t="s">
        <v>74</v>
      </c>
      <c r="AS58" s="3" t="s">
        <v>74</v>
      </c>
      <c r="AT58" s="3" t="s">
        <v>74</v>
      </c>
      <c r="AU58" s="3">
        <v>2022</v>
      </c>
      <c r="AV58" s="3" t="s">
        <v>74</v>
      </c>
      <c r="AW58" s="3" t="s">
        <v>74</v>
      </c>
      <c r="AX58" s="3" t="s">
        <v>74</v>
      </c>
      <c r="AY58" s="3" t="s">
        <v>74</v>
      </c>
      <c r="AZ58" s="3" t="s">
        <v>74</v>
      </c>
      <c r="BA58" s="3" t="s">
        <v>74</v>
      </c>
      <c r="BB58" s="3">
        <v>7</v>
      </c>
      <c r="BC58" s="3">
        <v>11</v>
      </c>
      <c r="BD58" s="3" t="s">
        <v>74</v>
      </c>
      <c r="BE58" s="3" t="s">
        <v>1365</v>
      </c>
      <c r="BF58" s="3" t="str">
        <f>HYPERLINK("http://dx.doi.org/10.1109/I2CACIS54679.2022.9815479","http://dx.doi.org/10.1109/I2CACIS54679.2022.9815479")</f>
        <v>http://dx.doi.org/10.1109/I2CACIS54679.2022.9815479</v>
      </c>
      <c r="BG58" s="3" t="s">
        <v>74</v>
      </c>
      <c r="BH58" s="3" t="s">
        <v>74</v>
      </c>
      <c r="BI58" s="3">
        <v>5</v>
      </c>
      <c r="BJ58" s="3" t="s">
        <v>1366</v>
      </c>
      <c r="BK58" s="3" t="s">
        <v>208</v>
      </c>
      <c r="BL58" s="3" t="s">
        <v>1367</v>
      </c>
      <c r="BM58" s="3" t="s">
        <v>1368</v>
      </c>
      <c r="BN58" s="3" t="s">
        <v>74</v>
      </c>
      <c r="BO58" s="3" t="s">
        <v>74</v>
      </c>
      <c r="BP58" s="3" t="s">
        <v>74</v>
      </c>
      <c r="BQ58" s="3" t="s">
        <v>74</v>
      </c>
      <c r="BR58" s="3" t="s">
        <v>101</v>
      </c>
      <c r="BS58" s="3" t="s">
        <v>1369</v>
      </c>
      <c r="BT58" s="3" t="str">
        <f>HYPERLINK("https%3A%2F%2Fwww.webofscience.com%2Fwos%2Fwoscc%2Ffull-record%2FWOS:001424589100002","View Full Record in Web of Science")</f>
        <v>View Full Record in Web of Science</v>
      </c>
      <c r="BU58" s="3"/>
      <c r="BV58" s="3"/>
      <c r="BW58" s="1"/>
    </row>
    <row r="59" spans="1:75" x14ac:dyDescent="0.25">
      <c r="A59" s="3" t="s">
        <v>72</v>
      </c>
      <c r="B59" s="3" t="s">
        <v>1370</v>
      </c>
      <c r="C59" s="3" t="s">
        <v>74</v>
      </c>
      <c r="D59" s="3" t="s">
        <v>74</v>
      </c>
      <c r="E59" s="3" t="s">
        <v>74</v>
      </c>
      <c r="F59" s="3" t="s">
        <v>1371</v>
      </c>
      <c r="G59" s="3" t="s">
        <v>74</v>
      </c>
      <c r="H59" s="3" t="s">
        <v>74</v>
      </c>
      <c r="I59" s="3" t="s">
        <v>1372</v>
      </c>
      <c r="J59" s="3" t="s">
        <v>138</v>
      </c>
      <c r="K59" s="3" t="s">
        <v>74</v>
      </c>
      <c r="L59" s="3" t="s">
        <v>74</v>
      </c>
      <c r="M59" s="3" t="s">
        <v>110</v>
      </c>
      <c r="N59" s="3" t="s">
        <v>79</v>
      </c>
      <c r="O59" s="3" t="s">
        <v>74</v>
      </c>
      <c r="P59" s="3" t="s">
        <v>74</v>
      </c>
      <c r="Q59" s="3" t="s">
        <v>74</v>
      </c>
      <c r="R59" s="3" t="s">
        <v>74</v>
      </c>
      <c r="S59" s="3" t="s">
        <v>74</v>
      </c>
      <c r="T59" s="3" t="s">
        <v>1373</v>
      </c>
      <c r="U59" s="3" t="s">
        <v>1374</v>
      </c>
      <c r="V59" s="3" t="s">
        <v>1375</v>
      </c>
      <c r="W59" s="3" t="s">
        <v>1376</v>
      </c>
      <c r="X59" s="3" t="s">
        <v>1377</v>
      </c>
      <c r="Y59" s="3" t="s">
        <v>1378</v>
      </c>
      <c r="Z59" s="3" t="s">
        <v>1379</v>
      </c>
      <c r="AA59" s="3" t="s">
        <v>1380</v>
      </c>
      <c r="AB59" s="3" t="s">
        <v>1381</v>
      </c>
      <c r="AC59" s="3" t="s">
        <v>1382</v>
      </c>
      <c r="AD59" s="3" t="s">
        <v>1383</v>
      </c>
      <c r="AE59" s="3" t="s">
        <v>1384</v>
      </c>
      <c r="AF59" s="3" t="s">
        <v>74</v>
      </c>
      <c r="AG59" s="3">
        <v>46</v>
      </c>
      <c r="AH59" s="3">
        <v>20</v>
      </c>
      <c r="AI59" s="3">
        <v>23</v>
      </c>
      <c r="AJ59" s="3">
        <v>4</v>
      </c>
      <c r="AK59" s="3">
        <v>52</v>
      </c>
      <c r="AL59" s="3" t="s">
        <v>145</v>
      </c>
      <c r="AM59" s="3" t="s">
        <v>146</v>
      </c>
      <c r="AN59" s="3" t="s">
        <v>147</v>
      </c>
      <c r="AO59" s="3" t="s">
        <v>74</v>
      </c>
      <c r="AP59" s="3" t="s">
        <v>148</v>
      </c>
      <c r="AQ59" s="3" t="s">
        <v>74</v>
      </c>
      <c r="AR59" s="3" t="s">
        <v>149</v>
      </c>
      <c r="AS59" s="3" t="s">
        <v>150</v>
      </c>
      <c r="AT59" s="3" t="s">
        <v>608</v>
      </c>
      <c r="AU59" s="3">
        <v>2021</v>
      </c>
      <c r="AV59" s="3">
        <v>13</v>
      </c>
      <c r="AW59" s="3">
        <v>7</v>
      </c>
      <c r="AX59" s="3" t="s">
        <v>74</v>
      </c>
      <c r="AY59" s="3" t="s">
        <v>74</v>
      </c>
      <c r="AZ59" s="3" t="s">
        <v>74</v>
      </c>
      <c r="BA59" s="3" t="s">
        <v>74</v>
      </c>
      <c r="BB59" s="3" t="s">
        <v>74</v>
      </c>
      <c r="BC59" s="3" t="s">
        <v>74</v>
      </c>
      <c r="BD59" s="3">
        <v>3641</v>
      </c>
      <c r="BE59" s="3" t="s">
        <v>1385</v>
      </c>
      <c r="BF59" s="3" t="str">
        <f>HYPERLINK("http://dx.doi.org/10.3390/su13073641","http://dx.doi.org/10.3390/su13073641")</f>
        <v>http://dx.doi.org/10.3390/su13073641</v>
      </c>
      <c r="BG59" s="3" t="s">
        <v>74</v>
      </c>
      <c r="BH59" s="3" t="s">
        <v>74</v>
      </c>
      <c r="BI59" s="3">
        <v>16</v>
      </c>
      <c r="BJ59" s="3" t="s">
        <v>153</v>
      </c>
      <c r="BK59" s="3" t="s">
        <v>154</v>
      </c>
      <c r="BL59" s="3" t="s">
        <v>155</v>
      </c>
      <c r="BM59" s="3" t="s">
        <v>1386</v>
      </c>
      <c r="BN59" s="3" t="s">
        <v>74</v>
      </c>
      <c r="BO59" s="3" t="s">
        <v>133</v>
      </c>
      <c r="BP59" s="3" t="s">
        <v>74</v>
      </c>
      <c r="BQ59" s="3" t="s">
        <v>74</v>
      </c>
      <c r="BR59" s="3" t="s">
        <v>101</v>
      </c>
      <c r="BS59" s="3" t="s">
        <v>1387</v>
      </c>
      <c r="BT59" s="3" t="str">
        <f>HYPERLINK("https%3A%2F%2Fwww.webofscience.com%2Fwos%2Fwoscc%2Ffull-record%2FWOS:000638907100001","View Full Record in Web of Science")</f>
        <v>View Full Record in Web of Science</v>
      </c>
      <c r="BU59" s="3"/>
      <c r="BV59" s="3"/>
      <c r="BW59" s="1"/>
    </row>
    <row r="60" spans="1:75" x14ac:dyDescent="0.25">
      <c r="A60" s="3" t="s">
        <v>72</v>
      </c>
      <c r="B60" s="3" t="s">
        <v>1388</v>
      </c>
      <c r="C60" s="3" t="s">
        <v>74</v>
      </c>
      <c r="D60" s="3" t="s">
        <v>74</v>
      </c>
      <c r="E60" s="3" t="s">
        <v>74</v>
      </c>
      <c r="F60" s="3" t="s">
        <v>1389</v>
      </c>
      <c r="G60" s="3" t="s">
        <v>74</v>
      </c>
      <c r="H60" s="3" t="s">
        <v>74</v>
      </c>
      <c r="I60" s="3" t="s">
        <v>1390</v>
      </c>
      <c r="J60" s="3" t="s">
        <v>1391</v>
      </c>
      <c r="K60" s="3" t="s">
        <v>74</v>
      </c>
      <c r="L60" s="3" t="s">
        <v>74</v>
      </c>
      <c r="M60" s="3" t="s">
        <v>110</v>
      </c>
      <c r="N60" s="3" t="s">
        <v>79</v>
      </c>
      <c r="O60" s="3" t="s">
        <v>74</v>
      </c>
      <c r="P60" s="3" t="s">
        <v>74</v>
      </c>
      <c r="Q60" s="3" t="s">
        <v>74</v>
      </c>
      <c r="R60" s="3" t="s">
        <v>74</v>
      </c>
      <c r="S60" s="3" t="s">
        <v>74</v>
      </c>
      <c r="T60" s="3" t="s">
        <v>1392</v>
      </c>
      <c r="U60" s="3" t="s">
        <v>74</v>
      </c>
      <c r="V60" s="3" t="s">
        <v>1393</v>
      </c>
      <c r="W60" s="3" t="s">
        <v>1394</v>
      </c>
      <c r="X60" s="3" t="s">
        <v>1395</v>
      </c>
      <c r="Y60" s="3" t="s">
        <v>1396</v>
      </c>
      <c r="Z60" s="3" t="s">
        <v>1397</v>
      </c>
      <c r="AA60" s="3" t="s">
        <v>1398</v>
      </c>
      <c r="AB60" s="3" t="s">
        <v>1399</v>
      </c>
      <c r="AC60" s="3" t="s">
        <v>74</v>
      </c>
      <c r="AD60" s="3" t="s">
        <v>74</v>
      </c>
      <c r="AE60" s="3" t="s">
        <v>74</v>
      </c>
      <c r="AF60" s="3" t="s">
        <v>74</v>
      </c>
      <c r="AG60" s="3">
        <v>14</v>
      </c>
      <c r="AH60" s="3">
        <v>4</v>
      </c>
      <c r="AI60" s="3">
        <v>5</v>
      </c>
      <c r="AJ60" s="3">
        <v>0</v>
      </c>
      <c r="AK60" s="3">
        <v>17</v>
      </c>
      <c r="AL60" s="3" t="s">
        <v>1400</v>
      </c>
      <c r="AM60" s="3" t="s">
        <v>1401</v>
      </c>
      <c r="AN60" s="3" t="s">
        <v>1402</v>
      </c>
      <c r="AO60" s="3" t="s">
        <v>1403</v>
      </c>
      <c r="AP60" s="3" t="s">
        <v>74</v>
      </c>
      <c r="AQ60" s="3" t="s">
        <v>74</v>
      </c>
      <c r="AR60" s="3" t="s">
        <v>1404</v>
      </c>
      <c r="AS60" s="3" t="s">
        <v>1405</v>
      </c>
      <c r="AT60" s="3" t="s">
        <v>74</v>
      </c>
      <c r="AU60" s="3">
        <v>2020</v>
      </c>
      <c r="AV60" s="3">
        <v>4</v>
      </c>
      <c r="AW60" s="3">
        <v>4</v>
      </c>
      <c r="AX60" s="3" t="s">
        <v>74</v>
      </c>
      <c r="AY60" s="3" t="s">
        <v>74</v>
      </c>
      <c r="AZ60" s="3" t="s">
        <v>74</v>
      </c>
      <c r="BA60" s="3" t="s">
        <v>74</v>
      </c>
      <c r="BB60" s="3">
        <v>8</v>
      </c>
      <c r="BC60" s="3">
        <v>15</v>
      </c>
      <c r="BD60" s="3" t="s">
        <v>74</v>
      </c>
      <c r="BE60" s="3" t="s">
        <v>1406</v>
      </c>
      <c r="BF60" s="3" t="str">
        <f>HYPERLINK("http://dx.doi.org/10.31520/2616-7107/2020.4.4-2","http://dx.doi.org/10.31520/2616-7107/2020.4.4-2")</f>
        <v>http://dx.doi.org/10.31520/2616-7107/2020.4.4-2</v>
      </c>
      <c r="BG60" s="3" t="s">
        <v>74</v>
      </c>
      <c r="BH60" s="3" t="s">
        <v>74</v>
      </c>
      <c r="BI60" s="3">
        <v>8</v>
      </c>
      <c r="BJ60" s="3" t="s">
        <v>1407</v>
      </c>
      <c r="BK60" s="3" t="s">
        <v>97</v>
      </c>
      <c r="BL60" s="3" t="s">
        <v>98</v>
      </c>
      <c r="BM60" s="3" t="s">
        <v>1408</v>
      </c>
      <c r="BN60" s="3" t="s">
        <v>74</v>
      </c>
      <c r="BO60" s="3" t="s">
        <v>133</v>
      </c>
      <c r="BP60" s="3" t="s">
        <v>74</v>
      </c>
      <c r="BQ60" s="3" t="s">
        <v>74</v>
      </c>
      <c r="BR60" s="3" t="s">
        <v>101</v>
      </c>
      <c r="BS60" s="3" t="s">
        <v>1409</v>
      </c>
      <c r="BT60" s="3" t="str">
        <f>HYPERLINK("https%3A%2F%2Fwww.webofscience.com%2Fwos%2Fwoscc%2Ffull-record%2FWOS:000881407800002","View Full Record in Web of Science")</f>
        <v>View Full Record in Web of Science</v>
      </c>
      <c r="BU60" s="3"/>
      <c r="BV60" s="3"/>
      <c r="BW60" s="1"/>
    </row>
    <row r="61" spans="1:75" x14ac:dyDescent="0.25">
      <c r="A61" s="3" t="s">
        <v>72</v>
      </c>
      <c r="B61" s="3" t="s">
        <v>1410</v>
      </c>
      <c r="C61" s="3" t="s">
        <v>74</v>
      </c>
      <c r="D61" s="3" t="s">
        <v>74</v>
      </c>
      <c r="E61" s="3" t="s">
        <v>74</v>
      </c>
      <c r="F61" s="3" t="s">
        <v>1411</v>
      </c>
      <c r="G61" s="3" t="s">
        <v>74</v>
      </c>
      <c r="H61" s="3" t="s">
        <v>74</v>
      </c>
      <c r="I61" s="3" t="s">
        <v>1412</v>
      </c>
      <c r="J61" s="3" t="s">
        <v>1413</v>
      </c>
      <c r="K61" s="3" t="s">
        <v>74</v>
      </c>
      <c r="L61" s="3" t="s">
        <v>74</v>
      </c>
      <c r="M61" s="3" t="s">
        <v>110</v>
      </c>
      <c r="N61" s="3" t="s">
        <v>79</v>
      </c>
      <c r="O61" s="3" t="s">
        <v>74</v>
      </c>
      <c r="P61" s="3" t="s">
        <v>74</v>
      </c>
      <c r="Q61" s="3" t="s">
        <v>74</v>
      </c>
      <c r="R61" s="3" t="s">
        <v>74</v>
      </c>
      <c r="S61" s="3" t="s">
        <v>74</v>
      </c>
      <c r="T61" s="3" t="s">
        <v>1414</v>
      </c>
      <c r="U61" s="3" t="s">
        <v>74</v>
      </c>
      <c r="V61" s="3" t="s">
        <v>1415</v>
      </c>
      <c r="W61" s="3" t="s">
        <v>1416</v>
      </c>
      <c r="X61" s="3" t="s">
        <v>1417</v>
      </c>
      <c r="Y61" s="3" t="s">
        <v>1418</v>
      </c>
      <c r="Z61" s="3" t="s">
        <v>1419</v>
      </c>
      <c r="AA61" s="3" t="s">
        <v>1420</v>
      </c>
      <c r="AB61" s="3" t="s">
        <v>1421</v>
      </c>
      <c r="AC61" s="3" t="s">
        <v>1422</v>
      </c>
      <c r="AD61" s="3" t="s">
        <v>1422</v>
      </c>
      <c r="AE61" s="3" t="s">
        <v>1423</v>
      </c>
      <c r="AF61" s="3" t="s">
        <v>74</v>
      </c>
      <c r="AG61" s="3">
        <v>22</v>
      </c>
      <c r="AH61" s="3">
        <v>32</v>
      </c>
      <c r="AI61" s="3">
        <v>44</v>
      </c>
      <c r="AJ61" s="3">
        <v>2</v>
      </c>
      <c r="AK61" s="3">
        <v>21</v>
      </c>
      <c r="AL61" s="3" t="s">
        <v>671</v>
      </c>
      <c r="AM61" s="3" t="s">
        <v>124</v>
      </c>
      <c r="AN61" s="3" t="s">
        <v>672</v>
      </c>
      <c r="AO61" s="3" t="s">
        <v>1424</v>
      </c>
      <c r="AP61" s="3" t="s">
        <v>1425</v>
      </c>
      <c r="AQ61" s="3" t="s">
        <v>74</v>
      </c>
      <c r="AR61" s="3" t="s">
        <v>1426</v>
      </c>
      <c r="AS61" s="3" t="s">
        <v>1427</v>
      </c>
      <c r="AT61" s="3" t="s">
        <v>151</v>
      </c>
      <c r="AU61" s="3">
        <v>2021</v>
      </c>
      <c r="AV61" s="3">
        <v>10</v>
      </c>
      <c r="AW61" s="3">
        <v>4</v>
      </c>
      <c r="AX61" s="3" t="s">
        <v>74</v>
      </c>
      <c r="AY61" s="3" t="s">
        <v>74</v>
      </c>
      <c r="AZ61" s="3" t="s">
        <v>74</v>
      </c>
      <c r="BA61" s="3" t="s">
        <v>74</v>
      </c>
      <c r="BB61" s="3">
        <v>419</v>
      </c>
      <c r="BC61" s="3">
        <v>429</v>
      </c>
      <c r="BD61" s="3" t="s">
        <v>74</v>
      </c>
      <c r="BE61" s="3" t="s">
        <v>1428</v>
      </c>
      <c r="BF61" s="3" t="str">
        <f>HYPERLINK("http://dx.doi.org/10.1016/j.jum.2021.05.002","http://dx.doi.org/10.1016/j.jum.2021.05.002")</f>
        <v>http://dx.doi.org/10.1016/j.jum.2021.05.002</v>
      </c>
      <c r="BG61" s="3" t="s">
        <v>74</v>
      </c>
      <c r="BH61" s="3" t="s">
        <v>1429</v>
      </c>
      <c r="BI61" s="3">
        <v>11</v>
      </c>
      <c r="BJ61" s="3" t="s">
        <v>263</v>
      </c>
      <c r="BK61" s="3" t="s">
        <v>97</v>
      </c>
      <c r="BL61" s="3" t="s">
        <v>263</v>
      </c>
      <c r="BM61" s="3" t="s">
        <v>1430</v>
      </c>
      <c r="BN61" s="3" t="s">
        <v>74</v>
      </c>
      <c r="BO61" s="3" t="s">
        <v>133</v>
      </c>
      <c r="BP61" s="3" t="s">
        <v>74</v>
      </c>
      <c r="BQ61" s="3" t="s">
        <v>74</v>
      </c>
      <c r="BR61" s="3" t="s">
        <v>101</v>
      </c>
      <c r="BS61" s="3" t="s">
        <v>1431</v>
      </c>
      <c r="BT61" s="3" t="str">
        <f>HYPERLINK("https%3A%2F%2Fwww.webofscience.com%2Fwos%2Fwoscc%2Ffull-record%2FWOS:000752407200010","View Full Record in Web of Science")</f>
        <v>View Full Record in Web of Science</v>
      </c>
      <c r="BU61" s="3"/>
      <c r="BV61" s="3"/>
      <c r="BW61" s="1"/>
    </row>
    <row r="62" spans="1:75" x14ac:dyDescent="0.25">
      <c r="A62" s="3" t="s">
        <v>72</v>
      </c>
      <c r="B62" s="3" t="s">
        <v>1432</v>
      </c>
      <c r="C62" s="3" t="s">
        <v>74</v>
      </c>
      <c r="D62" s="3" t="s">
        <v>74</v>
      </c>
      <c r="E62" s="3" t="s">
        <v>74</v>
      </c>
      <c r="F62" s="3" t="s">
        <v>1433</v>
      </c>
      <c r="G62" s="3" t="s">
        <v>74</v>
      </c>
      <c r="H62" s="3" t="s">
        <v>74</v>
      </c>
      <c r="I62" s="3" t="s">
        <v>1434</v>
      </c>
      <c r="J62" s="3" t="s">
        <v>1435</v>
      </c>
      <c r="K62" s="3" t="s">
        <v>74</v>
      </c>
      <c r="L62" s="3" t="s">
        <v>74</v>
      </c>
      <c r="M62" s="3" t="s">
        <v>110</v>
      </c>
      <c r="N62" s="3" t="s">
        <v>79</v>
      </c>
      <c r="O62" s="3" t="s">
        <v>74</v>
      </c>
      <c r="P62" s="3" t="s">
        <v>74</v>
      </c>
      <c r="Q62" s="3" t="s">
        <v>74</v>
      </c>
      <c r="R62" s="3" t="s">
        <v>74</v>
      </c>
      <c r="S62" s="3" t="s">
        <v>74</v>
      </c>
      <c r="T62" s="3" t="s">
        <v>1436</v>
      </c>
      <c r="U62" s="3" t="s">
        <v>74</v>
      </c>
      <c r="V62" s="3" t="s">
        <v>1437</v>
      </c>
      <c r="W62" s="3" t="s">
        <v>1438</v>
      </c>
      <c r="X62" s="3" t="s">
        <v>1439</v>
      </c>
      <c r="Y62" s="3" t="s">
        <v>1440</v>
      </c>
      <c r="Z62" s="3" t="s">
        <v>1441</v>
      </c>
      <c r="AA62" s="3" t="s">
        <v>1442</v>
      </c>
      <c r="AB62" s="3" t="s">
        <v>1443</v>
      </c>
      <c r="AC62" s="3" t="s">
        <v>1444</v>
      </c>
      <c r="AD62" s="3" t="s">
        <v>1445</v>
      </c>
      <c r="AE62" s="3" t="s">
        <v>1446</v>
      </c>
      <c r="AF62" s="3" t="s">
        <v>74</v>
      </c>
      <c r="AG62" s="3">
        <v>23</v>
      </c>
      <c r="AH62" s="3">
        <v>31</v>
      </c>
      <c r="AI62" s="3">
        <v>37</v>
      </c>
      <c r="AJ62" s="3">
        <v>1</v>
      </c>
      <c r="AK62" s="3">
        <v>44</v>
      </c>
      <c r="AL62" s="3" t="s">
        <v>145</v>
      </c>
      <c r="AM62" s="3" t="s">
        <v>146</v>
      </c>
      <c r="AN62" s="3" t="s">
        <v>147</v>
      </c>
      <c r="AO62" s="3" t="s">
        <v>74</v>
      </c>
      <c r="AP62" s="3" t="s">
        <v>1447</v>
      </c>
      <c r="AQ62" s="3" t="s">
        <v>74</v>
      </c>
      <c r="AR62" s="3" t="s">
        <v>1448</v>
      </c>
      <c r="AS62" s="3" t="s">
        <v>1449</v>
      </c>
      <c r="AT62" s="3" t="s">
        <v>1450</v>
      </c>
      <c r="AU62" s="3">
        <v>2021</v>
      </c>
      <c r="AV62" s="3">
        <v>21</v>
      </c>
      <c r="AW62" s="3">
        <v>14</v>
      </c>
      <c r="AX62" s="3" t="s">
        <v>74</v>
      </c>
      <c r="AY62" s="3" t="s">
        <v>74</v>
      </c>
      <c r="AZ62" s="3" t="s">
        <v>74</v>
      </c>
      <c r="BA62" s="3" t="s">
        <v>74</v>
      </c>
      <c r="BB62" s="3" t="s">
        <v>74</v>
      </c>
      <c r="BC62" s="3" t="s">
        <v>74</v>
      </c>
      <c r="BD62" s="3">
        <v>4916</v>
      </c>
      <c r="BE62" s="3" t="s">
        <v>1451</v>
      </c>
      <c r="BF62" s="3" t="str">
        <f>HYPERLINK("http://dx.doi.org/10.3390/s21144916","http://dx.doi.org/10.3390/s21144916")</f>
        <v>http://dx.doi.org/10.3390/s21144916</v>
      </c>
      <c r="BG62" s="3" t="s">
        <v>74</v>
      </c>
      <c r="BH62" s="3" t="s">
        <v>74</v>
      </c>
      <c r="BI62" s="3">
        <v>15</v>
      </c>
      <c r="BJ62" s="3" t="s">
        <v>1452</v>
      </c>
      <c r="BK62" s="3" t="s">
        <v>179</v>
      </c>
      <c r="BL62" s="3" t="s">
        <v>1453</v>
      </c>
      <c r="BM62" s="3" t="s">
        <v>1454</v>
      </c>
      <c r="BN62" s="3">
        <v>34300656</v>
      </c>
      <c r="BO62" s="3" t="s">
        <v>133</v>
      </c>
      <c r="BP62" s="3" t="s">
        <v>74</v>
      </c>
      <c r="BQ62" s="3" t="s">
        <v>74</v>
      </c>
      <c r="BR62" s="3" t="s">
        <v>101</v>
      </c>
      <c r="BS62" s="3" t="s">
        <v>1455</v>
      </c>
      <c r="BT62" s="3" t="str">
        <f>HYPERLINK("https%3A%2F%2Fwww.webofscience.com%2Fwos%2Fwoscc%2Ffull-record%2FWOS:000677113900001","View Full Record in Web of Science")</f>
        <v>View Full Record in Web of Science</v>
      </c>
      <c r="BU62" s="3"/>
      <c r="BV62" s="3"/>
      <c r="BW62" s="1"/>
    </row>
    <row r="63" spans="1:75" x14ac:dyDescent="0.25">
      <c r="A63" s="3" t="s">
        <v>72</v>
      </c>
      <c r="B63" s="3" t="s">
        <v>1456</v>
      </c>
      <c r="C63" s="3" t="s">
        <v>74</v>
      </c>
      <c r="D63" s="3" t="s">
        <v>74</v>
      </c>
      <c r="E63" s="3" t="s">
        <v>74</v>
      </c>
      <c r="F63" s="3" t="s">
        <v>1457</v>
      </c>
      <c r="G63" s="3" t="s">
        <v>74</v>
      </c>
      <c r="H63" s="3" t="s">
        <v>74</v>
      </c>
      <c r="I63" s="3" t="s">
        <v>1458</v>
      </c>
      <c r="J63" s="3" t="s">
        <v>661</v>
      </c>
      <c r="K63" s="3" t="s">
        <v>74</v>
      </c>
      <c r="L63" s="3" t="s">
        <v>74</v>
      </c>
      <c r="M63" s="3" t="s">
        <v>110</v>
      </c>
      <c r="N63" s="3" t="s">
        <v>79</v>
      </c>
      <c r="O63" s="3" t="s">
        <v>74</v>
      </c>
      <c r="P63" s="3" t="s">
        <v>74</v>
      </c>
      <c r="Q63" s="3" t="s">
        <v>74</v>
      </c>
      <c r="R63" s="3" t="s">
        <v>74</v>
      </c>
      <c r="S63" s="3" t="s">
        <v>74</v>
      </c>
      <c r="T63" s="3" t="s">
        <v>1459</v>
      </c>
      <c r="U63" s="3" t="s">
        <v>1460</v>
      </c>
      <c r="V63" s="3" t="s">
        <v>1461</v>
      </c>
      <c r="W63" s="3" t="s">
        <v>1462</v>
      </c>
      <c r="X63" s="3" t="s">
        <v>1463</v>
      </c>
      <c r="Y63" s="3" t="s">
        <v>1464</v>
      </c>
      <c r="Z63" s="3" t="s">
        <v>1465</v>
      </c>
      <c r="AA63" s="3" t="s">
        <v>1466</v>
      </c>
      <c r="AB63" s="3" t="s">
        <v>74</v>
      </c>
      <c r="AC63" s="3" t="s">
        <v>74</v>
      </c>
      <c r="AD63" s="3" t="s">
        <v>74</v>
      </c>
      <c r="AE63" s="3" t="s">
        <v>74</v>
      </c>
      <c r="AF63" s="3" t="s">
        <v>74</v>
      </c>
      <c r="AG63" s="3">
        <v>26</v>
      </c>
      <c r="AH63" s="3">
        <v>89</v>
      </c>
      <c r="AI63" s="3">
        <v>103</v>
      </c>
      <c r="AJ63" s="3">
        <v>5</v>
      </c>
      <c r="AK63" s="3">
        <v>133</v>
      </c>
      <c r="AL63" s="3" t="s">
        <v>671</v>
      </c>
      <c r="AM63" s="3" t="s">
        <v>124</v>
      </c>
      <c r="AN63" s="3" t="s">
        <v>672</v>
      </c>
      <c r="AO63" s="3" t="s">
        <v>673</v>
      </c>
      <c r="AP63" s="3" t="s">
        <v>674</v>
      </c>
      <c r="AQ63" s="3" t="s">
        <v>74</v>
      </c>
      <c r="AR63" s="3" t="s">
        <v>675</v>
      </c>
      <c r="AS63" s="3" t="s">
        <v>676</v>
      </c>
      <c r="AT63" s="3" t="s">
        <v>176</v>
      </c>
      <c r="AU63" s="3">
        <v>2020</v>
      </c>
      <c r="AV63" s="3">
        <v>57</v>
      </c>
      <c r="AW63" s="3" t="s">
        <v>74</v>
      </c>
      <c r="AX63" s="3" t="s">
        <v>74</v>
      </c>
      <c r="AY63" s="3" t="s">
        <v>74</v>
      </c>
      <c r="AZ63" s="3" t="s">
        <v>74</v>
      </c>
      <c r="BA63" s="3" t="s">
        <v>74</v>
      </c>
      <c r="BB63" s="3" t="s">
        <v>74</v>
      </c>
      <c r="BC63" s="3" t="s">
        <v>74</v>
      </c>
      <c r="BD63" s="3">
        <v>102120</v>
      </c>
      <c r="BE63" s="3" t="s">
        <v>1467</v>
      </c>
      <c r="BF63" s="3" t="str">
        <f>HYPERLINK("http://dx.doi.org/10.1016/j.scs.2020.102120","http://dx.doi.org/10.1016/j.scs.2020.102120")</f>
        <v>http://dx.doi.org/10.1016/j.scs.2020.102120</v>
      </c>
      <c r="BG63" s="3" t="s">
        <v>74</v>
      </c>
      <c r="BH63" s="3" t="s">
        <v>74</v>
      </c>
      <c r="BI63" s="3">
        <v>14</v>
      </c>
      <c r="BJ63" s="3" t="s">
        <v>680</v>
      </c>
      <c r="BK63" s="3" t="s">
        <v>179</v>
      </c>
      <c r="BL63" s="3" t="s">
        <v>681</v>
      </c>
      <c r="BM63" s="3" t="s">
        <v>1468</v>
      </c>
      <c r="BN63" s="3" t="s">
        <v>74</v>
      </c>
      <c r="BO63" s="3" t="s">
        <v>74</v>
      </c>
      <c r="BP63" s="3" t="s">
        <v>74</v>
      </c>
      <c r="BQ63" s="3" t="s">
        <v>74</v>
      </c>
      <c r="BR63" s="3" t="s">
        <v>101</v>
      </c>
      <c r="BS63" s="3" t="s">
        <v>1469</v>
      </c>
      <c r="BT63" s="3" t="str">
        <f>HYPERLINK("https%3A%2F%2Fwww.webofscience.com%2Fwos%2Fwoscc%2Ffull-record%2FWOS:000533518300005","View Full Record in Web of Science")</f>
        <v>View Full Record in Web of Science</v>
      </c>
      <c r="BU63" s="3"/>
      <c r="BV63" s="3"/>
      <c r="BW63" s="1"/>
    </row>
    <row r="64" spans="1:75" x14ac:dyDescent="0.25">
      <c r="A64" s="3" t="s">
        <v>103</v>
      </c>
      <c r="B64" s="3" t="s">
        <v>1470</v>
      </c>
      <c r="C64" s="3" t="s">
        <v>74</v>
      </c>
      <c r="D64" s="3" t="s">
        <v>1471</v>
      </c>
      <c r="E64" s="3" t="s">
        <v>74</v>
      </c>
      <c r="F64" s="3" t="s">
        <v>1472</v>
      </c>
      <c r="G64" s="3" t="s">
        <v>74</v>
      </c>
      <c r="H64" s="3" t="s">
        <v>74</v>
      </c>
      <c r="I64" s="3" t="s">
        <v>1473</v>
      </c>
      <c r="J64" s="3" t="s">
        <v>1474</v>
      </c>
      <c r="K64" s="3" t="s">
        <v>1475</v>
      </c>
      <c r="L64" s="3" t="s">
        <v>74</v>
      </c>
      <c r="M64" s="3" t="s">
        <v>110</v>
      </c>
      <c r="N64" s="3" t="s">
        <v>111</v>
      </c>
      <c r="O64" s="3" t="s">
        <v>1476</v>
      </c>
      <c r="P64" s="3" t="s">
        <v>1477</v>
      </c>
      <c r="Q64" s="3" t="s">
        <v>1478</v>
      </c>
      <c r="R64" s="3" t="s">
        <v>74</v>
      </c>
      <c r="S64" s="3" t="s">
        <v>74</v>
      </c>
      <c r="T64" s="3" t="s">
        <v>1479</v>
      </c>
      <c r="U64" s="3" t="s">
        <v>74</v>
      </c>
      <c r="V64" s="3" t="s">
        <v>1480</v>
      </c>
      <c r="W64" s="3" t="s">
        <v>1481</v>
      </c>
      <c r="X64" s="3" t="s">
        <v>74</v>
      </c>
      <c r="Y64" s="3" t="s">
        <v>1482</v>
      </c>
      <c r="Z64" s="3" t="s">
        <v>1483</v>
      </c>
      <c r="AA64" s="3" t="s">
        <v>1484</v>
      </c>
      <c r="AB64" s="3" t="s">
        <v>1485</v>
      </c>
      <c r="AC64" s="3" t="s">
        <v>1486</v>
      </c>
      <c r="AD64" s="3" t="s">
        <v>1487</v>
      </c>
      <c r="AE64" s="3" t="s">
        <v>1488</v>
      </c>
      <c r="AF64" s="3" t="s">
        <v>74</v>
      </c>
      <c r="AG64" s="3">
        <v>15</v>
      </c>
      <c r="AH64" s="3">
        <v>16</v>
      </c>
      <c r="AI64" s="3">
        <v>21</v>
      </c>
      <c r="AJ64" s="3">
        <v>2</v>
      </c>
      <c r="AK64" s="3">
        <v>24</v>
      </c>
      <c r="AL64" s="3" t="s">
        <v>123</v>
      </c>
      <c r="AM64" s="3" t="s">
        <v>124</v>
      </c>
      <c r="AN64" s="3" t="s">
        <v>125</v>
      </c>
      <c r="AO64" s="3" t="s">
        <v>1489</v>
      </c>
      <c r="AP64" s="3" t="s">
        <v>74</v>
      </c>
      <c r="AQ64" s="3" t="s">
        <v>74</v>
      </c>
      <c r="AR64" s="3" t="s">
        <v>1490</v>
      </c>
      <c r="AS64" s="3" t="s">
        <v>74</v>
      </c>
      <c r="AT64" s="3" t="s">
        <v>74</v>
      </c>
      <c r="AU64" s="3">
        <v>2021</v>
      </c>
      <c r="AV64" s="3">
        <v>181</v>
      </c>
      <c r="AW64" s="3" t="s">
        <v>74</v>
      </c>
      <c r="AX64" s="3" t="s">
        <v>74</v>
      </c>
      <c r="AY64" s="3" t="s">
        <v>74</v>
      </c>
      <c r="AZ64" s="3" t="s">
        <v>74</v>
      </c>
      <c r="BA64" s="3" t="s">
        <v>74</v>
      </c>
      <c r="BB64" s="3">
        <v>897</v>
      </c>
      <c r="BC64" s="3">
        <v>904</v>
      </c>
      <c r="BD64" s="3" t="s">
        <v>74</v>
      </c>
      <c r="BE64" s="3" t="s">
        <v>1491</v>
      </c>
      <c r="BF64" s="3" t="str">
        <f>HYPERLINK("http://dx.doi.org/10.1016/j.procs.2021.01.245","http://dx.doi.org/10.1016/j.procs.2021.01.245")</f>
        <v>http://dx.doi.org/10.1016/j.procs.2021.01.245</v>
      </c>
      <c r="BG64" s="3" t="s">
        <v>74</v>
      </c>
      <c r="BH64" s="3" t="s">
        <v>74</v>
      </c>
      <c r="BI64" s="3">
        <v>8</v>
      </c>
      <c r="BJ64" s="3" t="s">
        <v>1492</v>
      </c>
      <c r="BK64" s="3" t="s">
        <v>130</v>
      </c>
      <c r="BL64" s="3" t="s">
        <v>1493</v>
      </c>
      <c r="BM64" s="3" t="s">
        <v>1494</v>
      </c>
      <c r="BN64" s="3" t="s">
        <v>74</v>
      </c>
      <c r="BO64" s="3" t="s">
        <v>100</v>
      </c>
      <c r="BP64" s="3" t="s">
        <v>74</v>
      </c>
      <c r="BQ64" s="3" t="s">
        <v>74</v>
      </c>
      <c r="BR64" s="3" t="s">
        <v>101</v>
      </c>
      <c r="BS64" s="3" t="s">
        <v>1495</v>
      </c>
      <c r="BT64" s="3" t="str">
        <f>HYPERLINK("https%3A%2F%2Fwww.webofscience.com%2Fwos%2Fwoscc%2Ffull-record%2FWOS:000655346400110","View Full Record in Web of Science")</f>
        <v>View Full Record in Web of Science</v>
      </c>
      <c r="BU64" s="3"/>
      <c r="BV64" s="3"/>
      <c r="BW64" s="1"/>
    </row>
    <row r="65" spans="1:75" x14ac:dyDescent="0.25">
      <c r="A65" s="3" t="s">
        <v>72</v>
      </c>
      <c r="B65" s="3" t="s">
        <v>1496</v>
      </c>
      <c r="C65" s="3" t="s">
        <v>74</v>
      </c>
      <c r="D65" s="3" t="s">
        <v>74</v>
      </c>
      <c r="E65" s="3" t="s">
        <v>74</v>
      </c>
      <c r="F65" s="3" t="s">
        <v>1497</v>
      </c>
      <c r="G65" s="3" t="s">
        <v>74</v>
      </c>
      <c r="H65" s="3" t="s">
        <v>74</v>
      </c>
      <c r="I65" s="3" t="s">
        <v>1498</v>
      </c>
      <c r="J65" s="3" t="s">
        <v>1499</v>
      </c>
      <c r="K65" s="3" t="s">
        <v>74</v>
      </c>
      <c r="L65" s="3" t="s">
        <v>74</v>
      </c>
      <c r="M65" s="3" t="s">
        <v>110</v>
      </c>
      <c r="N65" s="3" t="s">
        <v>79</v>
      </c>
      <c r="O65" s="3" t="s">
        <v>74</v>
      </c>
      <c r="P65" s="3" t="s">
        <v>74</v>
      </c>
      <c r="Q65" s="3" t="s">
        <v>74</v>
      </c>
      <c r="R65" s="3" t="s">
        <v>74</v>
      </c>
      <c r="S65" s="3" t="s">
        <v>74</v>
      </c>
      <c r="T65" s="3" t="s">
        <v>1500</v>
      </c>
      <c r="U65" s="3" t="s">
        <v>1501</v>
      </c>
      <c r="V65" s="3" t="s">
        <v>1502</v>
      </c>
      <c r="W65" s="3" t="s">
        <v>1503</v>
      </c>
      <c r="X65" s="3" t="s">
        <v>1504</v>
      </c>
      <c r="Y65" s="3" t="s">
        <v>1505</v>
      </c>
      <c r="Z65" s="3" t="s">
        <v>1506</v>
      </c>
      <c r="AA65" s="3" t="s">
        <v>1507</v>
      </c>
      <c r="AB65" s="3" t="s">
        <v>1508</v>
      </c>
      <c r="AC65" s="3" t="s">
        <v>1509</v>
      </c>
      <c r="AD65" s="3" t="s">
        <v>1510</v>
      </c>
      <c r="AE65" s="3" t="s">
        <v>1511</v>
      </c>
      <c r="AF65" s="3" t="s">
        <v>74</v>
      </c>
      <c r="AG65" s="3">
        <v>33</v>
      </c>
      <c r="AH65" s="3">
        <v>20</v>
      </c>
      <c r="AI65" s="3">
        <v>24</v>
      </c>
      <c r="AJ65" s="3">
        <v>2</v>
      </c>
      <c r="AK65" s="3">
        <v>18</v>
      </c>
      <c r="AL65" s="3" t="s">
        <v>671</v>
      </c>
      <c r="AM65" s="3" t="s">
        <v>124</v>
      </c>
      <c r="AN65" s="3" t="s">
        <v>672</v>
      </c>
      <c r="AO65" s="3" t="s">
        <v>1512</v>
      </c>
      <c r="AP65" s="3" t="s">
        <v>1513</v>
      </c>
      <c r="AQ65" s="3" t="s">
        <v>74</v>
      </c>
      <c r="AR65" s="3" t="s">
        <v>1514</v>
      </c>
      <c r="AS65" s="3" t="s">
        <v>1515</v>
      </c>
      <c r="AT65" s="3" t="s">
        <v>1164</v>
      </c>
      <c r="AU65" s="3">
        <v>2021</v>
      </c>
      <c r="AV65" s="3">
        <v>47</v>
      </c>
      <c r="AW65" s="3" t="s">
        <v>74</v>
      </c>
      <c r="AX65" s="3" t="s">
        <v>74</v>
      </c>
      <c r="AY65" s="3" t="s">
        <v>74</v>
      </c>
      <c r="AZ65" s="3" t="s">
        <v>74</v>
      </c>
      <c r="BA65" s="3" t="s">
        <v>74</v>
      </c>
      <c r="BB65" s="3" t="s">
        <v>74</v>
      </c>
      <c r="BC65" s="3" t="s">
        <v>74</v>
      </c>
      <c r="BD65" s="3">
        <v>101525</v>
      </c>
      <c r="BE65" s="3" t="s">
        <v>1516</v>
      </c>
      <c r="BF65" s="3" t="str">
        <f>HYPERLINK("http://dx.doi.org/10.1016/j.seta.2021.101525","http://dx.doi.org/10.1016/j.seta.2021.101525")</f>
        <v>http://dx.doi.org/10.1016/j.seta.2021.101525</v>
      </c>
      <c r="BG65" s="3" t="s">
        <v>74</v>
      </c>
      <c r="BH65" s="3" t="s">
        <v>1517</v>
      </c>
      <c r="BI65" s="3">
        <v>9</v>
      </c>
      <c r="BJ65" s="3" t="s">
        <v>1518</v>
      </c>
      <c r="BK65" s="3" t="s">
        <v>179</v>
      </c>
      <c r="BL65" s="3" t="s">
        <v>1519</v>
      </c>
      <c r="BM65" s="3" t="s">
        <v>1520</v>
      </c>
      <c r="BN65" s="3" t="s">
        <v>74</v>
      </c>
      <c r="BO65" s="3" t="s">
        <v>74</v>
      </c>
      <c r="BP65" s="3" t="s">
        <v>74</v>
      </c>
      <c r="BQ65" s="3" t="s">
        <v>74</v>
      </c>
      <c r="BR65" s="3" t="s">
        <v>101</v>
      </c>
      <c r="BS65" s="3" t="s">
        <v>1521</v>
      </c>
      <c r="BT65" s="3" t="str">
        <f>HYPERLINK("https%3A%2F%2Fwww.webofscience.com%2Fwos%2Fwoscc%2Ffull-record%2FWOS:000711213700005","View Full Record in Web of Science")</f>
        <v>View Full Record in Web of Science</v>
      </c>
      <c r="BU65" s="3"/>
      <c r="BV65" s="3"/>
      <c r="BW65" s="1"/>
    </row>
    <row r="66" spans="1:75" x14ac:dyDescent="0.25">
      <c r="A66" s="3" t="s">
        <v>72</v>
      </c>
      <c r="B66" s="3" t="s">
        <v>1522</v>
      </c>
      <c r="C66" s="3" t="s">
        <v>74</v>
      </c>
      <c r="D66" s="3" t="s">
        <v>74</v>
      </c>
      <c r="E66" s="3" t="s">
        <v>74</v>
      </c>
      <c r="F66" s="3" t="s">
        <v>1523</v>
      </c>
      <c r="G66" s="3" t="s">
        <v>74</v>
      </c>
      <c r="H66" s="3" t="s">
        <v>74</v>
      </c>
      <c r="I66" s="3" t="s">
        <v>1524</v>
      </c>
      <c r="J66" s="3" t="s">
        <v>1525</v>
      </c>
      <c r="K66" s="3" t="s">
        <v>74</v>
      </c>
      <c r="L66" s="3" t="s">
        <v>74</v>
      </c>
      <c r="M66" s="3" t="s">
        <v>110</v>
      </c>
      <c r="N66" s="3" t="s">
        <v>79</v>
      </c>
      <c r="O66" s="3" t="s">
        <v>74</v>
      </c>
      <c r="P66" s="3" t="s">
        <v>74</v>
      </c>
      <c r="Q66" s="3" t="s">
        <v>74</v>
      </c>
      <c r="R66" s="3" t="s">
        <v>74</v>
      </c>
      <c r="S66" s="3" t="s">
        <v>74</v>
      </c>
      <c r="T66" s="3" t="s">
        <v>1526</v>
      </c>
      <c r="U66" s="3" t="s">
        <v>74</v>
      </c>
      <c r="V66" s="3" t="s">
        <v>1527</v>
      </c>
      <c r="W66" s="3" t="s">
        <v>1528</v>
      </c>
      <c r="X66" s="3" t="s">
        <v>1529</v>
      </c>
      <c r="Y66" s="3" t="s">
        <v>1530</v>
      </c>
      <c r="Z66" s="3" t="s">
        <v>1531</v>
      </c>
      <c r="AA66" s="3" t="s">
        <v>74</v>
      </c>
      <c r="AB66" s="3" t="s">
        <v>74</v>
      </c>
      <c r="AC66" s="3" t="s">
        <v>1529</v>
      </c>
      <c r="AD66" s="3" t="s">
        <v>1529</v>
      </c>
      <c r="AE66" s="3" t="s">
        <v>1532</v>
      </c>
      <c r="AF66" s="3" t="s">
        <v>74</v>
      </c>
      <c r="AG66" s="3">
        <v>12</v>
      </c>
      <c r="AH66" s="3">
        <v>1</v>
      </c>
      <c r="AI66" s="3">
        <v>1</v>
      </c>
      <c r="AJ66" s="3">
        <v>1</v>
      </c>
      <c r="AK66" s="3">
        <v>3</v>
      </c>
      <c r="AL66" s="3" t="s">
        <v>1533</v>
      </c>
      <c r="AM66" s="3" t="s">
        <v>1534</v>
      </c>
      <c r="AN66" s="3" t="s">
        <v>1535</v>
      </c>
      <c r="AO66" s="3" t="s">
        <v>1536</v>
      </c>
      <c r="AP66" s="3" t="s">
        <v>74</v>
      </c>
      <c r="AQ66" s="3" t="s">
        <v>74</v>
      </c>
      <c r="AR66" s="3" t="s">
        <v>1537</v>
      </c>
      <c r="AS66" s="3" t="s">
        <v>1538</v>
      </c>
      <c r="AT66" s="3" t="s">
        <v>74</v>
      </c>
      <c r="AU66" s="3">
        <v>2021</v>
      </c>
      <c r="AV66" s="3">
        <v>12</v>
      </c>
      <c r="AW66" s="3">
        <v>5</v>
      </c>
      <c r="AX66" s="3" t="s">
        <v>74</v>
      </c>
      <c r="AY66" s="3" t="s">
        <v>74</v>
      </c>
      <c r="AZ66" s="3" t="s">
        <v>74</v>
      </c>
      <c r="BA66" s="3" t="s">
        <v>74</v>
      </c>
      <c r="BB66" s="3" t="s">
        <v>74</v>
      </c>
      <c r="BC66" s="3" t="s">
        <v>74</v>
      </c>
      <c r="BD66" s="3" t="s">
        <v>74</v>
      </c>
      <c r="BE66" s="3" t="s">
        <v>1539</v>
      </c>
      <c r="BF66" s="3" t="str">
        <f>HYPERLINK("http://dx.doi.org/10.30880/ijscet.2021.12.05.001","http://dx.doi.org/10.30880/ijscet.2021.12.05.001")</f>
        <v>http://dx.doi.org/10.30880/ijscet.2021.12.05.001</v>
      </c>
      <c r="BG66" s="3" t="s">
        <v>74</v>
      </c>
      <c r="BH66" s="3" t="s">
        <v>74</v>
      </c>
      <c r="BI66" s="3">
        <v>8</v>
      </c>
      <c r="BJ66" s="3" t="s">
        <v>1540</v>
      </c>
      <c r="BK66" s="3" t="s">
        <v>97</v>
      </c>
      <c r="BL66" s="3" t="s">
        <v>1540</v>
      </c>
      <c r="BM66" s="3" t="s">
        <v>1541</v>
      </c>
      <c r="BN66" s="3" t="s">
        <v>74</v>
      </c>
      <c r="BO66" s="3" t="s">
        <v>100</v>
      </c>
      <c r="BP66" s="3" t="s">
        <v>74</v>
      </c>
      <c r="BQ66" s="3" t="s">
        <v>74</v>
      </c>
      <c r="BR66" s="3" t="s">
        <v>101</v>
      </c>
      <c r="BS66" s="3" t="s">
        <v>1542</v>
      </c>
      <c r="BT66" s="3" t="str">
        <f>HYPERLINK("https%3A%2F%2Fwww.webofscience.com%2Fwos%2Fwoscc%2Ffull-record%2FWOS:000819474100001","View Full Record in Web of Science")</f>
        <v>View Full Record in Web of Science</v>
      </c>
      <c r="BU66" s="3"/>
      <c r="BV66" s="3"/>
      <c r="BW66" s="1"/>
    </row>
    <row r="67" spans="1:75" x14ac:dyDescent="0.25">
      <c r="A67" s="3" t="s">
        <v>72</v>
      </c>
      <c r="B67" s="3" t="s">
        <v>1543</v>
      </c>
      <c r="C67" s="3" t="s">
        <v>74</v>
      </c>
      <c r="D67" s="3" t="s">
        <v>74</v>
      </c>
      <c r="E67" s="3" t="s">
        <v>74</v>
      </c>
      <c r="F67" s="3" t="s">
        <v>1544</v>
      </c>
      <c r="G67" s="3" t="s">
        <v>74</v>
      </c>
      <c r="H67" s="3" t="s">
        <v>74</v>
      </c>
      <c r="I67" s="3" t="s">
        <v>1545</v>
      </c>
      <c r="J67" s="3" t="s">
        <v>1546</v>
      </c>
      <c r="K67" s="3" t="s">
        <v>74</v>
      </c>
      <c r="L67" s="3" t="s">
        <v>74</v>
      </c>
      <c r="M67" s="3" t="s">
        <v>110</v>
      </c>
      <c r="N67" s="3" t="s">
        <v>79</v>
      </c>
      <c r="O67" s="3" t="s">
        <v>74</v>
      </c>
      <c r="P67" s="3" t="s">
        <v>74</v>
      </c>
      <c r="Q67" s="3" t="s">
        <v>74</v>
      </c>
      <c r="R67" s="3" t="s">
        <v>74</v>
      </c>
      <c r="S67" s="3" t="s">
        <v>74</v>
      </c>
      <c r="T67" s="3" t="s">
        <v>1547</v>
      </c>
      <c r="U67" s="3" t="s">
        <v>1548</v>
      </c>
      <c r="V67" s="3" t="s">
        <v>1549</v>
      </c>
      <c r="W67" s="3" t="s">
        <v>1550</v>
      </c>
      <c r="X67" s="3" t="s">
        <v>1551</v>
      </c>
      <c r="Y67" s="3" t="s">
        <v>1552</v>
      </c>
      <c r="Z67" s="3" t="s">
        <v>1553</v>
      </c>
      <c r="AA67" s="3" t="s">
        <v>1554</v>
      </c>
      <c r="AB67" s="3" t="s">
        <v>1555</v>
      </c>
      <c r="AC67" s="3" t="s">
        <v>1556</v>
      </c>
      <c r="AD67" s="3" t="s">
        <v>1557</v>
      </c>
      <c r="AE67" s="3" t="s">
        <v>1558</v>
      </c>
      <c r="AF67" s="3" t="s">
        <v>74</v>
      </c>
      <c r="AG67" s="3">
        <v>34</v>
      </c>
      <c r="AH67" s="3">
        <v>54</v>
      </c>
      <c r="AI67" s="3">
        <v>65</v>
      </c>
      <c r="AJ67" s="3">
        <v>0</v>
      </c>
      <c r="AK67" s="3">
        <v>19</v>
      </c>
      <c r="AL67" s="3" t="s">
        <v>1120</v>
      </c>
      <c r="AM67" s="3" t="s">
        <v>200</v>
      </c>
      <c r="AN67" s="3" t="s">
        <v>1559</v>
      </c>
      <c r="AO67" s="3" t="s">
        <v>1560</v>
      </c>
      <c r="AP67" s="3" t="s">
        <v>1561</v>
      </c>
      <c r="AQ67" s="3" t="s">
        <v>74</v>
      </c>
      <c r="AR67" s="3" t="s">
        <v>1562</v>
      </c>
      <c r="AS67" s="3" t="s">
        <v>1563</v>
      </c>
      <c r="AT67" s="3" t="s">
        <v>333</v>
      </c>
      <c r="AU67" s="3">
        <v>2020</v>
      </c>
      <c r="AV67" s="3">
        <v>23</v>
      </c>
      <c r="AW67" s="3">
        <v>3</v>
      </c>
      <c r="AX67" s="3" t="s">
        <v>74</v>
      </c>
      <c r="AY67" s="3" t="s">
        <v>74</v>
      </c>
      <c r="AZ67" s="3" t="s">
        <v>74</v>
      </c>
      <c r="BA67" s="3" t="s">
        <v>74</v>
      </c>
      <c r="BB67" s="3">
        <v>1769</v>
      </c>
      <c r="BC67" s="3">
        <v>1780</v>
      </c>
      <c r="BD67" s="3" t="s">
        <v>74</v>
      </c>
      <c r="BE67" s="3" t="s">
        <v>1564</v>
      </c>
      <c r="BF67" s="3" t="str">
        <f>HYPERLINK("http://dx.doi.org/10.1007/s10586-020-03126-x","http://dx.doi.org/10.1007/s10586-020-03126-x")</f>
        <v>http://dx.doi.org/10.1007/s10586-020-03126-x</v>
      </c>
      <c r="BG67" s="3" t="s">
        <v>74</v>
      </c>
      <c r="BH67" s="3" t="s">
        <v>1565</v>
      </c>
      <c r="BI67" s="3">
        <v>12</v>
      </c>
      <c r="BJ67" s="3" t="s">
        <v>1566</v>
      </c>
      <c r="BK67" s="3" t="s">
        <v>179</v>
      </c>
      <c r="BL67" s="3" t="s">
        <v>486</v>
      </c>
      <c r="BM67" s="3" t="s">
        <v>1567</v>
      </c>
      <c r="BN67" s="3" t="s">
        <v>74</v>
      </c>
      <c r="BO67" s="3" t="s">
        <v>74</v>
      </c>
      <c r="BP67" s="3" t="s">
        <v>74</v>
      </c>
      <c r="BQ67" s="3" t="s">
        <v>74</v>
      </c>
      <c r="BR67" s="3" t="s">
        <v>101</v>
      </c>
      <c r="BS67" s="3" t="s">
        <v>1568</v>
      </c>
      <c r="BT67" s="3" t="str">
        <f>HYPERLINK("https%3A%2F%2Fwww.webofscience.com%2Fwos%2Fwoscc%2Ffull-record%2FWOS:000533486900001","View Full Record in Web of Science")</f>
        <v>View Full Record in Web of Science</v>
      </c>
      <c r="BU67" s="3"/>
      <c r="BV67" s="3"/>
      <c r="BW67" s="1"/>
    </row>
    <row r="68" spans="1:75" x14ac:dyDescent="0.25">
      <c r="A68" s="3" t="s">
        <v>72</v>
      </c>
      <c r="B68" s="3" t="s">
        <v>1569</v>
      </c>
      <c r="C68" s="3" t="s">
        <v>74</v>
      </c>
      <c r="D68" s="3" t="s">
        <v>74</v>
      </c>
      <c r="E68" s="3" t="s">
        <v>74</v>
      </c>
      <c r="F68" s="3" t="s">
        <v>1570</v>
      </c>
      <c r="G68" s="3" t="s">
        <v>74</v>
      </c>
      <c r="H68" s="3" t="s">
        <v>74</v>
      </c>
      <c r="I68" s="3" t="s">
        <v>1571</v>
      </c>
      <c r="J68" s="3" t="s">
        <v>1572</v>
      </c>
      <c r="K68" s="3" t="s">
        <v>74</v>
      </c>
      <c r="L68" s="3" t="s">
        <v>74</v>
      </c>
      <c r="M68" s="3" t="s">
        <v>110</v>
      </c>
      <c r="N68" s="3" t="s">
        <v>216</v>
      </c>
      <c r="O68" s="3" t="s">
        <v>74</v>
      </c>
      <c r="P68" s="3" t="s">
        <v>74</v>
      </c>
      <c r="Q68" s="3" t="s">
        <v>74</v>
      </c>
      <c r="R68" s="3" t="s">
        <v>74</v>
      </c>
      <c r="S68" s="3" t="s">
        <v>74</v>
      </c>
      <c r="T68" s="3" t="s">
        <v>1573</v>
      </c>
      <c r="U68" s="3" t="s">
        <v>1574</v>
      </c>
      <c r="V68" s="3" t="s">
        <v>1575</v>
      </c>
      <c r="W68" s="3" t="s">
        <v>1576</v>
      </c>
      <c r="X68" s="3" t="s">
        <v>1577</v>
      </c>
      <c r="Y68" s="3" t="s">
        <v>1578</v>
      </c>
      <c r="Z68" s="3" t="s">
        <v>1579</v>
      </c>
      <c r="AA68" s="3" t="s">
        <v>1580</v>
      </c>
      <c r="AB68" s="3" t="s">
        <v>1581</v>
      </c>
      <c r="AC68" s="3" t="s">
        <v>1582</v>
      </c>
      <c r="AD68" s="3" t="s">
        <v>1583</v>
      </c>
      <c r="AE68" s="3" t="s">
        <v>1584</v>
      </c>
      <c r="AF68" s="3" t="s">
        <v>74</v>
      </c>
      <c r="AG68" s="3">
        <v>184</v>
      </c>
      <c r="AH68" s="3">
        <v>109</v>
      </c>
      <c r="AI68" s="3">
        <v>128</v>
      </c>
      <c r="AJ68" s="3">
        <v>15</v>
      </c>
      <c r="AK68" s="3">
        <v>302</v>
      </c>
      <c r="AL68" s="3" t="s">
        <v>872</v>
      </c>
      <c r="AM68" s="3" t="s">
        <v>873</v>
      </c>
      <c r="AN68" s="3" t="s">
        <v>874</v>
      </c>
      <c r="AO68" s="3" t="s">
        <v>1585</v>
      </c>
      <c r="AP68" s="3" t="s">
        <v>1586</v>
      </c>
      <c r="AQ68" s="3" t="s">
        <v>74</v>
      </c>
      <c r="AR68" s="3" t="s">
        <v>1587</v>
      </c>
      <c r="AS68" s="3" t="s">
        <v>1588</v>
      </c>
      <c r="AT68" s="3" t="s">
        <v>1589</v>
      </c>
      <c r="AU68" s="3">
        <v>2019</v>
      </c>
      <c r="AV68" s="3">
        <v>57</v>
      </c>
      <c r="AW68" s="3">
        <v>3</v>
      </c>
      <c r="AX68" s="3" t="s">
        <v>74</v>
      </c>
      <c r="AY68" s="3" t="s">
        <v>74</v>
      </c>
      <c r="AZ68" s="3" t="s">
        <v>74</v>
      </c>
      <c r="BA68" s="3" t="s">
        <v>74</v>
      </c>
      <c r="BB68" s="3">
        <v>865</v>
      </c>
      <c r="BC68" s="3">
        <v>887</v>
      </c>
      <c r="BD68" s="3" t="s">
        <v>74</v>
      </c>
      <c r="BE68" s="3" t="s">
        <v>1590</v>
      </c>
      <c r="BF68" s="3" t="str">
        <f>HYPERLINK("http://dx.doi.org/10.1080/00207543.2018.1489153","http://dx.doi.org/10.1080/00207543.2018.1489153")</f>
        <v>http://dx.doi.org/10.1080/00207543.2018.1489153</v>
      </c>
      <c r="BG68" s="3" t="s">
        <v>74</v>
      </c>
      <c r="BH68" s="3" t="s">
        <v>74</v>
      </c>
      <c r="BI68" s="3">
        <v>23</v>
      </c>
      <c r="BJ68" s="3" t="s">
        <v>1591</v>
      </c>
      <c r="BK68" s="3" t="s">
        <v>154</v>
      </c>
      <c r="BL68" s="3" t="s">
        <v>209</v>
      </c>
      <c r="BM68" s="3" t="s">
        <v>1592</v>
      </c>
      <c r="BN68" s="3" t="s">
        <v>74</v>
      </c>
      <c r="BO68" s="3" t="s">
        <v>74</v>
      </c>
      <c r="BP68" s="3" t="s">
        <v>74</v>
      </c>
      <c r="BQ68" s="3" t="s">
        <v>74</v>
      </c>
      <c r="BR68" s="3" t="s">
        <v>101</v>
      </c>
      <c r="BS68" s="3" t="s">
        <v>1593</v>
      </c>
      <c r="BT68" s="3" t="str">
        <f>HYPERLINK("https%3A%2F%2Fwww.webofscience.com%2Fwos%2Fwoscc%2Ffull-record%2FWOS:000460630300013","View Full Record in Web of Science")</f>
        <v>View Full Record in Web of Science</v>
      </c>
      <c r="BU68" s="3"/>
      <c r="BV68" s="3"/>
      <c r="BW68" s="1"/>
    </row>
    <row r="69" spans="1:75" x14ac:dyDescent="0.25">
      <c r="A69" s="3" t="s">
        <v>103</v>
      </c>
      <c r="B69" s="3" t="s">
        <v>1594</v>
      </c>
      <c r="C69" s="3" t="s">
        <v>74</v>
      </c>
      <c r="D69" s="3" t="s">
        <v>74</v>
      </c>
      <c r="E69" s="3" t="s">
        <v>199</v>
      </c>
      <c r="F69" s="3" t="s">
        <v>1595</v>
      </c>
      <c r="G69" s="3" t="s">
        <v>74</v>
      </c>
      <c r="H69" s="3" t="s">
        <v>74</v>
      </c>
      <c r="I69" s="3" t="s">
        <v>1596</v>
      </c>
      <c r="J69" s="3" t="s">
        <v>1597</v>
      </c>
      <c r="K69" s="3" t="s">
        <v>1598</v>
      </c>
      <c r="L69" s="3" t="s">
        <v>74</v>
      </c>
      <c r="M69" s="3" t="s">
        <v>110</v>
      </c>
      <c r="N69" s="3" t="s">
        <v>111</v>
      </c>
      <c r="O69" s="3" t="s">
        <v>1599</v>
      </c>
      <c r="P69" s="3" t="s">
        <v>1600</v>
      </c>
      <c r="Q69" s="3" t="s">
        <v>1601</v>
      </c>
      <c r="R69" s="3" t="s">
        <v>74</v>
      </c>
      <c r="S69" s="3" t="s">
        <v>74</v>
      </c>
      <c r="T69" s="3" t="s">
        <v>1602</v>
      </c>
      <c r="U69" s="3" t="s">
        <v>1603</v>
      </c>
      <c r="V69" s="3" t="s">
        <v>1604</v>
      </c>
      <c r="W69" s="3" t="s">
        <v>1605</v>
      </c>
      <c r="X69" s="3" t="s">
        <v>1606</v>
      </c>
      <c r="Y69" s="3" t="s">
        <v>1607</v>
      </c>
      <c r="Z69" s="3" t="s">
        <v>1608</v>
      </c>
      <c r="AA69" s="3" t="s">
        <v>1609</v>
      </c>
      <c r="AB69" s="3" t="s">
        <v>1610</v>
      </c>
      <c r="AC69" s="3" t="s">
        <v>1611</v>
      </c>
      <c r="AD69" s="3" t="s">
        <v>1612</v>
      </c>
      <c r="AE69" s="3" t="s">
        <v>1613</v>
      </c>
      <c r="AF69" s="3" t="s">
        <v>74</v>
      </c>
      <c r="AG69" s="3">
        <v>84</v>
      </c>
      <c r="AH69" s="3">
        <v>11</v>
      </c>
      <c r="AI69" s="3">
        <v>11</v>
      </c>
      <c r="AJ69" s="3">
        <v>0</v>
      </c>
      <c r="AK69" s="3">
        <v>6</v>
      </c>
      <c r="AL69" s="3" t="s">
        <v>199</v>
      </c>
      <c r="AM69" s="3" t="s">
        <v>200</v>
      </c>
      <c r="AN69" s="3" t="s">
        <v>201</v>
      </c>
      <c r="AO69" s="3" t="s">
        <v>1614</v>
      </c>
      <c r="AP69" s="3" t="s">
        <v>74</v>
      </c>
      <c r="AQ69" s="3" t="s">
        <v>1615</v>
      </c>
      <c r="AR69" s="3" t="s">
        <v>1616</v>
      </c>
      <c r="AS69" s="3" t="s">
        <v>74</v>
      </c>
      <c r="AT69" s="3" t="s">
        <v>74</v>
      </c>
      <c r="AU69" s="3">
        <v>2021</v>
      </c>
      <c r="AV69" s="3" t="s">
        <v>74</v>
      </c>
      <c r="AW69" s="3" t="s">
        <v>74</v>
      </c>
      <c r="AX69" s="3" t="s">
        <v>74</v>
      </c>
      <c r="AY69" s="3" t="s">
        <v>74</v>
      </c>
      <c r="AZ69" s="3" t="s">
        <v>74</v>
      </c>
      <c r="BA69" s="3" t="s">
        <v>74</v>
      </c>
      <c r="BB69" s="3">
        <v>657</v>
      </c>
      <c r="BC69" s="3">
        <v>662</v>
      </c>
      <c r="BD69" s="3" t="s">
        <v>74</v>
      </c>
      <c r="BE69" s="3" t="s">
        <v>1617</v>
      </c>
      <c r="BF69" s="3" t="str">
        <f>HYPERLINK("http://dx.doi.org/10.1109/MED51440.2021.9480281","http://dx.doi.org/10.1109/MED51440.2021.9480281")</f>
        <v>http://dx.doi.org/10.1109/MED51440.2021.9480281</v>
      </c>
      <c r="BG69" s="3" t="s">
        <v>74</v>
      </c>
      <c r="BH69" s="3" t="s">
        <v>74</v>
      </c>
      <c r="BI69" s="3">
        <v>6</v>
      </c>
      <c r="BJ69" s="3" t="s">
        <v>1618</v>
      </c>
      <c r="BK69" s="3" t="s">
        <v>208</v>
      </c>
      <c r="BL69" s="3" t="s">
        <v>1618</v>
      </c>
      <c r="BM69" s="3" t="s">
        <v>1619</v>
      </c>
      <c r="BN69" s="3" t="s">
        <v>74</v>
      </c>
      <c r="BO69" s="3" t="s">
        <v>74</v>
      </c>
      <c r="BP69" s="3" t="s">
        <v>74</v>
      </c>
      <c r="BQ69" s="3" t="s">
        <v>74</v>
      </c>
      <c r="BR69" s="3" t="s">
        <v>101</v>
      </c>
      <c r="BS69" s="3" t="s">
        <v>1620</v>
      </c>
      <c r="BT69" s="3" t="str">
        <f>HYPERLINK("https%3A%2F%2Fwww.webofscience.com%2Fwos%2Fwoscc%2Ffull-record%2FWOS:000811823100099","View Full Record in Web of Science")</f>
        <v>View Full Record in Web of Science</v>
      </c>
      <c r="BU69" s="3"/>
      <c r="BV69" s="3"/>
      <c r="BW69" s="1"/>
    </row>
    <row r="70" spans="1:75" x14ac:dyDescent="0.25">
      <c r="A70" s="3" t="s">
        <v>72</v>
      </c>
      <c r="B70" s="3" t="s">
        <v>1621</v>
      </c>
      <c r="C70" s="3" t="s">
        <v>74</v>
      </c>
      <c r="D70" s="3" t="s">
        <v>74</v>
      </c>
      <c r="E70" s="3" t="s">
        <v>74</v>
      </c>
      <c r="F70" s="3" t="s">
        <v>1622</v>
      </c>
      <c r="G70" s="3" t="s">
        <v>74</v>
      </c>
      <c r="H70" s="3" t="s">
        <v>74</v>
      </c>
      <c r="I70" s="3" t="s">
        <v>1623</v>
      </c>
      <c r="J70" s="3" t="s">
        <v>1624</v>
      </c>
      <c r="K70" s="3" t="s">
        <v>74</v>
      </c>
      <c r="L70" s="3" t="s">
        <v>74</v>
      </c>
      <c r="M70" s="3" t="s">
        <v>110</v>
      </c>
      <c r="N70" s="3" t="s">
        <v>216</v>
      </c>
      <c r="O70" s="3" t="s">
        <v>74</v>
      </c>
      <c r="P70" s="3" t="s">
        <v>74</v>
      </c>
      <c r="Q70" s="3" t="s">
        <v>74</v>
      </c>
      <c r="R70" s="3" t="s">
        <v>74</v>
      </c>
      <c r="S70" s="3" t="s">
        <v>74</v>
      </c>
      <c r="T70" s="3" t="s">
        <v>1625</v>
      </c>
      <c r="U70" s="3" t="s">
        <v>1626</v>
      </c>
      <c r="V70" s="3" t="s">
        <v>1627</v>
      </c>
      <c r="W70" s="3" t="s">
        <v>1628</v>
      </c>
      <c r="X70" s="3" t="s">
        <v>1629</v>
      </c>
      <c r="Y70" s="3" t="s">
        <v>1630</v>
      </c>
      <c r="Z70" s="3" t="s">
        <v>1631</v>
      </c>
      <c r="AA70" s="3" t="s">
        <v>1632</v>
      </c>
      <c r="AB70" s="3" t="s">
        <v>1633</v>
      </c>
      <c r="AC70" s="3" t="s">
        <v>1634</v>
      </c>
      <c r="AD70" s="3" t="s">
        <v>1634</v>
      </c>
      <c r="AE70" s="3" t="s">
        <v>1635</v>
      </c>
      <c r="AF70" s="3" t="s">
        <v>74</v>
      </c>
      <c r="AG70" s="3">
        <v>117</v>
      </c>
      <c r="AH70" s="3">
        <v>2</v>
      </c>
      <c r="AI70" s="3">
        <v>2</v>
      </c>
      <c r="AJ70" s="3">
        <v>5</v>
      </c>
      <c r="AK70" s="3">
        <v>5</v>
      </c>
      <c r="AL70" s="3" t="s">
        <v>1636</v>
      </c>
      <c r="AM70" s="3" t="s">
        <v>1009</v>
      </c>
      <c r="AN70" s="3" t="s">
        <v>1637</v>
      </c>
      <c r="AO70" s="3" t="s">
        <v>1638</v>
      </c>
      <c r="AP70" s="3" t="s">
        <v>1639</v>
      </c>
      <c r="AQ70" s="3" t="s">
        <v>74</v>
      </c>
      <c r="AR70" s="3" t="s">
        <v>1640</v>
      </c>
      <c r="AS70" s="3" t="s">
        <v>1641</v>
      </c>
      <c r="AT70" s="3" t="s">
        <v>592</v>
      </c>
      <c r="AU70" s="3">
        <v>2025</v>
      </c>
      <c r="AV70" s="3">
        <v>20</v>
      </c>
      <c r="AW70" s="3">
        <v>7</v>
      </c>
      <c r="AX70" s="3" t="s">
        <v>74</v>
      </c>
      <c r="AY70" s="3" t="s">
        <v>74</v>
      </c>
      <c r="AZ70" s="3" t="s">
        <v>74</v>
      </c>
      <c r="BA70" s="3" t="s">
        <v>74</v>
      </c>
      <c r="BB70" s="3">
        <v>6227</v>
      </c>
      <c r="BC70" s="3">
        <v>6247</v>
      </c>
      <c r="BD70" s="3" t="s">
        <v>74</v>
      </c>
      <c r="BE70" s="3" t="s">
        <v>1642</v>
      </c>
      <c r="BF70" s="3" t="str">
        <f>HYPERLINK("http://dx.doi.org/10.1007/s41060-025-00856-2","http://dx.doi.org/10.1007/s41060-025-00856-2")</f>
        <v>http://dx.doi.org/10.1007/s41060-025-00856-2</v>
      </c>
      <c r="BG70" s="3" t="s">
        <v>74</v>
      </c>
      <c r="BH70" s="3" t="s">
        <v>1643</v>
      </c>
      <c r="BI70" s="3">
        <v>21</v>
      </c>
      <c r="BJ70" s="3" t="s">
        <v>1644</v>
      </c>
      <c r="BK70" s="3" t="s">
        <v>97</v>
      </c>
      <c r="BL70" s="3" t="s">
        <v>486</v>
      </c>
      <c r="BM70" s="3" t="s">
        <v>1645</v>
      </c>
      <c r="BN70" s="3" t="s">
        <v>74</v>
      </c>
      <c r="BO70" s="3" t="s">
        <v>74</v>
      </c>
      <c r="BP70" s="3" t="s">
        <v>74</v>
      </c>
      <c r="BQ70" s="3" t="s">
        <v>74</v>
      </c>
      <c r="BR70" s="3" t="s">
        <v>101</v>
      </c>
      <c r="BS70" s="3" t="s">
        <v>1646</v>
      </c>
      <c r="BT70" s="3" t="str">
        <f>HYPERLINK("https%3A%2F%2Fwww.webofscience.com%2Fwos%2Fwoscc%2Ffull-record%2FWOS:001518321900001","View Full Record in Web of Science")</f>
        <v>View Full Record in Web of Science</v>
      </c>
      <c r="BU70" s="3"/>
      <c r="BV70" s="3"/>
      <c r="BW70" s="1"/>
    </row>
    <row r="71" spans="1:75" x14ac:dyDescent="0.25">
      <c r="A71" s="3" t="s">
        <v>72</v>
      </c>
      <c r="B71" s="3" t="s">
        <v>1647</v>
      </c>
      <c r="C71" s="3" t="s">
        <v>74</v>
      </c>
      <c r="D71" s="3" t="s">
        <v>74</v>
      </c>
      <c r="E71" s="3" t="s">
        <v>74</v>
      </c>
      <c r="F71" s="3" t="s">
        <v>1648</v>
      </c>
      <c r="G71" s="3" t="s">
        <v>74</v>
      </c>
      <c r="H71" s="3" t="s">
        <v>74</v>
      </c>
      <c r="I71" s="3" t="s">
        <v>1649</v>
      </c>
      <c r="J71" s="3" t="s">
        <v>1650</v>
      </c>
      <c r="K71" s="3" t="s">
        <v>74</v>
      </c>
      <c r="L71" s="3" t="s">
        <v>74</v>
      </c>
      <c r="M71" s="3" t="s">
        <v>110</v>
      </c>
      <c r="N71" s="3" t="s">
        <v>79</v>
      </c>
      <c r="O71" s="3" t="s">
        <v>74</v>
      </c>
      <c r="P71" s="3" t="s">
        <v>74</v>
      </c>
      <c r="Q71" s="3" t="s">
        <v>74</v>
      </c>
      <c r="R71" s="3" t="s">
        <v>74</v>
      </c>
      <c r="S71" s="3" t="s">
        <v>74</v>
      </c>
      <c r="T71" s="3" t="s">
        <v>1651</v>
      </c>
      <c r="U71" s="3" t="s">
        <v>74</v>
      </c>
      <c r="V71" s="3" t="s">
        <v>1652</v>
      </c>
      <c r="W71" s="3" t="s">
        <v>1653</v>
      </c>
      <c r="X71" s="3" t="s">
        <v>1654</v>
      </c>
      <c r="Y71" s="3" t="s">
        <v>1655</v>
      </c>
      <c r="Z71" s="3" t="s">
        <v>1656</v>
      </c>
      <c r="AA71" s="3" t="s">
        <v>1657</v>
      </c>
      <c r="AB71" s="3" t="s">
        <v>1658</v>
      </c>
      <c r="AC71" s="3" t="s">
        <v>1659</v>
      </c>
      <c r="AD71" s="3" t="s">
        <v>1659</v>
      </c>
      <c r="AE71" s="3" t="s">
        <v>1660</v>
      </c>
      <c r="AF71" s="3" t="s">
        <v>74</v>
      </c>
      <c r="AG71" s="3">
        <v>58</v>
      </c>
      <c r="AH71" s="3">
        <v>17</v>
      </c>
      <c r="AI71" s="3">
        <v>19</v>
      </c>
      <c r="AJ71" s="3">
        <v>1</v>
      </c>
      <c r="AK71" s="3">
        <v>5</v>
      </c>
      <c r="AL71" s="3" t="s">
        <v>145</v>
      </c>
      <c r="AM71" s="3" t="s">
        <v>146</v>
      </c>
      <c r="AN71" s="3" t="s">
        <v>279</v>
      </c>
      <c r="AO71" s="3" t="s">
        <v>1661</v>
      </c>
      <c r="AP71" s="3" t="s">
        <v>74</v>
      </c>
      <c r="AQ71" s="3" t="s">
        <v>74</v>
      </c>
      <c r="AR71" s="3" t="s">
        <v>1662</v>
      </c>
      <c r="AS71" s="3" t="s">
        <v>1663</v>
      </c>
      <c r="AT71" s="3" t="s">
        <v>949</v>
      </c>
      <c r="AU71" s="3">
        <v>2020</v>
      </c>
      <c r="AV71" s="3">
        <v>11</v>
      </c>
      <c r="AW71" s="3">
        <v>1</v>
      </c>
      <c r="AX71" s="3" t="s">
        <v>74</v>
      </c>
      <c r="AY71" s="3" t="s">
        <v>74</v>
      </c>
      <c r="AZ71" s="3" t="s">
        <v>74</v>
      </c>
      <c r="BA71" s="3" t="s">
        <v>74</v>
      </c>
      <c r="BB71" s="3" t="s">
        <v>74</v>
      </c>
      <c r="BC71" s="3" t="s">
        <v>74</v>
      </c>
      <c r="BD71" s="3">
        <v>16</v>
      </c>
      <c r="BE71" s="3" t="s">
        <v>1664</v>
      </c>
      <c r="BF71" s="3" t="str">
        <f>HYPERLINK("http://dx.doi.org/10.3390/wevj11010016","http://dx.doi.org/10.3390/wevj11010016")</f>
        <v>http://dx.doi.org/10.3390/wevj11010016</v>
      </c>
      <c r="BG71" s="3" t="s">
        <v>74</v>
      </c>
      <c r="BH71" s="3" t="s">
        <v>74</v>
      </c>
      <c r="BI71" s="3">
        <v>18</v>
      </c>
      <c r="BJ71" s="3" t="s">
        <v>1665</v>
      </c>
      <c r="BK71" s="3" t="s">
        <v>97</v>
      </c>
      <c r="BL71" s="3" t="s">
        <v>411</v>
      </c>
      <c r="BM71" s="3" t="s">
        <v>1666</v>
      </c>
      <c r="BN71" s="3" t="s">
        <v>74</v>
      </c>
      <c r="BO71" s="3" t="s">
        <v>133</v>
      </c>
      <c r="BP71" s="3" t="s">
        <v>74</v>
      </c>
      <c r="BQ71" s="3" t="s">
        <v>74</v>
      </c>
      <c r="BR71" s="3" t="s">
        <v>101</v>
      </c>
      <c r="BS71" s="3" t="s">
        <v>1667</v>
      </c>
      <c r="BT71" s="3" t="str">
        <f>HYPERLINK("https%3A%2F%2Fwww.webofscience.com%2Fwos%2Fwoscc%2Ffull-record%2FWOS:000937446200015","View Full Record in Web of Science")</f>
        <v>View Full Record in Web of Science</v>
      </c>
      <c r="BU71" s="3"/>
      <c r="BV71" s="3"/>
      <c r="BW71" s="1"/>
    </row>
    <row r="72" spans="1:75" x14ac:dyDescent="0.25">
      <c r="A72" s="3" t="s">
        <v>103</v>
      </c>
      <c r="B72" s="3" t="s">
        <v>1668</v>
      </c>
      <c r="C72" s="3" t="s">
        <v>74</v>
      </c>
      <c r="D72" s="3" t="s">
        <v>1669</v>
      </c>
      <c r="E72" s="3" t="s">
        <v>74</v>
      </c>
      <c r="F72" s="3" t="s">
        <v>1670</v>
      </c>
      <c r="G72" s="3" t="s">
        <v>74</v>
      </c>
      <c r="H72" s="3" t="s">
        <v>74</v>
      </c>
      <c r="I72" s="3" t="s">
        <v>1671</v>
      </c>
      <c r="J72" s="3" t="s">
        <v>1672</v>
      </c>
      <c r="K72" s="3" t="s">
        <v>1326</v>
      </c>
      <c r="L72" s="3" t="s">
        <v>74</v>
      </c>
      <c r="M72" s="3" t="s">
        <v>110</v>
      </c>
      <c r="N72" s="3" t="s">
        <v>111</v>
      </c>
      <c r="O72" s="3" t="s">
        <v>1673</v>
      </c>
      <c r="P72" s="3" t="s">
        <v>1674</v>
      </c>
      <c r="Q72" s="3" t="s">
        <v>1675</v>
      </c>
      <c r="R72" s="3" t="s">
        <v>74</v>
      </c>
      <c r="S72" s="3" t="s">
        <v>1676</v>
      </c>
      <c r="T72" s="3" t="s">
        <v>1677</v>
      </c>
      <c r="U72" s="3" t="s">
        <v>1678</v>
      </c>
      <c r="V72" s="3" t="s">
        <v>1679</v>
      </c>
      <c r="W72" s="3" t="s">
        <v>1680</v>
      </c>
      <c r="X72" s="3" t="s">
        <v>1681</v>
      </c>
      <c r="Y72" s="3" t="s">
        <v>1682</v>
      </c>
      <c r="Z72" s="3" t="s">
        <v>1683</v>
      </c>
      <c r="AA72" s="3" t="s">
        <v>1684</v>
      </c>
      <c r="AB72" s="3" t="s">
        <v>1685</v>
      </c>
      <c r="AC72" s="3" t="s">
        <v>74</v>
      </c>
      <c r="AD72" s="3" t="s">
        <v>74</v>
      </c>
      <c r="AE72" s="3" t="s">
        <v>74</v>
      </c>
      <c r="AF72" s="3" t="s">
        <v>74</v>
      </c>
      <c r="AG72" s="3">
        <v>48</v>
      </c>
      <c r="AH72" s="3">
        <v>2</v>
      </c>
      <c r="AI72" s="3">
        <v>3</v>
      </c>
      <c r="AJ72" s="3">
        <v>1</v>
      </c>
      <c r="AK72" s="3">
        <v>6</v>
      </c>
      <c r="AL72" s="3" t="s">
        <v>374</v>
      </c>
      <c r="AM72" s="3" t="s">
        <v>375</v>
      </c>
      <c r="AN72" s="3" t="s">
        <v>376</v>
      </c>
      <c r="AO72" s="3" t="s">
        <v>1340</v>
      </c>
      <c r="AP72" s="3" t="s">
        <v>1341</v>
      </c>
      <c r="AQ72" s="3" t="s">
        <v>1686</v>
      </c>
      <c r="AR72" s="3" t="s">
        <v>1343</v>
      </c>
      <c r="AS72" s="3" t="s">
        <v>74</v>
      </c>
      <c r="AT72" s="3" t="s">
        <v>74</v>
      </c>
      <c r="AU72" s="3">
        <v>2021</v>
      </c>
      <c r="AV72" s="3">
        <v>12850</v>
      </c>
      <c r="AW72" s="3" t="s">
        <v>74</v>
      </c>
      <c r="AX72" s="3" t="s">
        <v>74</v>
      </c>
      <c r="AY72" s="3" t="s">
        <v>74</v>
      </c>
      <c r="AZ72" s="3" t="s">
        <v>74</v>
      </c>
      <c r="BA72" s="3" t="s">
        <v>74</v>
      </c>
      <c r="BB72" s="3">
        <v>217</v>
      </c>
      <c r="BC72" s="3">
        <v>228</v>
      </c>
      <c r="BD72" s="3" t="s">
        <v>74</v>
      </c>
      <c r="BE72" s="3" t="s">
        <v>1687</v>
      </c>
      <c r="BF72" s="3" t="str">
        <f>HYPERLINK("http://dx.doi.org/10.1007/978-3-030-84789-0_16","http://dx.doi.org/10.1007/978-3-030-84789-0_16")</f>
        <v>http://dx.doi.org/10.1007/978-3-030-84789-0_16</v>
      </c>
      <c r="BG72" s="3" t="s">
        <v>74</v>
      </c>
      <c r="BH72" s="3" t="s">
        <v>74</v>
      </c>
      <c r="BI72" s="3">
        <v>12</v>
      </c>
      <c r="BJ72" s="3" t="s">
        <v>1688</v>
      </c>
      <c r="BK72" s="3" t="s">
        <v>130</v>
      </c>
      <c r="BL72" s="3" t="s">
        <v>1689</v>
      </c>
      <c r="BM72" s="3" t="s">
        <v>1690</v>
      </c>
      <c r="BN72" s="3" t="s">
        <v>74</v>
      </c>
      <c r="BO72" s="3" t="s">
        <v>683</v>
      </c>
      <c r="BP72" s="3" t="s">
        <v>74</v>
      </c>
      <c r="BQ72" s="3" t="s">
        <v>74</v>
      </c>
      <c r="BR72" s="3" t="s">
        <v>101</v>
      </c>
      <c r="BS72" s="3" t="s">
        <v>1691</v>
      </c>
      <c r="BT72" s="3" t="str">
        <f>HYPERLINK("https%3A%2F%2Fwww.webofscience.com%2Fwos%2Fwoscc%2Ffull-record%2FWOS:000769437800016","View Full Record in Web of Science")</f>
        <v>View Full Record in Web of Science</v>
      </c>
      <c r="BU72" s="3"/>
      <c r="BV72" s="3"/>
      <c r="BW72" s="1"/>
    </row>
    <row r="73" spans="1:75" x14ac:dyDescent="0.25">
      <c r="A73" s="3" t="s">
        <v>72</v>
      </c>
      <c r="B73" s="3" t="s">
        <v>1692</v>
      </c>
      <c r="C73" s="3" t="s">
        <v>74</v>
      </c>
      <c r="D73" s="3" t="s">
        <v>74</v>
      </c>
      <c r="E73" s="3" t="s">
        <v>74</v>
      </c>
      <c r="F73" s="3" t="s">
        <v>1693</v>
      </c>
      <c r="G73" s="3" t="s">
        <v>74</v>
      </c>
      <c r="H73" s="3" t="s">
        <v>74</v>
      </c>
      <c r="I73" s="3" t="s">
        <v>1694</v>
      </c>
      <c r="J73" s="3" t="s">
        <v>1695</v>
      </c>
      <c r="K73" s="3" t="s">
        <v>74</v>
      </c>
      <c r="L73" s="3" t="s">
        <v>74</v>
      </c>
      <c r="M73" s="3" t="s">
        <v>110</v>
      </c>
      <c r="N73" s="3" t="s">
        <v>79</v>
      </c>
      <c r="O73" s="3" t="s">
        <v>74</v>
      </c>
      <c r="P73" s="3" t="s">
        <v>74</v>
      </c>
      <c r="Q73" s="3" t="s">
        <v>74</v>
      </c>
      <c r="R73" s="3" t="s">
        <v>74</v>
      </c>
      <c r="S73" s="3" t="s">
        <v>74</v>
      </c>
      <c r="T73" s="3" t="s">
        <v>74</v>
      </c>
      <c r="U73" s="3" t="s">
        <v>74</v>
      </c>
      <c r="V73" s="3" t="s">
        <v>1696</v>
      </c>
      <c r="W73" s="3" t="s">
        <v>1697</v>
      </c>
      <c r="X73" s="3" t="s">
        <v>1698</v>
      </c>
      <c r="Y73" s="3" t="s">
        <v>1699</v>
      </c>
      <c r="Z73" s="3" t="s">
        <v>1700</v>
      </c>
      <c r="AA73" s="3" t="s">
        <v>1701</v>
      </c>
      <c r="AB73" s="3" t="s">
        <v>1702</v>
      </c>
      <c r="AC73" s="3" t="s">
        <v>74</v>
      </c>
      <c r="AD73" s="3" t="s">
        <v>74</v>
      </c>
      <c r="AE73" s="3" t="s">
        <v>74</v>
      </c>
      <c r="AF73" s="3" t="s">
        <v>74</v>
      </c>
      <c r="AG73" s="3">
        <v>25</v>
      </c>
      <c r="AH73" s="3">
        <v>40</v>
      </c>
      <c r="AI73" s="3">
        <v>51</v>
      </c>
      <c r="AJ73" s="3">
        <v>0</v>
      </c>
      <c r="AK73" s="3">
        <v>36</v>
      </c>
      <c r="AL73" s="3" t="s">
        <v>1703</v>
      </c>
      <c r="AM73" s="3" t="s">
        <v>1009</v>
      </c>
      <c r="AN73" s="3" t="s">
        <v>1704</v>
      </c>
      <c r="AO73" s="3" t="s">
        <v>1705</v>
      </c>
      <c r="AP73" s="3" t="s">
        <v>1706</v>
      </c>
      <c r="AQ73" s="3" t="s">
        <v>74</v>
      </c>
      <c r="AR73" s="3" t="s">
        <v>1707</v>
      </c>
      <c r="AS73" s="3" t="s">
        <v>1708</v>
      </c>
      <c r="AT73" s="3" t="s">
        <v>1709</v>
      </c>
      <c r="AU73" s="3">
        <v>2020</v>
      </c>
      <c r="AV73" s="3">
        <v>2020</v>
      </c>
      <c r="AW73" s="3" t="s">
        <v>74</v>
      </c>
      <c r="AX73" s="3" t="s">
        <v>74</v>
      </c>
      <c r="AY73" s="3" t="s">
        <v>74</v>
      </c>
      <c r="AZ73" s="3" t="s">
        <v>74</v>
      </c>
      <c r="BA73" s="3" t="s">
        <v>74</v>
      </c>
      <c r="BB73" s="3" t="s">
        <v>74</v>
      </c>
      <c r="BC73" s="3" t="s">
        <v>74</v>
      </c>
      <c r="BD73" s="3">
        <v>8841893</v>
      </c>
      <c r="BE73" s="3" t="s">
        <v>1710</v>
      </c>
      <c r="BF73" s="3" t="str">
        <f>HYPERLINK("http://dx.doi.org/10.1155/2020/8841893","http://dx.doi.org/10.1155/2020/8841893")</f>
        <v>http://dx.doi.org/10.1155/2020/8841893</v>
      </c>
      <c r="BG73" s="3" t="s">
        <v>74</v>
      </c>
      <c r="BH73" s="3" t="s">
        <v>74</v>
      </c>
      <c r="BI73" s="3">
        <v>28</v>
      </c>
      <c r="BJ73" s="3" t="s">
        <v>852</v>
      </c>
      <c r="BK73" s="3" t="s">
        <v>179</v>
      </c>
      <c r="BL73" s="3" t="s">
        <v>853</v>
      </c>
      <c r="BM73" s="3" t="s">
        <v>1711</v>
      </c>
      <c r="BN73" s="3" t="s">
        <v>74</v>
      </c>
      <c r="BO73" s="3" t="s">
        <v>884</v>
      </c>
      <c r="BP73" s="3" t="s">
        <v>74</v>
      </c>
      <c r="BQ73" s="3" t="s">
        <v>74</v>
      </c>
      <c r="BR73" s="3" t="s">
        <v>101</v>
      </c>
      <c r="BS73" s="3" t="s">
        <v>1712</v>
      </c>
      <c r="BT73" s="3" t="str">
        <f>HYPERLINK("https%3A%2F%2Fwww.webofscience.com%2Fwos%2Fwoscc%2Ffull-record%2FWOS:000574340900001","View Full Record in Web of Science")</f>
        <v>View Full Record in Web of Science</v>
      </c>
      <c r="BU73" s="3"/>
      <c r="BV73" s="3"/>
      <c r="BW73" s="1"/>
    </row>
    <row r="74" spans="1:75" x14ac:dyDescent="0.25">
      <c r="A74" s="3" t="s">
        <v>103</v>
      </c>
      <c r="B74" s="3" t="s">
        <v>1713</v>
      </c>
      <c r="C74" s="3" t="s">
        <v>74</v>
      </c>
      <c r="D74" s="3" t="s">
        <v>74</v>
      </c>
      <c r="E74" s="3" t="s">
        <v>199</v>
      </c>
      <c r="F74" s="3" t="s">
        <v>1714</v>
      </c>
      <c r="G74" s="3" t="s">
        <v>74</v>
      </c>
      <c r="H74" s="3" t="s">
        <v>74</v>
      </c>
      <c r="I74" s="3" t="s">
        <v>1715</v>
      </c>
      <c r="J74" s="3" t="s">
        <v>1716</v>
      </c>
      <c r="K74" s="3" t="s">
        <v>1717</v>
      </c>
      <c r="L74" s="3" t="s">
        <v>74</v>
      </c>
      <c r="M74" s="3" t="s">
        <v>110</v>
      </c>
      <c r="N74" s="3" t="s">
        <v>111</v>
      </c>
      <c r="O74" s="3" t="s">
        <v>1718</v>
      </c>
      <c r="P74" s="3" t="s">
        <v>1719</v>
      </c>
      <c r="Q74" s="3" t="s">
        <v>642</v>
      </c>
      <c r="R74" s="3" t="s">
        <v>74</v>
      </c>
      <c r="S74" s="3" t="s">
        <v>74</v>
      </c>
      <c r="T74" s="3" t="s">
        <v>1720</v>
      </c>
      <c r="U74" s="3" t="s">
        <v>74</v>
      </c>
      <c r="V74" s="3" t="s">
        <v>1721</v>
      </c>
      <c r="W74" s="3" t="s">
        <v>1722</v>
      </c>
      <c r="X74" s="3" t="s">
        <v>1723</v>
      </c>
      <c r="Y74" s="3" t="s">
        <v>1724</v>
      </c>
      <c r="Z74" s="3" t="s">
        <v>1725</v>
      </c>
      <c r="AA74" s="3" t="s">
        <v>1726</v>
      </c>
      <c r="AB74" s="3" t="s">
        <v>1727</v>
      </c>
      <c r="AC74" s="3" t="s">
        <v>1728</v>
      </c>
      <c r="AD74" s="3" t="s">
        <v>1729</v>
      </c>
      <c r="AE74" s="3" t="s">
        <v>1730</v>
      </c>
      <c r="AF74" s="3" t="s">
        <v>74</v>
      </c>
      <c r="AG74" s="3">
        <v>15</v>
      </c>
      <c r="AH74" s="3">
        <v>9</v>
      </c>
      <c r="AI74" s="3">
        <v>9</v>
      </c>
      <c r="AJ74" s="3">
        <v>0</v>
      </c>
      <c r="AK74" s="3">
        <v>2</v>
      </c>
      <c r="AL74" s="3" t="s">
        <v>199</v>
      </c>
      <c r="AM74" s="3" t="s">
        <v>200</v>
      </c>
      <c r="AN74" s="3" t="s">
        <v>201</v>
      </c>
      <c r="AO74" s="3" t="s">
        <v>1731</v>
      </c>
      <c r="AP74" s="3" t="s">
        <v>1732</v>
      </c>
      <c r="AQ74" s="3" t="s">
        <v>1733</v>
      </c>
      <c r="AR74" s="3" t="s">
        <v>1734</v>
      </c>
      <c r="AS74" s="3" t="s">
        <v>74</v>
      </c>
      <c r="AT74" s="3" t="s">
        <v>74</v>
      </c>
      <c r="AU74" s="3">
        <v>2020</v>
      </c>
      <c r="AV74" s="3" t="s">
        <v>74</v>
      </c>
      <c r="AW74" s="3" t="s">
        <v>74</v>
      </c>
      <c r="AX74" s="3" t="s">
        <v>74</v>
      </c>
      <c r="AY74" s="3" t="s">
        <v>74</v>
      </c>
      <c r="AZ74" s="3" t="s">
        <v>74</v>
      </c>
      <c r="BA74" s="3" t="s">
        <v>74</v>
      </c>
      <c r="BB74" s="3" t="s">
        <v>74</v>
      </c>
      <c r="BC74" s="3" t="s">
        <v>74</v>
      </c>
      <c r="BD74" s="3" t="s">
        <v>74</v>
      </c>
      <c r="BE74" s="3" t="s">
        <v>1735</v>
      </c>
      <c r="BF74" s="3" t="str">
        <f>HYPERLINK("http://dx.doi.org/10.1109/isc251055.2020.9239071","http://dx.doi.org/10.1109/isc251055.2020.9239071")</f>
        <v>http://dx.doi.org/10.1109/isc251055.2020.9239071</v>
      </c>
      <c r="BG74" s="3" t="s">
        <v>74</v>
      </c>
      <c r="BH74" s="3" t="s">
        <v>74</v>
      </c>
      <c r="BI74" s="3">
        <v>4</v>
      </c>
      <c r="BJ74" s="3" t="s">
        <v>1736</v>
      </c>
      <c r="BK74" s="3" t="s">
        <v>208</v>
      </c>
      <c r="BL74" s="3" t="s">
        <v>1737</v>
      </c>
      <c r="BM74" s="3" t="s">
        <v>1738</v>
      </c>
      <c r="BN74" s="3" t="s">
        <v>74</v>
      </c>
      <c r="BO74" s="3" t="s">
        <v>74</v>
      </c>
      <c r="BP74" s="3" t="s">
        <v>74</v>
      </c>
      <c r="BQ74" s="3" t="s">
        <v>74</v>
      </c>
      <c r="BR74" s="3" t="s">
        <v>101</v>
      </c>
      <c r="BS74" s="3" t="s">
        <v>1739</v>
      </c>
      <c r="BT74" s="3" t="str">
        <f>HYPERLINK("https%3A%2F%2Fwww.webofscience.com%2Fwos%2Fwoscc%2Ffull-record%2FWOS:000853879300061","View Full Record in Web of Science")</f>
        <v>View Full Record in Web of Science</v>
      </c>
      <c r="BU74" s="3"/>
      <c r="BV74" s="3"/>
      <c r="BW74" s="1"/>
    </row>
    <row r="75" spans="1:75" x14ac:dyDescent="0.25">
      <c r="A75" s="3" t="s">
        <v>72</v>
      </c>
      <c r="B75" s="3" t="s">
        <v>1740</v>
      </c>
      <c r="C75" s="3" t="s">
        <v>74</v>
      </c>
      <c r="D75" s="3" t="s">
        <v>74</v>
      </c>
      <c r="E75" s="3" t="s">
        <v>74</v>
      </c>
      <c r="F75" s="3" t="s">
        <v>1741</v>
      </c>
      <c r="G75" s="3" t="s">
        <v>74</v>
      </c>
      <c r="H75" s="3" t="s">
        <v>74</v>
      </c>
      <c r="I75" s="3" t="s">
        <v>1742</v>
      </c>
      <c r="J75" s="3" t="s">
        <v>1743</v>
      </c>
      <c r="K75" s="3" t="s">
        <v>74</v>
      </c>
      <c r="L75" s="3" t="s">
        <v>74</v>
      </c>
      <c r="M75" s="3" t="s">
        <v>110</v>
      </c>
      <c r="N75" s="3" t="s">
        <v>79</v>
      </c>
      <c r="O75" s="3" t="s">
        <v>74</v>
      </c>
      <c r="P75" s="3" t="s">
        <v>74</v>
      </c>
      <c r="Q75" s="3" t="s">
        <v>74</v>
      </c>
      <c r="R75" s="3" t="s">
        <v>74</v>
      </c>
      <c r="S75" s="3" t="s">
        <v>74</v>
      </c>
      <c r="T75" s="3" t="s">
        <v>1744</v>
      </c>
      <c r="U75" s="3" t="s">
        <v>1745</v>
      </c>
      <c r="V75" s="3" t="s">
        <v>1746</v>
      </c>
      <c r="W75" s="3" t="s">
        <v>1747</v>
      </c>
      <c r="X75" s="3" t="s">
        <v>1748</v>
      </c>
      <c r="Y75" s="3" t="s">
        <v>1749</v>
      </c>
      <c r="Z75" s="3" t="s">
        <v>1750</v>
      </c>
      <c r="AA75" s="3" t="s">
        <v>74</v>
      </c>
      <c r="AB75" s="3" t="s">
        <v>1751</v>
      </c>
      <c r="AC75" s="3" t="s">
        <v>1752</v>
      </c>
      <c r="AD75" s="3" t="s">
        <v>1752</v>
      </c>
      <c r="AE75" s="3" t="s">
        <v>1753</v>
      </c>
      <c r="AF75" s="3" t="s">
        <v>74</v>
      </c>
      <c r="AG75" s="3">
        <v>36</v>
      </c>
      <c r="AH75" s="3">
        <v>35</v>
      </c>
      <c r="AI75" s="3">
        <v>38</v>
      </c>
      <c r="AJ75" s="3">
        <v>2</v>
      </c>
      <c r="AK75" s="3">
        <v>26</v>
      </c>
      <c r="AL75" s="3" t="s">
        <v>401</v>
      </c>
      <c r="AM75" s="3" t="s">
        <v>402</v>
      </c>
      <c r="AN75" s="3" t="s">
        <v>403</v>
      </c>
      <c r="AO75" s="3" t="s">
        <v>74</v>
      </c>
      <c r="AP75" s="3" t="s">
        <v>1754</v>
      </c>
      <c r="AQ75" s="3" t="s">
        <v>74</v>
      </c>
      <c r="AR75" s="3" t="s">
        <v>1743</v>
      </c>
      <c r="AS75" s="3" t="s">
        <v>1755</v>
      </c>
      <c r="AT75" s="3" t="s">
        <v>949</v>
      </c>
      <c r="AU75" s="3">
        <v>2020</v>
      </c>
      <c r="AV75" s="3">
        <v>2</v>
      </c>
      <c r="AW75" s="3">
        <v>1</v>
      </c>
      <c r="AX75" s="3" t="s">
        <v>74</v>
      </c>
      <c r="AY75" s="3" t="s">
        <v>74</v>
      </c>
      <c r="AZ75" s="3" t="s">
        <v>880</v>
      </c>
      <c r="BA75" s="3" t="s">
        <v>74</v>
      </c>
      <c r="BB75" s="3">
        <v>4</v>
      </c>
      <c r="BC75" s="3">
        <v>13</v>
      </c>
      <c r="BD75" s="3" t="s">
        <v>74</v>
      </c>
      <c r="BE75" s="3" t="s">
        <v>1756</v>
      </c>
      <c r="BF75" s="3" t="str">
        <f>HYPERLINK("http://dx.doi.org/10.1049/iet-smc.2019.0076","http://dx.doi.org/10.1049/iet-smc.2019.0076")</f>
        <v>http://dx.doi.org/10.1049/iet-smc.2019.0076</v>
      </c>
      <c r="BG75" s="3" t="s">
        <v>74</v>
      </c>
      <c r="BH75" s="3" t="s">
        <v>74</v>
      </c>
      <c r="BI75" s="3">
        <v>10</v>
      </c>
      <c r="BJ75" s="3" t="s">
        <v>852</v>
      </c>
      <c r="BK75" s="3" t="s">
        <v>97</v>
      </c>
      <c r="BL75" s="3" t="s">
        <v>853</v>
      </c>
      <c r="BM75" s="3" t="s">
        <v>1757</v>
      </c>
      <c r="BN75" s="3" t="s">
        <v>74</v>
      </c>
      <c r="BO75" s="3" t="s">
        <v>100</v>
      </c>
      <c r="BP75" s="3" t="s">
        <v>74</v>
      </c>
      <c r="BQ75" s="3" t="s">
        <v>74</v>
      </c>
      <c r="BR75" s="3" t="s">
        <v>101</v>
      </c>
      <c r="BS75" s="3" t="s">
        <v>1758</v>
      </c>
      <c r="BT75" s="3" t="str">
        <f>HYPERLINK("https%3A%2F%2Fwww.webofscience.com%2Fwos%2Fwoscc%2Ffull-record%2FWOS:000827422600003","View Full Record in Web of Science")</f>
        <v>View Full Record in Web of Science</v>
      </c>
      <c r="BU75" s="3"/>
      <c r="BV75" s="3"/>
      <c r="BW75" s="1"/>
    </row>
    <row r="76" spans="1:75" x14ac:dyDescent="0.25">
      <c r="A76" s="3" t="s">
        <v>103</v>
      </c>
      <c r="B76" s="3" t="s">
        <v>1759</v>
      </c>
      <c r="C76" s="3" t="s">
        <v>74</v>
      </c>
      <c r="D76" s="3" t="s">
        <v>1760</v>
      </c>
      <c r="E76" s="3" t="s">
        <v>74</v>
      </c>
      <c r="F76" s="3" t="s">
        <v>1761</v>
      </c>
      <c r="G76" s="3" t="s">
        <v>74</v>
      </c>
      <c r="H76" s="3" t="s">
        <v>74</v>
      </c>
      <c r="I76" s="3" t="s">
        <v>1762</v>
      </c>
      <c r="J76" s="3" t="s">
        <v>1763</v>
      </c>
      <c r="K76" s="3" t="s">
        <v>74</v>
      </c>
      <c r="L76" s="3" t="s">
        <v>74</v>
      </c>
      <c r="M76" s="3" t="s">
        <v>110</v>
      </c>
      <c r="N76" s="3" t="s">
        <v>111</v>
      </c>
      <c r="O76" s="3" t="s">
        <v>1764</v>
      </c>
      <c r="P76" s="3" t="s">
        <v>1765</v>
      </c>
      <c r="Q76" s="3" t="s">
        <v>1766</v>
      </c>
      <c r="R76" s="3" t="s">
        <v>74</v>
      </c>
      <c r="S76" s="3" t="s">
        <v>74</v>
      </c>
      <c r="T76" s="3" t="s">
        <v>1767</v>
      </c>
      <c r="U76" s="3" t="s">
        <v>74</v>
      </c>
      <c r="V76" s="3" t="s">
        <v>1768</v>
      </c>
      <c r="W76" s="3" t="s">
        <v>1769</v>
      </c>
      <c r="X76" s="3" t="s">
        <v>1770</v>
      </c>
      <c r="Y76" s="3" t="s">
        <v>1771</v>
      </c>
      <c r="Z76" s="3" t="s">
        <v>1772</v>
      </c>
      <c r="AA76" s="3" t="s">
        <v>1773</v>
      </c>
      <c r="AB76" s="3" t="s">
        <v>74</v>
      </c>
      <c r="AC76" s="3" t="s">
        <v>74</v>
      </c>
      <c r="AD76" s="3" t="s">
        <v>74</v>
      </c>
      <c r="AE76" s="3" t="s">
        <v>74</v>
      </c>
      <c r="AF76" s="3" t="s">
        <v>74</v>
      </c>
      <c r="AG76" s="3">
        <v>15</v>
      </c>
      <c r="AH76" s="3">
        <v>0</v>
      </c>
      <c r="AI76" s="3">
        <v>0</v>
      </c>
      <c r="AJ76" s="3">
        <v>0</v>
      </c>
      <c r="AK76" s="3">
        <v>0</v>
      </c>
      <c r="AL76" s="3" t="s">
        <v>1774</v>
      </c>
      <c r="AM76" s="3" t="s">
        <v>200</v>
      </c>
      <c r="AN76" s="3" t="s">
        <v>1775</v>
      </c>
      <c r="AO76" s="3" t="s">
        <v>74</v>
      </c>
      <c r="AP76" s="3" t="s">
        <v>74</v>
      </c>
      <c r="AQ76" s="3" t="s">
        <v>1776</v>
      </c>
      <c r="AR76" s="3" t="s">
        <v>74</v>
      </c>
      <c r="AS76" s="3" t="s">
        <v>74</v>
      </c>
      <c r="AT76" s="3" t="s">
        <v>74</v>
      </c>
      <c r="AU76" s="3">
        <v>2025</v>
      </c>
      <c r="AV76" s="3" t="s">
        <v>74</v>
      </c>
      <c r="AW76" s="3" t="s">
        <v>74</v>
      </c>
      <c r="AX76" s="3" t="s">
        <v>74</v>
      </c>
      <c r="AY76" s="3" t="s">
        <v>74</v>
      </c>
      <c r="AZ76" s="3" t="s">
        <v>74</v>
      </c>
      <c r="BA76" s="3" t="s">
        <v>74</v>
      </c>
      <c r="BB76" s="3">
        <v>588</v>
      </c>
      <c r="BC76" s="3">
        <v>596</v>
      </c>
      <c r="BD76" s="3" t="s">
        <v>74</v>
      </c>
      <c r="BE76" s="3" t="s">
        <v>74</v>
      </c>
      <c r="BF76" s="3" t="s">
        <v>74</v>
      </c>
      <c r="BG76" s="3" t="s">
        <v>74</v>
      </c>
      <c r="BH76" s="3" t="s">
        <v>74</v>
      </c>
      <c r="BI76" s="3">
        <v>9</v>
      </c>
      <c r="BJ76" s="3" t="s">
        <v>1777</v>
      </c>
      <c r="BK76" s="3" t="s">
        <v>208</v>
      </c>
      <c r="BL76" s="3" t="s">
        <v>994</v>
      </c>
      <c r="BM76" s="3" t="s">
        <v>1778</v>
      </c>
      <c r="BN76" s="3" t="s">
        <v>74</v>
      </c>
      <c r="BO76" s="3" t="s">
        <v>74</v>
      </c>
      <c r="BP76" s="3" t="s">
        <v>74</v>
      </c>
      <c r="BQ76" s="3" t="s">
        <v>74</v>
      </c>
      <c r="BR76" s="3" t="s">
        <v>101</v>
      </c>
      <c r="BS76" s="3" t="s">
        <v>1779</v>
      </c>
      <c r="BT76" s="3" t="str">
        <f>HYPERLINK("https%3A%2F%2Fwww.webofscience.com%2Fwos%2Fwoscc%2Ffull-record%2FWOS:001577920100061","View Full Record in Web of Science")</f>
        <v>View Full Record in Web of Science</v>
      </c>
      <c r="BU76" s="3"/>
      <c r="BV76" s="3"/>
      <c r="BW76" s="1"/>
    </row>
    <row r="77" spans="1:75" x14ac:dyDescent="0.25">
      <c r="A77" s="3" t="s">
        <v>72</v>
      </c>
      <c r="B77" s="3" t="s">
        <v>1780</v>
      </c>
      <c r="C77" s="3" t="s">
        <v>74</v>
      </c>
      <c r="D77" s="3" t="s">
        <v>74</v>
      </c>
      <c r="E77" s="3" t="s">
        <v>74</v>
      </c>
      <c r="F77" s="3" t="s">
        <v>1781</v>
      </c>
      <c r="G77" s="3" t="s">
        <v>74</v>
      </c>
      <c r="H77" s="3" t="s">
        <v>74</v>
      </c>
      <c r="I77" s="3" t="s">
        <v>1782</v>
      </c>
      <c r="J77" s="3" t="s">
        <v>1783</v>
      </c>
      <c r="K77" s="3" t="s">
        <v>74</v>
      </c>
      <c r="L77" s="3" t="s">
        <v>74</v>
      </c>
      <c r="M77" s="3" t="s">
        <v>110</v>
      </c>
      <c r="N77" s="3" t="s">
        <v>1784</v>
      </c>
      <c r="O77" s="3" t="s">
        <v>1785</v>
      </c>
      <c r="P77" s="3">
        <v>2016</v>
      </c>
      <c r="Q77" s="3" t="s">
        <v>1786</v>
      </c>
      <c r="R77" s="3" t="s">
        <v>74</v>
      </c>
      <c r="S77" s="3" t="s">
        <v>74</v>
      </c>
      <c r="T77" s="3" t="s">
        <v>1787</v>
      </c>
      <c r="U77" s="3" t="s">
        <v>1788</v>
      </c>
      <c r="V77" s="3" t="s">
        <v>1789</v>
      </c>
      <c r="W77" s="3" t="s">
        <v>1790</v>
      </c>
      <c r="X77" s="3" t="s">
        <v>1791</v>
      </c>
      <c r="Y77" s="3" t="s">
        <v>1792</v>
      </c>
      <c r="Z77" s="3" t="s">
        <v>1793</v>
      </c>
      <c r="AA77" s="3" t="s">
        <v>1794</v>
      </c>
      <c r="AB77" s="3" t="s">
        <v>74</v>
      </c>
      <c r="AC77" s="3" t="s">
        <v>1795</v>
      </c>
      <c r="AD77" s="3" t="s">
        <v>1796</v>
      </c>
      <c r="AE77" s="3" t="s">
        <v>1797</v>
      </c>
      <c r="AF77" s="3" t="s">
        <v>74</v>
      </c>
      <c r="AG77" s="3">
        <v>69</v>
      </c>
      <c r="AH77" s="3">
        <v>81</v>
      </c>
      <c r="AI77" s="3">
        <v>90</v>
      </c>
      <c r="AJ77" s="3">
        <v>4</v>
      </c>
      <c r="AK77" s="3">
        <v>90</v>
      </c>
      <c r="AL77" s="3" t="s">
        <v>304</v>
      </c>
      <c r="AM77" s="3" t="s">
        <v>305</v>
      </c>
      <c r="AN77" s="3" t="s">
        <v>306</v>
      </c>
      <c r="AO77" s="3" t="s">
        <v>1798</v>
      </c>
      <c r="AP77" s="3" t="s">
        <v>74</v>
      </c>
      <c r="AQ77" s="3" t="s">
        <v>74</v>
      </c>
      <c r="AR77" s="3" t="s">
        <v>1799</v>
      </c>
      <c r="AS77" s="3" t="s">
        <v>1800</v>
      </c>
      <c r="AT77" s="3" t="s">
        <v>1164</v>
      </c>
      <c r="AU77" s="3">
        <v>2018</v>
      </c>
      <c r="AV77" s="3">
        <v>64</v>
      </c>
      <c r="AW77" s="3" t="s">
        <v>74</v>
      </c>
      <c r="AX77" s="3" t="s">
        <v>74</v>
      </c>
      <c r="AY77" s="3" t="s">
        <v>74</v>
      </c>
      <c r="AZ77" s="3" t="s">
        <v>880</v>
      </c>
      <c r="BA77" s="3" t="s">
        <v>74</v>
      </c>
      <c r="BB77" s="3">
        <v>216</v>
      </c>
      <c r="BC77" s="3">
        <v>229</v>
      </c>
      <c r="BD77" s="3" t="s">
        <v>74</v>
      </c>
      <c r="BE77" s="3" t="s">
        <v>1801</v>
      </c>
      <c r="BF77" s="3" t="str">
        <f>HYPERLINK("http://dx.doi.org/10.1016/j.trd.2017.10.003","http://dx.doi.org/10.1016/j.trd.2017.10.003")</f>
        <v>http://dx.doi.org/10.1016/j.trd.2017.10.003</v>
      </c>
      <c r="BG77" s="3" t="s">
        <v>74</v>
      </c>
      <c r="BH77" s="3" t="s">
        <v>74</v>
      </c>
      <c r="BI77" s="3">
        <v>14</v>
      </c>
      <c r="BJ77" s="3" t="s">
        <v>1802</v>
      </c>
      <c r="BK77" s="3" t="s">
        <v>1803</v>
      </c>
      <c r="BL77" s="3" t="s">
        <v>1804</v>
      </c>
      <c r="BM77" s="3" t="s">
        <v>1805</v>
      </c>
      <c r="BN77" s="3" t="s">
        <v>74</v>
      </c>
      <c r="BO77" s="3" t="s">
        <v>74</v>
      </c>
      <c r="BP77" s="3" t="s">
        <v>74</v>
      </c>
      <c r="BQ77" s="3" t="s">
        <v>74</v>
      </c>
      <c r="BR77" s="3" t="s">
        <v>101</v>
      </c>
      <c r="BS77" s="3" t="s">
        <v>1806</v>
      </c>
      <c r="BT77" s="3" t="str">
        <f>HYPERLINK("https%3A%2F%2Fwww.webofscience.com%2Fwos%2Fwoscc%2Ffull-record%2FWOS:000449137100017","View Full Record in Web of Science")</f>
        <v>View Full Record in Web of Science</v>
      </c>
      <c r="BU77" s="3"/>
      <c r="BV77" s="3"/>
      <c r="BW77" s="1"/>
    </row>
    <row r="78" spans="1:75" x14ac:dyDescent="0.25">
      <c r="A78" s="3" t="s">
        <v>72</v>
      </c>
      <c r="B78" s="3" t="s">
        <v>1807</v>
      </c>
      <c r="C78" s="3" t="s">
        <v>74</v>
      </c>
      <c r="D78" s="3" t="s">
        <v>74</v>
      </c>
      <c r="E78" s="3" t="s">
        <v>74</v>
      </c>
      <c r="F78" s="3" t="s">
        <v>1808</v>
      </c>
      <c r="G78" s="3" t="s">
        <v>74</v>
      </c>
      <c r="H78" s="3" t="s">
        <v>74</v>
      </c>
      <c r="I78" s="3" t="s">
        <v>1809</v>
      </c>
      <c r="J78" s="3" t="s">
        <v>1810</v>
      </c>
      <c r="K78" s="3" t="s">
        <v>74</v>
      </c>
      <c r="L78" s="3" t="s">
        <v>74</v>
      </c>
      <c r="M78" s="3" t="s">
        <v>110</v>
      </c>
      <c r="N78" s="3" t="s">
        <v>79</v>
      </c>
      <c r="O78" s="3" t="s">
        <v>74</v>
      </c>
      <c r="P78" s="3" t="s">
        <v>74</v>
      </c>
      <c r="Q78" s="3" t="s">
        <v>74</v>
      </c>
      <c r="R78" s="3" t="s">
        <v>74</v>
      </c>
      <c r="S78" s="3" t="s">
        <v>74</v>
      </c>
      <c r="T78" s="3" t="s">
        <v>1811</v>
      </c>
      <c r="U78" s="3" t="s">
        <v>74</v>
      </c>
      <c r="V78" s="3" t="s">
        <v>1812</v>
      </c>
      <c r="W78" s="3" t="s">
        <v>1813</v>
      </c>
      <c r="X78" s="3" t="s">
        <v>1814</v>
      </c>
      <c r="Y78" s="3" t="s">
        <v>1815</v>
      </c>
      <c r="Z78" s="3" t="s">
        <v>1816</v>
      </c>
      <c r="AA78" s="3" t="s">
        <v>1817</v>
      </c>
      <c r="AB78" s="3" t="s">
        <v>1818</v>
      </c>
      <c r="AC78" s="3" t="s">
        <v>74</v>
      </c>
      <c r="AD78" s="3" t="s">
        <v>74</v>
      </c>
      <c r="AE78" s="3" t="s">
        <v>74</v>
      </c>
      <c r="AF78" s="3" t="s">
        <v>74</v>
      </c>
      <c r="AG78" s="3">
        <v>18</v>
      </c>
      <c r="AH78" s="3">
        <v>87</v>
      </c>
      <c r="AI78" s="3">
        <v>96</v>
      </c>
      <c r="AJ78" s="3">
        <v>2</v>
      </c>
      <c r="AK78" s="3">
        <v>38</v>
      </c>
      <c r="AL78" s="3" t="s">
        <v>671</v>
      </c>
      <c r="AM78" s="3" t="s">
        <v>124</v>
      </c>
      <c r="AN78" s="3" t="s">
        <v>672</v>
      </c>
      <c r="AO78" s="3" t="s">
        <v>1819</v>
      </c>
      <c r="AP78" s="3" t="s">
        <v>1820</v>
      </c>
      <c r="AQ78" s="3" t="s">
        <v>74</v>
      </c>
      <c r="AR78" s="3" t="s">
        <v>1821</v>
      </c>
      <c r="AS78" s="3" t="s">
        <v>1822</v>
      </c>
      <c r="AT78" s="3" t="s">
        <v>1823</v>
      </c>
      <c r="AU78" s="3">
        <v>2019</v>
      </c>
      <c r="AV78" s="3">
        <v>87</v>
      </c>
      <c r="AW78" s="3" t="s">
        <v>74</v>
      </c>
      <c r="AX78" s="3" t="s">
        <v>74</v>
      </c>
      <c r="AY78" s="3" t="s">
        <v>74</v>
      </c>
      <c r="AZ78" s="3" t="s">
        <v>74</v>
      </c>
      <c r="BA78" s="3" t="s">
        <v>74</v>
      </c>
      <c r="BB78" s="3">
        <v>200</v>
      </c>
      <c r="BC78" s="3">
        <v>208</v>
      </c>
      <c r="BD78" s="3" t="s">
        <v>74</v>
      </c>
      <c r="BE78" s="3" t="s">
        <v>1824</v>
      </c>
      <c r="BF78" s="3" t="str">
        <f>HYPERLINK("http://dx.doi.org/10.1016/j.adhoc.2018.12.009","http://dx.doi.org/10.1016/j.adhoc.2018.12.009")</f>
        <v>http://dx.doi.org/10.1016/j.adhoc.2018.12.009</v>
      </c>
      <c r="BG78" s="3" t="s">
        <v>74</v>
      </c>
      <c r="BH78" s="3" t="s">
        <v>74</v>
      </c>
      <c r="BI78" s="3">
        <v>9</v>
      </c>
      <c r="BJ78" s="3" t="s">
        <v>1825</v>
      </c>
      <c r="BK78" s="3" t="s">
        <v>179</v>
      </c>
      <c r="BL78" s="3" t="s">
        <v>1826</v>
      </c>
      <c r="BM78" s="3" t="s">
        <v>1827</v>
      </c>
      <c r="BN78" s="3" t="s">
        <v>74</v>
      </c>
      <c r="BO78" s="3" t="s">
        <v>74</v>
      </c>
      <c r="BP78" s="3" t="s">
        <v>74</v>
      </c>
      <c r="BQ78" s="3" t="s">
        <v>74</v>
      </c>
      <c r="BR78" s="3" t="s">
        <v>101</v>
      </c>
      <c r="BS78" s="3" t="s">
        <v>1828</v>
      </c>
      <c r="BT78" s="3" t="str">
        <f>HYPERLINK("https%3A%2F%2Fwww.webofscience.com%2Fwos%2Fwoscc%2Ffull-record%2FWOS:000464089100015","View Full Record in Web of Science")</f>
        <v>View Full Record in Web of Science</v>
      </c>
      <c r="BU78" s="3"/>
      <c r="BV78" s="3"/>
      <c r="BW78" s="1"/>
    </row>
    <row r="79" spans="1:75" x14ac:dyDescent="0.25">
      <c r="A79" s="3" t="s">
        <v>103</v>
      </c>
      <c r="B79" s="3" t="s">
        <v>1829</v>
      </c>
      <c r="C79" s="3" t="s">
        <v>74</v>
      </c>
      <c r="D79" s="3" t="s">
        <v>1830</v>
      </c>
      <c r="E79" s="3" t="s">
        <v>74</v>
      </c>
      <c r="F79" s="3" t="s">
        <v>1831</v>
      </c>
      <c r="G79" s="3" t="s">
        <v>74</v>
      </c>
      <c r="H79" s="3" t="s">
        <v>74</v>
      </c>
      <c r="I79" s="3" t="s">
        <v>1832</v>
      </c>
      <c r="J79" s="3" t="s">
        <v>1833</v>
      </c>
      <c r="K79" s="3" t="s">
        <v>1834</v>
      </c>
      <c r="L79" s="3" t="s">
        <v>74</v>
      </c>
      <c r="M79" s="3" t="s">
        <v>110</v>
      </c>
      <c r="N79" s="3" t="s">
        <v>111</v>
      </c>
      <c r="O79" s="3" t="s">
        <v>1835</v>
      </c>
      <c r="P79" s="3" t="s">
        <v>1836</v>
      </c>
      <c r="Q79" s="3" t="s">
        <v>1837</v>
      </c>
      <c r="R79" s="3" t="s">
        <v>74</v>
      </c>
      <c r="S79" s="3" t="s">
        <v>1838</v>
      </c>
      <c r="T79" s="3" t="s">
        <v>1839</v>
      </c>
      <c r="U79" s="3" t="s">
        <v>1840</v>
      </c>
      <c r="V79" s="3" t="s">
        <v>1841</v>
      </c>
      <c r="W79" s="3" t="s">
        <v>1842</v>
      </c>
      <c r="X79" s="3" t="s">
        <v>1843</v>
      </c>
      <c r="Y79" s="3" t="s">
        <v>1844</v>
      </c>
      <c r="Z79" s="3" t="s">
        <v>1845</v>
      </c>
      <c r="AA79" s="3" t="s">
        <v>1846</v>
      </c>
      <c r="AB79" s="3" t="s">
        <v>1847</v>
      </c>
      <c r="AC79" s="3" t="s">
        <v>1848</v>
      </c>
      <c r="AD79" s="3" t="s">
        <v>1849</v>
      </c>
      <c r="AE79" s="3" t="s">
        <v>1850</v>
      </c>
      <c r="AF79" s="3" t="s">
        <v>74</v>
      </c>
      <c r="AG79" s="3">
        <v>60</v>
      </c>
      <c r="AH79" s="3">
        <v>22</v>
      </c>
      <c r="AI79" s="3">
        <v>27</v>
      </c>
      <c r="AJ79" s="3">
        <v>2</v>
      </c>
      <c r="AK79" s="3">
        <v>33</v>
      </c>
      <c r="AL79" s="3" t="s">
        <v>123</v>
      </c>
      <c r="AM79" s="3" t="s">
        <v>124</v>
      </c>
      <c r="AN79" s="3" t="s">
        <v>125</v>
      </c>
      <c r="AO79" s="3" t="s">
        <v>1851</v>
      </c>
      <c r="AP79" s="3" t="s">
        <v>74</v>
      </c>
      <c r="AQ79" s="3" t="s">
        <v>74</v>
      </c>
      <c r="AR79" s="3" t="s">
        <v>1852</v>
      </c>
      <c r="AS79" s="3" t="s">
        <v>74</v>
      </c>
      <c r="AT79" s="3" t="s">
        <v>74</v>
      </c>
      <c r="AU79" s="3">
        <v>2017</v>
      </c>
      <c r="AV79" s="3">
        <v>178</v>
      </c>
      <c r="AW79" s="3" t="s">
        <v>74</v>
      </c>
      <c r="AX79" s="3" t="s">
        <v>74</v>
      </c>
      <c r="AY79" s="3" t="s">
        <v>74</v>
      </c>
      <c r="AZ79" s="3" t="s">
        <v>74</v>
      </c>
      <c r="BA79" s="3" t="s">
        <v>74</v>
      </c>
      <c r="BB79" s="3">
        <v>569</v>
      </c>
      <c r="BC79" s="3">
        <v>578</v>
      </c>
      <c r="BD79" s="3" t="s">
        <v>74</v>
      </c>
      <c r="BE79" s="3" t="s">
        <v>1853</v>
      </c>
      <c r="BF79" s="3" t="str">
        <f>HYPERLINK("http://dx.doi.org/10.1016/j.proeng.2017.01.110","http://dx.doi.org/10.1016/j.proeng.2017.01.110")</f>
        <v>http://dx.doi.org/10.1016/j.proeng.2017.01.110</v>
      </c>
      <c r="BG79" s="3" t="s">
        <v>74</v>
      </c>
      <c r="BH79" s="3" t="s">
        <v>74</v>
      </c>
      <c r="BI79" s="3">
        <v>10</v>
      </c>
      <c r="BJ79" s="3" t="s">
        <v>1854</v>
      </c>
      <c r="BK79" s="3" t="s">
        <v>208</v>
      </c>
      <c r="BL79" s="3" t="s">
        <v>1855</v>
      </c>
      <c r="BM79" s="3" t="s">
        <v>1856</v>
      </c>
      <c r="BN79" s="3" t="s">
        <v>74</v>
      </c>
      <c r="BO79" s="3" t="s">
        <v>100</v>
      </c>
      <c r="BP79" s="3" t="s">
        <v>74</v>
      </c>
      <c r="BQ79" s="3" t="s">
        <v>74</v>
      </c>
      <c r="BR79" s="3" t="s">
        <v>101</v>
      </c>
      <c r="BS79" s="3" t="s">
        <v>1857</v>
      </c>
      <c r="BT79" s="3" t="str">
        <f>HYPERLINK("https%3A%2F%2Fwww.webofscience.com%2Fwos%2Fwoscc%2Ffull-record%2FWOS:000400645600064","View Full Record in Web of Science")</f>
        <v>View Full Record in Web of Science</v>
      </c>
      <c r="BU79" s="3"/>
      <c r="BV79" s="3"/>
      <c r="BW79" s="1"/>
    </row>
    <row r="80" spans="1:75" x14ac:dyDescent="0.25">
      <c r="A80" s="3" t="s">
        <v>72</v>
      </c>
      <c r="B80" s="3" t="s">
        <v>1858</v>
      </c>
      <c r="C80" s="3" t="s">
        <v>74</v>
      </c>
      <c r="D80" s="3" t="s">
        <v>74</v>
      </c>
      <c r="E80" s="3" t="s">
        <v>74</v>
      </c>
      <c r="F80" s="3" t="s">
        <v>1859</v>
      </c>
      <c r="G80" s="3" t="s">
        <v>74</v>
      </c>
      <c r="H80" s="3" t="s">
        <v>74</v>
      </c>
      <c r="I80" s="3" t="s">
        <v>1860</v>
      </c>
      <c r="J80" s="3" t="s">
        <v>1861</v>
      </c>
      <c r="K80" s="3" t="s">
        <v>74</v>
      </c>
      <c r="L80" s="3" t="s">
        <v>74</v>
      </c>
      <c r="M80" s="3" t="s">
        <v>110</v>
      </c>
      <c r="N80" s="3" t="s">
        <v>79</v>
      </c>
      <c r="O80" s="3" t="s">
        <v>74</v>
      </c>
      <c r="P80" s="3" t="s">
        <v>74</v>
      </c>
      <c r="Q80" s="3" t="s">
        <v>74</v>
      </c>
      <c r="R80" s="3" t="s">
        <v>74</v>
      </c>
      <c r="S80" s="3" t="s">
        <v>74</v>
      </c>
      <c r="T80" s="3" t="s">
        <v>1862</v>
      </c>
      <c r="U80" s="3" t="s">
        <v>1863</v>
      </c>
      <c r="V80" s="3" t="s">
        <v>1864</v>
      </c>
      <c r="W80" s="3" t="s">
        <v>1865</v>
      </c>
      <c r="X80" s="3" t="s">
        <v>1866</v>
      </c>
      <c r="Y80" s="3" t="s">
        <v>1867</v>
      </c>
      <c r="Z80" s="3" t="s">
        <v>1868</v>
      </c>
      <c r="AA80" s="3" t="s">
        <v>74</v>
      </c>
      <c r="AB80" s="3" t="s">
        <v>1869</v>
      </c>
      <c r="AC80" s="3" t="s">
        <v>1870</v>
      </c>
      <c r="AD80" s="3" t="s">
        <v>1871</v>
      </c>
      <c r="AE80" s="3" t="s">
        <v>1872</v>
      </c>
      <c r="AF80" s="3" t="s">
        <v>74</v>
      </c>
      <c r="AG80" s="3">
        <v>334</v>
      </c>
      <c r="AH80" s="3">
        <v>23</v>
      </c>
      <c r="AI80" s="3">
        <v>25</v>
      </c>
      <c r="AJ80" s="3">
        <v>3</v>
      </c>
      <c r="AK80" s="3">
        <v>36</v>
      </c>
      <c r="AL80" s="3" t="s">
        <v>145</v>
      </c>
      <c r="AM80" s="3" t="s">
        <v>146</v>
      </c>
      <c r="AN80" s="3" t="s">
        <v>279</v>
      </c>
      <c r="AO80" s="3" t="s">
        <v>74</v>
      </c>
      <c r="AP80" s="3" t="s">
        <v>1873</v>
      </c>
      <c r="AQ80" s="3" t="s">
        <v>74</v>
      </c>
      <c r="AR80" s="3" t="s">
        <v>1874</v>
      </c>
      <c r="AS80" s="3" t="s">
        <v>1875</v>
      </c>
      <c r="AT80" s="3" t="s">
        <v>260</v>
      </c>
      <c r="AU80" s="3">
        <v>2020</v>
      </c>
      <c r="AV80" s="3">
        <v>10</v>
      </c>
      <c r="AW80" s="3">
        <v>1</v>
      </c>
      <c r="AX80" s="3" t="s">
        <v>74</v>
      </c>
      <c r="AY80" s="3" t="s">
        <v>74</v>
      </c>
      <c r="AZ80" s="3" t="s">
        <v>74</v>
      </c>
      <c r="BA80" s="3" t="s">
        <v>74</v>
      </c>
      <c r="BB80" s="3" t="s">
        <v>74</v>
      </c>
      <c r="BC80" s="3" t="s">
        <v>74</v>
      </c>
      <c r="BD80" s="3">
        <v>143</v>
      </c>
      <c r="BE80" s="3" t="s">
        <v>1876</v>
      </c>
      <c r="BF80" s="3" t="str">
        <f>HYPERLINK("http://dx.doi.org/10.3390/app10010143","http://dx.doi.org/10.3390/app10010143")</f>
        <v>http://dx.doi.org/10.3390/app10010143</v>
      </c>
      <c r="BG80" s="3" t="s">
        <v>74</v>
      </c>
      <c r="BH80" s="3" t="s">
        <v>74</v>
      </c>
      <c r="BI80" s="3">
        <v>53</v>
      </c>
      <c r="BJ80" s="3" t="s">
        <v>1877</v>
      </c>
      <c r="BK80" s="3" t="s">
        <v>154</v>
      </c>
      <c r="BL80" s="3" t="s">
        <v>1878</v>
      </c>
      <c r="BM80" s="3" t="s">
        <v>1879</v>
      </c>
      <c r="BN80" s="3" t="s">
        <v>74</v>
      </c>
      <c r="BO80" s="3" t="s">
        <v>133</v>
      </c>
      <c r="BP80" s="3" t="s">
        <v>74</v>
      </c>
      <c r="BQ80" s="3" t="s">
        <v>74</v>
      </c>
      <c r="BR80" s="3" t="s">
        <v>101</v>
      </c>
      <c r="BS80" s="3" t="s">
        <v>1880</v>
      </c>
      <c r="BT80" s="3" t="str">
        <f>HYPERLINK("https%3A%2F%2Fwww.webofscience.com%2Fwos%2Fwoscc%2Ffull-record%2FWOS:000509398900143","View Full Record in Web of Science")</f>
        <v>View Full Record in Web of Science</v>
      </c>
      <c r="BU80" s="3"/>
      <c r="BV80" s="3"/>
      <c r="BW80" s="1"/>
    </row>
    <row r="81" spans="1:75" x14ac:dyDescent="0.25">
      <c r="A81" s="3" t="s">
        <v>72</v>
      </c>
      <c r="B81" s="3" t="s">
        <v>1881</v>
      </c>
      <c r="C81" s="3" t="s">
        <v>74</v>
      </c>
      <c r="D81" s="3" t="s">
        <v>74</v>
      </c>
      <c r="E81" s="3" t="s">
        <v>74</v>
      </c>
      <c r="F81" s="3" t="s">
        <v>1882</v>
      </c>
      <c r="G81" s="3" t="s">
        <v>74</v>
      </c>
      <c r="H81" s="3" t="s">
        <v>74</v>
      </c>
      <c r="I81" s="3" t="s">
        <v>1883</v>
      </c>
      <c r="J81" s="3" t="s">
        <v>1572</v>
      </c>
      <c r="K81" s="3" t="s">
        <v>74</v>
      </c>
      <c r="L81" s="3" t="s">
        <v>74</v>
      </c>
      <c r="M81" s="3" t="s">
        <v>110</v>
      </c>
      <c r="N81" s="3" t="s">
        <v>79</v>
      </c>
      <c r="O81" s="3" t="s">
        <v>74</v>
      </c>
      <c r="P81" s="3" t="s">
        <v>74</v>
      </c>
      <c r="Q81" s="3" t="s">
        <v>74</v>
      </c>
      <c r="R81" s="3" t="s">
        <v>74</v>
      </c>
      <c r="S81" s="3" t="s">
        <v>74</v>
      </c>
      <c r="T81" s="3" t="s">
        <v>1884</v>
      </c>
      <c r="U81" s="3" t="s">
        <v>74</v>
      </c>
      <c r="V81" s="3" t="s">
        <v>1885</v>
      </c>
      <c r="W81" s="3" t="s">
        <v>1886</v>
      </c>
      <c r="X81" s="3" t="s">
        <v>1887</v>
      </c>
      <c r="Y81" s="3" t="s">
        <v>1888</v>
      </c>
      <c r="Z81" s="3" t="s">
        <v>1889</v>
      </c>
      <c r="AA81" s="3" t="s">
        <v>1890</v>
      </c>
      <c r="AB81" s="3" t="s">
        <v>1891</v>
      </c>
      <c r="AC81" s="3" t="s">
        <v>1892</v>
      </c>
      <c r="AD81" s="3" t="s">
        <v>1893</v>
      </c>
      <c r="AE81" s="3" t="s">
        <v>1894</v>
      </c>
      <c r="AF81" s="3" t="s">
        <v>74</v>
      </c>
      <c r="AG81" s="3">
        <v>53</v>
      </c>
      <c r="AH81" s="3">
        <v>9</v>
      </c>
      <c r="AI81" s="3">
        <v>11</v>
      </c>
      <c r="AJ81" s="3">
        <v>2</v>
      </c>
      <c r="AK81" s="3">
        <v>68</v>
      </c>
      <c r="AL81" s="3" t="s">
        <v>872</v>
      </c>
      <c r="AM81" s="3" t="s">
        <v>873</v>
      </c>
      <c r="AN81" s="3" t="s">
        <v>874</v>
      </c>
      <c r="AO81" s="3" t="s">
        <v>1585</v>
      </c>
      <c r="AP81" s="3" t="s">
        <v>1586</v>
      </c>
      <c r="AQ81" s="3" t="s">
        <v>74</v>
      </c>
      <c r="AR81" s="3" t="s">
        <v>1587</v>
      </c>
      <c r="AS81" s="3" t="s">
        <v>1588</v>
      </c>
      <c r="AT81" s="3" t="s">
        <v>1895</v>
      </c>
      <c r="AU81" s="3">
        <v>2022</v>
      </c>
      <c r="AV81" s="3">
        <v>60</v>
      </c>
      <c r="AW81" s="3">
        <v>5</v>
      </c>
      <c r="AX81" s="3" t="s">
        <v>74</v>
      </c>
      <c r="AY81" s="3" t="s">
        <v>74</v>
      </c>
      <c r="AZ81" s="3" t="s">
        <v>74</v>
      </c>
      <c r="BA81" s="3" t="s">
        <v>74</v>
      </c>
      <c r="BB81" s="3">
        <v>1439</v>
      </c>
      <c r="BC81" s="3">
        <v>1457</v>
      </c>
      <c r="BD81" s="3" t="s">
        <v>74</v>
      </c>
      <c r="BE81" s="3" t="s">
        <v>1896</v>
      </c>
      <c r="BF81" s="3" t="str">
        <f>HYPERLINK("http://dx.doi.org/10.1080/00207543.2020.1859635","http://dx.doi.org/10.1080/00207543.2020.1859635")</f>
        <v>http://dx.doi.org/10.1080/00207543.2020.1859635</v>
      </c>
      <c r="BG81" s="3" t="s">
        <v>74</v>
      </c>
      <c r="BH81" s="3" t="s">
        <v>1897</v>
      </c>
      <c r="BI81" s="3">
        <v>19</v>
      </c>
      <c r="BJ81" s="3" t="s">
        <v>1591</v>
      </c>
      <c r="BK81" s="3" t="s">
        <v>154</v>
      </c>
      <c r="BL81" s="3" t="s">
        <v>209</v>
      </c>
      <c r="BM81" s="3" t="s">
        <v>1898</v>
      </c>
      <c r="BN81" s="3" t="s">
        <v>74</v>
      </c>
      <c r="BO81" s="3" t="s">
        <v>74</v>
      </c>
      <c r="BP81" s="3" t="s">
        <v>74</v>
      </c>
      <c r="BQ81" s="3" t="s">
        <v>74</v>
      </c>
      <c r="BR81" s="3" t="s">
        <v>101</v>
      </c>
      <c r="BS81" s="3" t="s">
        <v>1899</v>
      </c>
      <c r="BT81" s="3" t="str">
        <f>HYPERLINK("https%3A%2F%2Fwww.webofscience.com%2Fwos%2Fwoscc%2Ffull-record%2FWOS:000603839000001","View Full Record in Web of Science")</f>
        <v>View Full Record in Web of Science</v>
      </c>
      <c r="BU81" s="3"/>
      <c r="BV81" s="3"/>
      <c r="BW81" s="1"/>
    </row>
    <row r="82" spans="1:75" x14ac:dyDescent="0.25">
      <c r="A82" s="3" t="s">
        <v>72</v>
      </c>
      <c r="B82" s="3" t="s">
        <v>1900</v>
      </c>
      <c r="C82" s="3" t="s">
        <v>74</v>
      </c>
      <c r="D82" s="3" t="s">
        <v>74</v>
      </c>
      <c r="E82" s="3" t="s">
        <v>74</v>
      </c>
      <c r="F82" s="3" t="s">
        <v>1901</v>
      </c>
      <c r="G82" s="3" t="s">
        <v>74</v>
      </c>
      <c r="H82" s="3" t="s">
        <v>74</v>
      </c>
      <c r="I82" s="3" t="s">
        <v>1902</v>
      </c>
      <c r="J82" s="3" t="s">
        <v>1903</v>
      </c>
      <c r="K82" s="3" t="s">
        <v>74</v>
      </c>
      <c r="L82" s="3" t="s">
        <v>74</v>
      </c>
      <c r="M82" s="3" t="s">
        <v>110</v>
      </c>
      <c r="N82" s="3" t="s">
        <v>79</v>
      </c>
      <c r="O82" s="3" t="s">
        <v>74</v>
      </c>
      <c r="P82" s="3" t="s">
        <v>74</v>
      </c>
      <c r="Q82" s="3" t="s">
        <v>74</v>
      </c>
      <c r="R82" s="3" t="s">
        <v>74</v>
      </c>
      <c r="S82" s="3" t="s">
        <v>74</v>
      </c>
      <c r="T82" s="3" t="s">
        <v>1904</v>
      </c>
      <c r="U82" s="3" t="s">
        <v>74</v>
      </c>
      <c r="V82" s="3" t="s">
        <v>1905</v>
      </c>
      <c r="W82" s="3" t="s">
        <v>1906</v>
      </c>
      <c r="X82" s="3" t="s">
        <v>1907</v>
      </c>
      <c r="Y82" s="3" t="s">
        <v>1908</v>
      </c>
      <c r="Z82" s="3" t="s">
        <v>1909</v>
      </c>
      <c r="AA82" s="3" t="s">
        <v>1910</v>
      </c>
      <c r="AB82" s="3" t="s">
        <v>1911</v>
      </c>
      <c r="AC82" s="3" t="s">
        <v>74</v>
      </c>
      <c r="AD82" s="3" t="s">
        <v>74</v>
      </c>
      <c r="AE82" s="3" t="s">
        <v>74</v>
      </c>
      <c r="AF82" s="3" t="s">
        <v>74</v>
      </c>
      <c r="AG82" s="3">
        <v>19</v>
      </c>
      <c r="AH82" s="3">
        <v>72</v>
      </c>
      <c r="AI82" s="3">
        <v>88</v>
      </c>
      <c r="AJ82" s="3">
        <v>2</v>
      </c>
      <c r="AK82" s="3">
        <v>74</v>
      </c>
      <c r="AL82" s="3" t="s">
        <v>671</v>
      </c>
      <c r="AM82" s="3" t="s">
        <v>124</v>
      </c>
      <c r="AN82" s="3" t="s">
        <v>672</v>
      </c>
      <c r="AO82" s="3" t="s">
        <v>1912</v>
      </c>
      <c r="AP82" s="3" t="s">
        <v>1913</v>
      </c>
      <c r="AQ82" s="3" t="s">
        <v>74</v>
      </c>
      <c r="AR82" s="3" t="s">
        <v>1914</v>
      </c>
      <c r="AS82" s="3" t="s">
        <v>1915</v>
      </c>
      <c r="AT82" s="3" t="s">
        <v>807</v>
      </c>
      <c r="AU82" s="3">
        <v>2019</v>
      </c>
      <c r="AV82" s="3">
        <v>53</v>
      </c>
      <c r="AW82" s="3" t="s">
        <v>74</v>
      </c>
      <c r="AX82" s="3" t="s">
        <v>74</v>
      </c>
      <c r="AY82" s="3" t="s">
        <v>74</v>
      </c>
      <c r="AZ82" s="3" t="s">
        <v>74</v>
      </c>
      <c r="BA82" s="3" t="s">
        <v>74</v>
      </c>
      <c r="BB82" s="3">
        <v>62</v>
      </c>
      <c r="BC82" s="3">
        <v>74</v>
      </c>
      <c r="BD82" s="3" t="s">
        <v>74</v>
      </c>
      <c r="BE82" s="3" t="s">
        <v>1916</v>
      </c>
      <c r="BF82" s="3" t="str">
        <f>HYPERLINK("http://dx.doi.org/10.1016/j.pmcj.2019.01.003","http://dx.doi.org/10.1016/j.pmcj.2019.01.003")</f>
        <v>http://dx.doi.org/10.1016/j.pmcj.2019.01.003</v>
      </c>
      <c r="BG82" s="3" t="s">
        <v>74</v>
      </c>
      <c r="BH82" s="3" t="s">
        <v>74</v>
      </c>
      <c r="BI82" s="3">
        <v>13</v>
      </c>
      <c r="BJ82" s="3" t="s">
        <v>1825</v>
      </c>
      <c r="BK82" s="3" t="s">
        <v>179</v>
      </c>
      <c r="BL82" s="3" t="s">
        <v>1826</v>
      </c>
      <c r="BM82" s="3" t="s">
        <v>1917</v>
      </c>
      <c r="BN82" s="3" t="s">
        <v>74</v>
      </c>
      <c r="BO82" s="3" t="s">
        <v>74</v>
      </c>
      <c r="BP82" s="3" t="s">
        <v>74</v>
      </c>
      <c r="BQ82" s="3" t="s">
        <v>74</v>
      </c>
      <c r="BR82" s="3" t="s">
        <v>101</v>
      </c>
      <c r="BS82" s="3" t="s">
        <v>1918</v>
      </c>
      <c r="BT82" s="3" t="str">
        <f>HYPERLINK("https%3A%2F%2Fwww.webofscience.com%2Fwos%2Fwoscc%2Ffull-record%2FWOS:000457873700005","View Full Record in Web of Science")</f>
        <v>View Full Record in Web of Science</v>
      </c>
      <c r="BU82" s="3"/>
      <c r="BV82" s="3"/>
      <c r="BW82" s="1"/>
    </row>
    <row r="83" spans="1:75" x14ac:dyDescent="0.25">
      <c r="A83" s="3" t="s">
        <v>72</v>
      </c>
      <c r="B83" s="3" t="s">
        <v>1919</v>
      </c>
      <c r="C83" s="3" t="s">
        <v>74</v>
      </c>
      <c r="D83" s="3" t="s">
        <v>74</v>
      </c>
      <c r="E83" s="3" t="s">
        <v>74</v>
      </c>
      <c r="F83" s="3" t="s">
        <v>1920</v>
      </c>
      <c r="G83" s="3" t="s">
        <v>74</v>
      </c>
      <c r="H83" s="3" t="s">
        <v>74</v>
      </c>
      <c r="I83" s="3" t="s">
        <v>1921</v>
      </c>
      <c r="J83" s="3" t="s">
        <v>138</v>
      </c>
      <c r="K83" s="3" t="s">
        <v>74</v>
      </c>
      <c r="L83" s="3" t="s">
        <v>74</v>
      </c>
      <c r="M83" s="3" t="s">
        <v>110</v>
      </c>
      <c r="N83" s="3" t="s">
        <v>79</v>
      </c>
      <c r="O83" s="3" t="s">
        <v>74</v>
      </c>
      <c r="P83" s="3" t="s">
        <v>74</v>
      </c>
      <c r="Q83" s="3" t="s">
        <v>74</v>
      </c>
      <c r="R83" s="3" t="s">
        <v>74</v>
      </c>
      <c r="S83" s="3" t="s">
        <v>74</v>
      </c>
      <c r="T83" s="3" t="s">
        <v>1922</v>
      </c>
      <c r="U83" s="3" t="s">
        <v>1923</v>
      </c>
      <c r="V83" s="3" t="s">
        <v>1924</v>
      </c>
      <c r="W83" s="3" t="s">
        <v>1925</v>
      </c>
      <c r="X83" s="3" t="s">
        <v>1926</v>
      </c>
      <c r="Y83" s="3" t="s">
        <v>1927</v>
      </c>
      <c r="Z83" s="3" t="s">
        <v>1928</v>
      </c>
      <c r="AA83" s="3" t="s">
        <v>1929</v>
      </c>
      <c r="AB83" s="3" t="s">
        <v>1930</v>
      </c>
      <c r="AC83" s="3" t="s">
        <v>74</v>
      </c>
      <c r="AD83" s="3" t="s">
        <v>74</v>
      </c>
      <c r="AE83" s="3" t="s">
        <v>74</v>
      </c>
      <c r="AF83" s="3" t="s">
        <v>74</v>
      </c>
      <c r="AG83" s="3">
        <v>61</v>
      </c>
      <c r="AH83" s="3">
        <v>71</v>
      </c>
      <c r="AI83" s="3">
        <v>85</v>
      </c>
      <c r="AJ83" s="3">
        <v>0</v>
      </c>
      <c r="AK83" s="3">
        <v>59</v>
      </c>
      <c r="AL83" s="3" t="s">
        <v>145</v>
      </c>
      <c r="AM83" s="3" t="s">
        <v>146</v>
      </c>
      <c r="AN83" s="3" t="s">
        <v>279</v>
      </c>
      <c r="AO83" s="3" t="s">
        <v>74</v>
      </c>
      <c r="AP83" s="3" t="s">
        <v>148</v>
      </c>
      <c r="AQ83" s="3" t="s">
        <v>74</v>
      </c>
      <c r="AR83" s="3" t="s">
        <v>149</v>
      </c>
      <c r="AS83" s="3" t="s">
        <v>150</v>
      </c>
      <c r="AT83" s="3" t="s">
        <v>1931</v>
      </c>
      <c r="AU83" s="3">
        <v>2019</v>
      </c>
      <c r="AV83" s="3">
        <v>11</v>
      </c>
      <c r="AW83" s="3">
        <v>7</v>
      </c>
      <c r="AX83" s="3" t="s">
        <v>74</v>
      </c>
      <c r="AY83" s="3" t="s">
        <v>74</v>
      </c>
      <c r="AZ83" s="3" t="s">
        <v>74</v>
      </c>
      <c r="BA83" s="3" t="s">
        <v>74</v>
      </c>
      <c r="BB83" s="3" t="s">
        <v>74</v>
      </c>
      <c r="BC83" s="3" t="s">
        <v>74</v>
      </c>
      <c r="BD83" s="3">
        <v>2140</v>
      </c>
      <c r="BE83" s="3" t="s">
        <v>1932</v>
      </c>
      <c r="BF83" s="3" t="str">
        <f>HYPERLINK("http://dx.doi.org/10.3390/su11072140","http://dx.doi.org/10.3390/su11072140")</f>
        <v>http://dx.doi.org/10.3390/su11072140</v>
      </c>
      <c r="BG83" s="3" t="s">
        <v>74</v>
      </c>
      <c r="BH83" s="3" t="s">
        <v>74</v>
      </c>
      <c r="BI83" s="3">
        <v>20</v>
      </c>
      <c r="BJ83" s="3" t="s">
        <v>153</v>
      </c>
      <c r="BK83" s="3" t="s">
        <v>154</v>
      </c>
      <c r="BL83" s="3" t="s">
        <v>155</v>
      </c>
      <c r="BM83" s="3" t="s">
        <v>1933</v>
      </c>
      <c r="BN83" s="3" t="s">
        <v>74</v>
      </c>
      <c r="BO83" s="3" t="s">
        <v>133</v>
      </c>
      <c r="BP83" s="3" t="s">
        <v>74</v>
      </c>
      <c r="BQ83" s="3" t="s">
        <v>74</v>
      </c>
      <c r="BR83" s="3" t="s">
        <v>101</v>
      </c>
      <c r="BS83" s="3" t="s">
        <v>1934</v>
      </c>
      <c r="BT83" s="3" t="str">
        <f>HYPERLINK("https%3A%2F%2Fwww.webofscience.com%2Fwos%2Fwoscc%2Ffull-record%2FWOS:000466551600317","View Full Record in Web of Science")</f>
        <v>View Full Record in Web of Science</v>
      </c>
      <c r="BU83" s="3"/>
      <c r="BV83" s="3"/>
      <c r="BW83" s="1"/>
    </row>
    <row r="84" spans="1:75" x14ac:dyDescent="0.25">
      <c r="A84" s="3" t="s">
        <v>72</v>
      </c>
      <c r="B84" s="3" t="s">
        <v>1935</v>
      </c>
      <c r="C84" s="3" t="s">
        <v>74</v>
      </c>
      <c r="D84" s="3" t="s">
        <v>74</v>
      </c>
      <c r="E84" s="3" t="s">
        <v>74</v>
      </c>
      <c r="F84" s="3" t="s">
        <v>1936</v>
      </c>
      <c r="G84" s="3" t="s">
        <v>74</v>
      </c>
      <c r="H84" s="3" t="s">
        <v>74</v>
      </c>
      <c r="I84" s="3" t="s">
        <v>1937</v>
      </c>
      <c r="J84" s="3" t="s">
        <v>161</v>
      </c>
      <c r="K84" s="3" t="s">
        <v>74</v>
      </c>
      <c r="L84" s="3" t="s">
        <v>74</v>
      </c>
      <c r="M84" s="3" t="s">
        <v>110</v>
      </c>
      <c r="N84" s="3" t="s">
        <v>79</v>
      </c>
      <c r="O84" s="3" t="s">
        <v>74</v>
      </c>
      <c r="P84" s="3" t="s">
        <v>74</v>
      </c>
      <c r="Q84" s="3" t="s">
        <v>74</v>
      </c>
      <c r="R84" s="3" t="s">
        <v>74</v>
      </c>
      <c r="S84" s="3" t="s">
        <v>74</v>
      </c>
      <c r="T84" s="3" t="s">
        <v>1938</v>
      </c>
      <c r="U84" s="3" t="s">
        <v>1939</v>
      </c>
      <c r="V84" s="3" t="s">
        <v>1940</v>
      </c>
      <c r="W84" s="3" t="s">
        <v>1941</v>
      </c>
      <c r="X84" s="3" t="s">
        <v>1942</v>
      </c>
      <c r="Y84" s="3" t="s">
        <v>1943</v>
      </c>
      <c r="Z84" s="3" t="s">
        <v>1944</v>
      </c>
      <c r="AA84" s="3" t="s">
        <v>1945</v>
      </c>
      <c r="AB84" s="3" t="s">
        <v>1946</v>
      </c>
      <c r="AC84" s="3" t="s">
        <v>74</v>
      </c>
      <c r="AD84" s="3" t="s">
        <v>74</v>
      </c>
      <c r="AE84" s="3" t="s">
        <v>74</v>
      </c>
      <c r="AF84" s="3" t="s">
        <v>74</v>
      </c>
      <c r="AG84" s="3">
        <v>41</v>
      </c>
      <c r="AH84" s="3">
        <v>149</v>
      </c>
      <c r="AI84" s="3">
        <v>180</v>
      </c>
      <c r="AJ84" s="3">
        <v>3</v>
      </c>
      <c r="AK84" s="3">
        <v>108</v>
      </c>
      <c r="AL84" s="3" t="s">
        <v>145</v>
      </c>
      <c r="AM84" s="3" t="s">
        <v>146</v>
      </c>
      <c r="AN84" s="3" t="s">
        <v>279</v>
      </c>
      <c r="AO84" s="3" t="s">
        <v>74</v>
      </c>
      <c r="AP84" s="3" t="s">
        <v>174</v>
      </c>
      <c r="AQ84" s="3" t="s">
        <v>74</v>
      </c>
      <c r="AR84" s="3" t="s">
        <v>161</v>
      </c>
      <c r="AS84" s="3" t="s">
        <v>175</v>
      </c>
      <c r="AT84" s="3" t="s">
        <v>592</v>
      </c>
      <c r="AU84" s="3">
        <v>2018</v>
      </c>
      <c r="AV84" s="3">
        <v>11</v>
      </c>
      <c r="AW84" s="3">
        <v>11</v>
      </c>
      <c r="AX84" s="3" t="s">
        <v>74</v>
      </c>
      <c r="AY84" s="3" t="s">
        <v>74</v>
      </c>
      <c r="AZ84" s="3" t="s">
        <v>74</v>
      </c>
      <c r="BA84" s="3" t="s">
        <v>74</v>
      </c>
      <c r="BB84" s="3" t="s">
        <v>74</v>
      </c>
      <c r="BC84" s="3" t="s">
        <v>74</v>
      </c>
      <c r="BD84" s="3">
        <v>2869</v>
      </c>
      <c r="BE84" s="3" t="s">
        <v>1947</v>
      </c>
      <c r="BF84" s="3" t="str">
        <f>HYPERLINK("http://dx.doi.org/10.3390/en11112869","http://dx.doi.org/10.3390/en11112869")</f>
        <v>http://dx.doi.org/10.3390/en11112869</v>
      </c>
      <c r="BG84" s="3" t="s">
        <v>74</v>
      </c>
      <c r="BH84" s="3" t="s">
        <v>74</v>
      </c>
      <c r="BI84" s="3">
        <v>20</v>
      </c>
      <c r="BJ84" s="3" t="s">
        <v>178</v>
      </c>
      <c r="BK84" s="3" t="s">
        <v>179</v>
      </c>
      <c r="BL84" s="3" t="s">
        <v>178</v>
      </c>
      <c r="BM84" s="3" t="s">
        <v>1948</v>
      </c>
      <c r="BN84" s="3" t="s">
        <v>74</v>
      </c>
      <c r="BO84" s="3" t="s">
        <v>133</v>
      </c>
      <c r="BP84" s="3" t="s">
        <v>74</v>
      </c>
      <c r="BQ84" s="3" t="s">
        <v>74</v>
      </c>
      <c r="BR84" s="3" t="s">
        <v>101</v>
      </c>
      <c r="BS84" s="3" t="s">
        <v>1949</v>
      </c>
      <c r="BT84" s="3" t="str">
        <f>HYPERLINK("https%3A%2F%2Fwww.webofscience.com%2Fwos%2Fwoscc%2Ffull-record%2FWOS:000451814000007","View Full Record in Web of Science")</f>
        <v>View Full Record in Web of Science</v>
      </c>
      <c r="BU84" s="3"/>
      <c r="BV84" s="3"/>
      <c r="BW84" s="1"/>
    </row>
    <row r="85" spans="1:75" x14ac:dyDescent="0.25">
      <c r="A85" s="3" t="s">
        <v>72</v>
      </c>
      <c r="B85" s="3" t="s">
        <v>1950</v>
      </c>
      <c r="C85" s="3" t="s">
        <v>74</v>
      </c>
      <c r="D85" s="3" t="s">
        <v>74</v>
      </c>
      <c r="E85" s="3" t="s">
        <v>74</v>
      </c>
      <c r="F85" s="3" t="s">
        <v>1951</v>
      </c>
      <c r="G85" s="3" t="s">
        <v>74</v>
      </c>
      <c r="H85" s="3" t="s">
        <v>74</v>
      </c>
      <c r="I85" s="3" t="s">
        <v>1952</v>
      </c>
      <c r="J85" s="3" t="s">
        <v>138</v>
      </c>
      <c r="K85" s="3" t="s">
        <v>74</v>
      </c>
      <c r="L85" s="3" t="s">
        <v>74</v>
      </c>
      <c r="M85" s="3" t="s">
        <v>110</v>
      </c>
      <c r="N85" s="3" t="s">
        <v>79</v>
      </c>
      <c r="O85" s="3" t="s">
        <v>74</v>
      </c>
      <c r="P85" s="3" t="s">
        <v>74</v>
      </c>
      <c r="Q85" s="3" t="s">
        <v>74</v>
      </c>
      <c r="R85" s="3" t="s">
        <v>74</v>
      </c>
      <c r="S85" s="3" t="s">
        <v>74</v>
      </c>
      <c r="T85" s="3" t="s">
        <v>1953</v>
      </c>
      <c r="U85" s="3" t="s">
        <v>1954</v>
      </c>
      <c r="V85" s="3" t="s">
        <v>1955</v>
      </c>
      <c r="W85" s="3" t="s">
        <v>1956</v>
      </c>
      <c r="X85" s="3" t="s">
        <v>1957</v>
      </c>
      <c r="Y85" s="3" t="s">
        <v>1958</v>
      </c>
      <c r="Z85" s="3" t="s">
        <v>1959</v>
      </c>
      <c r="AA85" s="3" t="s">
        <v>1960</v>
      </c>
      <c r="AB85" s="3" t="s">
        <v>1961</v>
      </c>
      <c r="AC85" s="3" t="s">
        <v>74</v>
      </c>
      <c r="AD85" s="3" t="s">
        <v>74</v>
      </c>
      <c r="AE85" s="3" t="s">
        <v>74</v>
      </c>
      <c r="AF85" s="3" t="s">
        <v>74</v>
      </c>
      <c r="AG85" s="3">
        <v>69</v>
      </c>
      <c r="AH85" s="3">
        <v>5</v>
      </c>
      <c r="AI85" s="3">
        <v>7</v>
      </c>
      <c r="AJ85" s="3">
        <v>1</v>
      </c>
      <c r="AK85" s="3">
        <v>39</v>
      </c>
      <c r="AL85" s="3" t="s">
        <v>145</v>
      </c>
      <c r="AM85" s="3" t="s">
        <v>146</v>
      </c>
      <c r="AN85" s="3" t="s">
        <v>279</v>
      </c>
      <c r="AO85" s="3" t="s">
        <v>74</v>
      </c>
      <c r="AP85" s="3" t="s">
        <v>148</v>
      </c>
      <c r="AQ85" s="3" t="s">
        <v>74</v>
      </c>
      <c r="AR85" s="3" t="s">
        <v>149</v>
      </c>
      <c r="AS85" s="3" t="s">
        <v>150</v>
      </c>
      <c r="AT85" s="3" t="s">
        <v>151</v>
      </c>
      <c r="AU85" s="3">
        <v>2022</v>
      </c>
      <c r="AV85" s="3">
        <v>14</v>
      </c>
      <c r="AW85" s="3">
        <v>24</v>
      </c>
      <c r="AX85" s="3" t="s">
        <v>74</v>
      </c>
      <c r="AY85" s="3" t="s">
        <v>74</v>
      </c>
      <c r="AZ85" s="3" t="s">
        <v>74</v>
      </c>
      <c r="BA85" s="3" t="s">
        <v>74</v>
      </c>
      <c r="BB85" s="3" t="s">
        <v>74</v>
      </c>
      <c r="BC85" s="3" t="s">
        <v>74</v>
      </c>
      <c r="BD85" s="3">
        <v>16551</v>
      </c>
      <c r="BE85" s="3" t="s">
        <v>1962</v>
      </c>
      <c r="BF85" s="3" t="str">
        <f>HYPERLINK("http://dx.doi.org/10.3390/su142416551","http://dx.doi.org/10.3390/su142416551")</f>
        <v>http://dx.doi.org/10.3390/su142416551</v>
      </c>
      <c r="BG85" s="3" t="s">
        <v>74</v>
      </c>
      <c r="BH85" s="3" t="s">
        <v>74</v>
      </c>
      <c r="BI85" s="3">
        <v>18</v>
      </c>
      <c r="BJ85" s="3" t="s">
        <v>153</v>
      </c>
      <c r="BK85" s="3" t="s">
        <v>154</v>
      </c>
      <c r="BL85" s="3" t="s">
        <v>155</v>
      </c>
      <c r="BM85" s="3" t="s">
        <v>1963</v>
      </c>
      <c r="BN85" s="3" t="s">
        <v>74</v>
      </c>
      <c r="BO85" s="3" t="s">
        <v>133</v>
      </c>
      <c r="BP85" s="3" t="s">
        <v>74</v>
      </c>
      <c r="BQ85" s="3" t="s">
        <v>74</v>
      </c>
      <c r="BR85" s="3" t="s">
        <v>101</v>
      </c>
      <c r="BS85" s="3" t="s">
        <v>1964</v>
      </c>
      <c r="BT85" s="3" t="str">
        <f>HYPERLINK("https%3A%2F%2Fwww.webofscience.com%2Fwos%2Fwoscc%2Ffull-record%2FWOS:000902549400001","View Full Record in Web of Science")</f>
        <v>View Full Record in Web of Science</v>
      </c>
      <c r="BU85" s="3"/>
      <c r="BV85" s="3"/>
      <c r="BW85" s="1"/>
    </row>
    <row r="86" spans="1:75" x14ac:dyDescent="0.25">
      <c r="A86" s="3" t="s">
        <v>103</v>
      </c>
      <c r="B86" s="3" t="s">
        <v>1965</v>
      </c>
      <c r="C86" s="3" t="s">
        <v>74</v>
      </c>
      <c r="D86" s="3" t="s">
        <v>74</v>
      </c>
      <c r="E86" s="3" t="s">
        <v>199</v>
      </c>
      <c r="F86" s="3" t="s">
        <v>1966</v>
      </c>
      <c r="G86" s="3" t="s">
        <v>74</v>
      </c>
      <c r="H86" s="3" t="s">
        <v>74</v>
      </c>
      <c r="I86" s="3" t="s">
        <v>1967</v>
      </c>
      <c r="J86" s="3" t="s">
        <v>1968</v>
      </c>
      <c r="K86" s="3" t="s">
        <v>1969</v>
      </c>
      <c r="L86" s="3" t="s">
        <v>74</v>
      </c>
      <c r="M86" s="3" t="s">
        <v>110</v>
      </c>
      <c r="N86" s="3" t="s">
        <v>111</v>
      </c>
      <c r="O86" s="3" t="s">
        <v>1970</v>
      </c>
      <c r="P86" s="3" t="s">
        <v>1971</v>
      </c>
      <c r="Q86" s="3" t="s">
        <v>1972</v>
      </c>
      <c r="R86" s="3" t="s">
        <v>74</v>
      </c>
      <c r="S86" s="3" t="s">
        <v>74</v>
      </c>
      <c r="T86" s="3" t="s">
        <v>1973</v>
      </c>
      <c r="U86" s="3" t="s">
        <v>1974</v>
      </c>
      <c r="V86" s="3" t="s">
        <v>1975</v>
      </c>
      <c r="W86" s="3" t="s">
        <v>1976</v>
      </c>
      <c r="X86" s="3" t="s">
        <v>1977</v>
      </c>
      <c r="Y86" s="3" t="s">
        <v>1978</v>
      </c>
      <c r="Z86" s="3" t="s">
        <v>1979</v>
      </c>
      <c r="AA86" s="3" t="s">
        <v>1980</v>
      </c>
      <c r="AB86" s="3" t="s">
        <v>74</v>
      </c>
      <c r="AC86" s="3" t="s">
        <v>1981</v>
      </c>
      <c r="AD86" s="3" t="s">
        <v>1981</v>
      </c>
      <c r="AE86" s="3" t="s">
        <v>1982</v>
      </c>
      <c r="AF86" s="3" t="s">
        <v>74</v>
      </c>
      <c r="AG86" s="3">
        <v>27</v>
      </c>
      <c r="AH86" s="3">
        <v>9</v>
      </c>
      <c r="AI86" s="3">
        <v>10</v>
      </c>
      <c r="AJ86" s="3">
        <v>0</v>
      </c>
      <c r="AK86" s="3">
        <v>3</v>
      </c>
      <c r="AL86" s="3" t="s">
        <v>199</v>
      </c>
      <c r="AM86" s="3" t="s">
        <v>200</v>
      </c>
      <c r="AN86" s="3" t="s">
        <v>201</v>
      </c>
      <c r="AO86" s="3" t="s">
        <v>1983</v>
      </c>
      <c r="AP86" s="3" t="s">
        <v>74</v>
      </c>
      <c r="AQ86" s="3" t="s">
        <v>1984</v>
      </c>
      <c r="AR86" s="3" t="s">
        <v>1985</v>
      </c>
      <c r="AS86" s="3" t="s">
        <v>74</v>
      </c>
      <c r="AT86" s="3" t="s">
        <v>74</v>
      </c>
      <c r="AU86" s="3">
        <v>2020</v>
      </c>
      <c r="AV86" s="3" t="s">
        <v>74</v>
      </c>
      <c r="AW86" s="3" t="s">
        <v>74</v>
      </c>
      <c r="AX86" s="3" t="s">
        <v>74</v>
      </c>
      <c r="AY86" s="3" t="s">
        <v>74</v>
      </c>
      <c r="AZ86" s="3" t="s">
        <v>74</v>
      </c>
      <c r="BA86" s="3" t="s">
        <v>74</v>
      </c>
      <c r="BB86" s="3">
        <v>1180</v>
      </c>
      <c r="BC86" s="3">
        <v>1192</v>
      </c>
      <c r="BD86" s="3" t="s">
        <v>74</v>
      </c>
      <c r="BE86" s="3" t="s">
        <v>1986</v>
      </c>
      <c r="BF86" s="3" t="str">
        <f>HYPERLINK("http://dx.doi.org/10.23919/icact48636.2020.9061541","http://dx.doi.org/10.23919/icact48636.2020.9061541")</f>
        <v>http://dx.doi.org/10.23919/icact48636.2020.9061541</v>
      </c>
      <c r="BG86" s="3" t="s">
        <v>74</v>
      </c>
      <c r="BH86" s="3" t="s">
        <v>74</v>
      </c>
      <c r="BI86" s="3">
        <v>13</v>
      </c>
      <c r="BJ86" s="3" t="s">
        <v>1987</v>
      </c>
      <c r="BK86" s="3" t="s">
        <v>208</v>
      </c>
      <c r="BL86" s="3" t="s">
        <v>1826</v>
      </c>
      <c r="BM86" s="3" t="s">
        <v>1988</v>
      </c>
      <c r="BN86" s="3" t="s">
        <v>74</v>
      </c>
      <c r="BO86" s="3" t="s">
        <v>74</v>
      </c>
      <c r="BP86" s="3" t="s">
        <v>74</v>
      </c>
      <c r="BQ86" s="3" t="s">
        <v>74</v>
      </c>
      <c r="BR86" s="3" t="s">
        <v>101</v>
      </c>
      <c r="BS86" s="3" t="s">
        <v>1989</v>
      </c>
      <c r="BT86" s="3" t="str">
        <f>HYPERLINK("https%3A%2F%2Fwww.webofscience.com%2Fwos%2Fwoscc%2Ffull-record%2FWOS:000576739100125","View Full Record in Web of Science")</f>
        <v>View Full Record in Web of Science</v>
      </c>
      <c r="BU86" s="3"/>
      <c r="BV86" s="3"/>
      <c r="BW86" s="1"/>
    </row>
    <row r="87" spans="1:75" x14ac:dyDescent="0.25">
      <c r="A87" s="3" t="s">
        <v>103</v>
      </c>
      <c r="B87" s="3" t="s">
        <v>1990</v>
      </c>
      <c r="C87" s="3" t="s">
        <v>74</v>
      </c>
      <c r="D87" s="3" t="s">
        <v>1991</v>
      </c>
      <c r="E87" s="3" t="s">
        <v>74</v>
      </c>
      <c r="F87" s="3" t="s">
        <v>1992</v>
      </c>
      <c r="G87" s="3" t="s">
        <v>74</v>
      </c>
      <c r="H87" s="3" t="s">
        <v>74</v>
      </c>
      <c r="I87" s="3" t="s">
        <v>1993</v>
      </c>
      <c r="J87" s="3" t="s">
        <v>1994</v>
      </c>
      <c r="K87" s="3" t="s">
        <v>468</v>
      </c>
      <c r="L87" s="3" t="s">
        <v>74</v>
      </c>
      <c r="M87" s="3" t="s">
        <v>110</v>
      </c>
      <c r="N87" s="3" t="s">
        <v>111</v>
      </c>
      <c r="O87" s="3" t="s">
        <v>1995</v>
      </c>
      <c r="P87" s="3" t="s">
        <v>1996</v>
      </c>
      <c r="Q87" s="3" t="s">
        <v>1997</v>
      </c>
      <c r="R87" s="3" t="s">
        <v>74</v>
      </c>
      <c r="S87" s="3" t="s">
        <v>74</v>
      </c>
      <c r="T87" s="3" t="s">
        <v>1998</v>
      </c>
      <c r="U87" s="3" t="s">
        <v>74</v>
      </c>
      <c r="V87" s="3" t="s">
        <v>1999</v>
      </c>
      <c r="W87" s="3" t="s">
        <v>2000</v>
      </c>
      <c r="X87" s="3" t="s">
        <v>2001</v>
      </c>
      <c r="Y87" s="3" t="s">
        <v>2002</v>
      </c>
      <c r="Z87" s="3" t="s">
        <v>2003</v>
      </c>
      <c r="AA87" s="3" t="s">
        <v>2004</v>
      </c>
      <c r="AB87" s="3" t="s">
        <v>2005</v>
      </c>
      <c r="AC87" s="3" t="s">
        <v>2006</v>
      </c>
      <c r="AD87" s="3" t="s">
        <v>2007</v>
      </c>
      <c r="AE87" s="3" t="s">
        <v>2008</v>
      </c>
      <c r="AF87" s="3" t="s">
        <v>74</v>
      </c>
      <c r="AG87" s="3">
        <v>15</v>
      </c>
      <c r="AH87" s="3">
        <v>1</v>
      </c>
      <c r="AI87" s="3">
        <v>2</v>
      </c>
      <c r="AJ87" s="3">
        <v>1</v>
      </c>
      <c r="AK87" s="3">
        <v>1</v>
      </c>
      <c r="AL87" s="3" t="s">
        <v>374</v>
      </c>
      <c r="AM87" s="3" t="s">
        <v>375</v>
      </c>
      <c r="AN87" s="3" t="s">
        <v>376</v>
      </c>
      <c r="AO87" s="3" t="s">
        <v>480</v>
      </c>
      <c r="AP87" s="3" t="s">
        <v>481</v>
      </c>
      <c r="AQ87" s="3" t="s">
        <v>2009</v>
      </c>
      <c r="AR87" s="3" t="s">
        <v>483</v>
      </c>
      <c r="AS87" s="3" t="s">
        <v>74</v>
      </c>
      <c r="AT87" s="3" t="s">
        <v>74</v>
      </c>
      <c r="AU87" s="3">
        <v>2020</v>
      </c>
      <c r="AV87" s="3">
        <v>1152</v>
      </c>
      <c r="AW87" s="3" t="s">
        <v>74</v>
      </c>
      <c r="AX87" s="3" t="s">
        <v>74</v>
      </c>
      <c r="AY87" s="3" t="s">
        <v>74</v>
      </c>
      <c r="AZ87" s="3" t="s">
        <v>74</v>
      </c>
      <c r="BA87" s="3" t="s">
        <v>74</v>
      </c>
      <c r="BB87" s="3">
        <v>215</v>
      </c>
      <c r="BC87" s="3">
        <v>227</v>
      </c>
      <c r="BD87" s="3" t="s">
        <v>74</v>
      </c>
      <c r="BE87" s="3" t="s">
        <v>2010</v>
      </c>
      <c r="BF87" s="3" t="str">
        <f>HYPERLINK("http://dx.doi.org/10.1007/978-3-030-38889-8_17","http://dx.doi.org/10.1007/978-3-030-38889-8_17")</f>
        <v>http://dx.doi.org/10.1007/978-3-030-38889-8_17</v>
      </c>
      <c r="BG87" s="3" t="s">
        <v>74</v>
      </c>
      <c r="BH87" s="3" t="s">
        <v>74</v>
      </c>
      <c r="BI87" s="3">
        <v>13</v>
      </c>
      <c r="BJ87" s="3" t="s">
        <v>2011</v>
      </c>
      <c r="BK87" s="3" t="s">
        <v>208</v>
      </c>
      <c r="BL87" s="3" t="s">
        <v>486</v>
      </c>
      <c r="BM87" s="3" t="s">
        <v>2012</v>
      </c>
      <c r="BN87" s="3" t="s">
        <v>74</v>
      </c>
      <c r="BO87" s="3" t="s">
        <v>74</v>
      </c>
      <c r="BP87" s="3" t="s">
        <v>74</v>
      </c>
      <c r="BQ87" s="3" t="s">
        <v>74</v>
      </c>
      <c r="BR87" s="3" t="s">
        <v>101</v>
      </c>
      <c r="BS87" s="3" t="s">
        <v>2013</v>
      </c>
      <c r="BT87" s="3" t="str">
        <f>HYPERLINK("https%3A%2F%2Fwww.webofscience.com%2Fwos%2Fwoscc%2Ffull-record%2FWOS:001416304400017","View Full Record in Web of Science")</f>
        <v>View Full Record in Web of Science</v>
      </c>
      <c r="BU87" s="3"/>
      <c r="BV87" s="3"/>
      <c r="BW87" s="1"/>
    </row>
    <row r="88" spans="1:75" x14ac:dyDescent="0.25">
      <c r="A88" s="3" t="s">
        <v>72</v>
      </c>
      <c r="B88" s="3" t="s">
        <v>2014</v>
      </c>
      <c r="C88" s="3" t="s">
        <v>74</v>
      </c>
      <c r="D88" s="3" t="s">
        <v>74</v>
      </c>
      <c r="E88" s="3" t="s">
        <v>74</v>
      </c>
      <c r="F88" s="3" t="s">
        <v>2015</v>
      </c>
      <c r="G88" s="3" t="s">
        <v>74</v>
      </c>
      <c r="H88" s="3" t="s">
        <v>74</v>
      </c>
      <c r="I88" s="3" t="s">
        <v>2016</v>
      </c>
      <c r="J88" s="3" t="s">
        <v>2017</v>
      </c>
      <c r="K88" s="3" t="s">
        <v>74</v>
      </c>
      <c r="L88" s="3" t="s">
        <v>74</v>
      </c>
      <c r="M88" s="3" t="s">
        <v>110</v>
      </c>
      <c r="N88" s="3" t="s">
        <v>79</v>
      </c>
      <c r="O88" s="3" t="s">
        <v>74</v>
      </c>
      <c r="P88" s="3" t="s">
        <v>74</v>
      </c>
      <c r="Q88" s="3" t="s">
        <v>74</v>
      </c>
      <c r="R88" s="3" t="s">
        <v>74</v>
      </c>
      <c r="S88" s="3" t="s">
        <v>74</v>
      </c>
      <c r="T88" s="3" t="s">
        <v>2018</v>
      </c>
      <c r="U88" s="3" t="s">
        <v>2019</v>
      </c>
      <c r="V88" s="3" t="s">
        <v>2020</v>
      </c>
      <c r="W88" s="3" t="s">
        <v>2021</v>
      </c>
      <c r="X88" s="3" t="s">
        <v>1176</v>
      </c>
      <c r="Y88" s="3" t="s">
        <v>2022</v>
      </c>
      <c r="Z88" s="3" t="s">
        <v>2023</v>
      </c>
      <c r="AA88" s="3" t="s">
        <v>2024</v>
      </c>
      <c r="AB88" s="3" t="s">
        <v>2025</v>
      </c>
      <c r="AC88" s="3" t="s">
        <v>2026</v>
      </c>
      <c r="AD88" s="3" t="s">
        <v>2027</v>
      </c>
      <c r="AE88" s="3" t="s">
        <v>2028</v>
      </c>
      <c r="AF88" s="3" t="s">
        <v>74</v>
      </c>
      <c r="AG88" s="3">
        <v>74</v>
      </c>
      <c r="AH88" s="3">
        <v>13</v>
      </c>
      <c r="AI88" s="3">
        <v>13</v>
      </c>
      <c r="AJ88" s="3">
        <v>0</v>
      </c>
      <c r="AK88" s="3">
        <v>40</v>
      </c>
      <c r="AL88" s="3" t="s">
        <v>1120</v>
      </c>
      <c r="AM88" s="3" t="s">
        <v>200</v>
      </c>
      <c r="AN88" s="3" t="s">
        <v>1559</v>
      </c>
      <c r="AO88" s="3" t="s">
        <v>2029</v>
      </c>
      <c r="AP88" s="3" t="s">
        <v>2030</v>
      </c>
      <c r="AQ88" s="3" t="s">
        <v>74</v>
      </c>
      <c r="AR88" s="3" t="s">
        <v>2031</v>
      </c>
      <c r="AS88" s="3" t="s">
        <v>2032</v>
      </c>
      <c r="AT88" s="3" t="s">
        <v>151</v>
      </c>
      <c r="AU88" s="3">
        <v>2019</v>
      </c>
      <c r="AV88" s="3">
        <v>12</v>
      </c>
      <c r="AW88" s="3" t="s">
        <v>2033</v>
      </c>
      <c r="AX88" s="3" t="s">
        <v>74</v>
      </c>
      <c r="AY88" s="3" t="s">
        <v>74</v>
      </c>
      <c r="AZ88" s="3" t="s">
        <v>74</v>
      </c>
      <c r="BA88" s="3" t="s">
        <v>74</v>
      </c>
      <c r="BB88" s="3">
        <v>182</v>
      </c>
      <c r="BC88" s="3">
        <v>198</v>
      </c>
      <c r="BD88" s="3" t="s">
        <v>74</v>
      </c>
      <c r="BE88" s="3" t="s">
        <v>2034</v>
      </c>
      <c r="BF88" s="3" t="str">
        <f>HYPERLINK("http://dx.doi.org/10.1007/s12063-019-00147-7","http://dx.doi.org/10.1007/s12063-019-00147-7")</f>
        <v>http://dx.doi.org/10.1007/s12063-019-00147-7</v>
      </c>
      <c r="BG88" s="3" t="s">
        <v>74</v>
      </c>
      <c r="BH88" s="3" t="s">
        <v>2035</v>
      </c>
      <c r="BI88" s="3">
        <v>17</v>
      </c>
      <c r="BJ88" s="3" t="s">
        <v>96</v>
      </c>
      <c r="BK88" s="3" t="s">
        <v>264</v>
      </c>
      <c r="BL88" s="3" t="s">
        <v>98</v>
      </c>
      <c r="BM88" s="3" t="s">
        <v>2036</v>
      </c>
      <c r="BN88" s="3" t="s">
        <v>74</v>
      </c>
      <c r="BO88" s="3" t="s">
        <v>74</v>
      </c>
      <c r="BP88" s="3" t="s">
        <v>74</v>
      </c>
      <c r="BQ88" s="3" t="s">
        <v>74</v>
      </c>
      <c r="BR88" s="3" t="s">
        <v>101</v>
      </c>
      <c r="BS88" s="3" t="s">
        <v>2037</v>
      </c>
      <c r="BT88" s="3" t="str">
        <f>HYPERLINK("https%3A%2F%2Fwww.webofscience.com%2Fwos%2Fwoscc%2Ffull-record%2FWOS:000501231800001","View Full Record in Web of Science")</f>
        <v>View Full Record in Web of Science</v>
      </c>
      <c r="BU88" s="3"/>
      <c r="BV88" s="3"/>
      <c r="BW88" s="1"/>
    </row>
    <row r="89" spans="1:75" x14ac:dyDescent="0.25">
      <c r="A89" s="3" t="s">
        <v>72</v>
      </c>
      <c r="B89" s="3" t="s">
        <v>2038</v>
      </c>
      <c r="C89" s="3" t="s">
        <v>74</v>
      </c>
      <c r="D89" s="3" t="s">
        <v>74</v>
      </c>
      <c r="E89" s="3" t="s">
        <v>74</v>
      </c>
      <c r="F89" s="3" t="s">
        <v>2039</v>
      </c>
      <c r="G89" s="3" t="s">
        <v>74</v>
      </c>
      <c r="H89" s="3" t="s">
        <v>74</v>
      </c>
      <c r="I89" s="3" t="s">
        <v>2040</v>
      </c>
      <c r="J89" s="3" t="s">
        <v>2041</v>
      </c>
      <c r="K89" s="3" t="s">
        <v>74</v>
      </c>
      <c r="L89" s="3" t="s">
        <v>74</v>
      </c>
      <c r="M89" s="3" t="s">
        <v>110</v>
      </c>
      <c r="N89" s="3" t="s">
        <v>79</v>
      </c>
      <c r="O89" s="3" t="s">
        <v>74</v>
      </c>
      <c r="P89" s="3" t="s">
        <v>74</v>
      </c>
      <c r="Q89" s="3" t="s">
        <v>74</v>
      </c>
      <c r="R89" s="3" t="s">
        <v>74</v>
      </c>
      <c r="S89" s="3" t="s">
        <v>74</v>
      </c>
      <c r="T89" s="3" t="s">
        <v>2042</v>
      </c>
      <c r="U89" s="3" t="s">
        <v>74</v>
      </c>
      <c r="V89" s="3" t="s">
        <v>2043</v>
      </c>
      <c r="W89" s="3" t="s">
        <v>2044</v>
      </c>
      <c r="X89" s="3" t="s">
        <v>2045</v>
      </c>
      <c r="Y89" s="3" t="s">
        <v>2046</v>
      </c>
      <c r="Z89" s="3" t="s">
        <v>2047</v>
      </c>
      <c r="AA89" s="3" t="s">
        <v>2048</v>
      </c>
      <c r="AB89" s="3" t="s">
        <v>2049</v>
      </c>
      <c r="AC89" s="3" t="s">
        <v>74</v>
      </c>
      <c r="AD89" s="3" t="s">
        <v>74</v>
      </c>
      <c r="AE89" s="3" t="s">
        <v>74</v>
      </c>
      <c r="AF89" s="3" t="s">
        <v>74</v>
      </c>
      <c r="AG89" s="3">
        <v>21</v>
      </c>
      <c r="AH89" s="3">
        <v>0</v>
      </c>
      <c r="AI89" s="3">
        <v>0</v>
      </c>
      <c r="AJ89" s="3">
        <v>2</v>
      </c>
      <c r="AK89" s="3">
        <v>6</v>
      </c>
      <c r="AL89" s="3" t="s">
        <v>2050</v>
      </c>
      <c r="AM89" s="3" t="s">
        <v>89</v>
      </c>
      <c r="AN89" s="3" t="s">
        <v>2051</v>
      </c>
      <c r="AO89" s="3" t="s">
        <v>2052</v>
      </c>
      <c r="AP89" s="3" t="s">
        <v>74</v>
      </c>
      <c r="AQ89" s="3" t="s">
        <v>74</v>
      </c>
      <c r="AR89" s="3" t="s">
        <v>2053</v>
      </c>
      <c r="AS89" s="3" t="s">
        <v>2054</v>
      </c>
      <c r="AT89" s="3" t="s">
        <v>1450</v>
      </c>
      <c r="AU89" s="3">
        <v>2022</v>
      </c>
      <c r="AV89" s="3">
        <v>10</v>
      </c>
      <c r="AW89" s="3">
        <v>3</v>
      </c>
      <c r="AX89" s="3" t="s">
        <v>74</v>
      </c>
      <c r="AY89" s="3" t="s">
        <v>74</v>
      </c>
      <c r="AZ89" s="3" t="s">
        <v>880</v>
      </c>
      <c r="BA89" s="3" t="s">
        <v>74</v>
      </c>
      <c r="BB89" s="3">
        <v>555</v>
      </c>
      <c r="BC89" s="3">
        <v>573</v>
      </c>
      <c r="BD89" s="3" t="s">
        <v>74</v>
      </c>
      <c r="BE89" s="3" t="s">
        <v>2055</v>
      </c>
      <c r="BF89" s="3" t="str">
        <f>HYPERLINK("http://dx.doi.org/10.5585/iji.10i3.21474","http://dx.doi.org/10.5585/iji.10i3.21474")</f>
        <v>http://dx.doi.org/10.5585/iji.10i3.21474</v>
      </c>
      <c r="BG89" s="3" t="s">
        <v>74</v>
      </c>
      <c r="BH89" s="3" t="s">
        <v>74</v>
      </c>
      <c r="BI89" s="3">
        <v>19</v>
      </c>
      <c r="BJ89" s="3" t="s">
        <v>2056</v>
      </c>
      <c r="BK89" s="3" t="s">
        <v>97</v>
      </c>
      <c r="BL89" s="3" t="s">
        <v>98</v>
      </c>
      <c r="BM89" s="3" t="s">
        <v>2057</v>
      </c>
      <c r="BN89" s="3" t="s">
        <v>74</v>
      </c>
      <c r="BO89" s="3" t="s">
        <v>74</v>
      </c>
      <c r="BP89" s="3" t="s">
        <v>74</v>
      </c>
      <c r="BQ89" s="3" t="s">
        <v>74</v>
      </c>
      <c r="BR89" s="3" t="s">
        <v>101</v>
      </c>
      <c r="BS89" s="3" t="s">
        <v>2058</v>
      </c>
      <c r="BT89" s="3" t="str">
        <f>HYPERLINK("https%3A%2F%2Fwww.webofscience.com%2Fwos%2Fwoscc%2Ffull-record%2FWOS:000880563800009","View Full Record in Web of Science")</f>
        <v>View Full Record in Web of Science</v>
      </c>
      <c r="BU89" s="3"/>
      <c r="BV89" s="3"/>
      <c r="BW89" s="1"/>
    </row>
    <row r="90" spans="1:75" x14ac:dyDescent="0.25">
      <c r="A90" s="3" t="s">
        <v>103</v>
      </c>
      <c r="B90" s="3" t="s">
        <v>2059</v>
      </c>
      <c r="C90" s="3" t="s">
        <v>74</v>
      </c>
      <c r="D90" s="3" t="s">
        <v>2060</v>
      </c>
      <c r="E90" s="3" t="s">
        <v>74</v>
      </c>
      <c r="F90" s="3" t="s">
        <v>2061</v>
      </c>
      <c r="G90" s="3" t="s">
        <v>74</v>
      </c>
      <c r="H90" s="3" t="s">
        <v>74</v>
      </c>
      <c r="I90" s="3" t="s">
        <v>2062</v>
      </c>
      <c r="J90" s="3" t="s">
        <v>2063</v>
      </c>
      <c r="K90" s="3" t="s">
        <v>2064</v>
      </c>
      <c r="L90" s="3" t="s">
        <v>74</v>
      </c>
      <c r="M90" s="3" t="s">
        <v>110</v>
      </c>
      <c r="N90" s="3" t="s">
        <v>111</v>
      </c>
      <c r="O90" s="3" t="s">
        <v>2065</v>
      </c>
      <c r="P90" s="3" t="s">
        <v>2066</v>
      </c>
      <c r="Q90" s="3" t="s">
        <v>2067</v>
      </c>
      <c r="R90" s="3" t="s">
        <v>74</v>
      </c>
      <c r="S90" s="3" t="s">
        <v>74</v>
      </c>
      <c r="T90" s="3" t="s">
        <v>74</v>
      </c>
      <c r="U90" s="3" t="s">
        <v>74</v>
      </c>
      <c r="V90" s="3" t="s">
        <v>2068</v>
      </c>
      <c r="W90" s="3" t="s">
        <v>2069</v>
      </c>
      <c r="X90" s="3" t="s">
        <v>2070</v>
      </c>
      <c r="Y90" s="3" t="s">
        <v>2071</v>
      </c>
      <c r="Z90" s="3" t="s">
        <v>2072</v>
      </c>
      <c r="AA90" s="3" t="s">
        <v>74</v>
      </c>
      <c r="AB90" s="3" t="s">
        <v>74</v>
      </c>
      <c r="AC90" s="3" t="s">
        <v>74</v>
      </c>
      <c r="AD90" s="3" t="s">
        <v>74</v>
      </c>
      <c r="AE90" s="3" t="s">
        <v>74</v>
      </c>
      <c r="AF90" s="3" t="s">
        <v>74</v>
      </c>
      <c r="AG90" s="3">
        <v>25</v>
      </c>
      <c r="AH90" s="3">
        <v>2</v>
      </c>
      <c r="AI90" s="3">
        <v>2</v>
      </c>
      <c r="AJ90" s="3">
        <v>1</v>
      </c>
      <c r="AK90" s="3">
        <v>7</v>
      </c>
      <c r="AL90" s="3" t="s">
        <v>2073</v>
      </c>
      <c r="AM90" s="3" t="s">
        <v>2074</v>
      </c>
      <c r="AN90" s="3" t="s">
        <v>2075</v>
      </c>
      <c r="AO90" s="3" t="s">
        <v>2076</v>
      </c>
      <c r="AP90" s="3" t="s">
        <v>74</v>
      </c>
      <c r="AQ90" s="3" t="s">
        <v>74</v>
      </c>
      <c r="AR90" s="3" t="s">
        <v>2077</v>
      </c>
      <c r="AS90" s="3" t="s">
        <v>2078</v>
      </c>
      <c r="AT90" s="3" t="s">
        <v>74</v>
      </c>
      <c r="AU90" s="3">
        <v>2020</v>
      </c>
      <c r="AV90" s="3">
        <v>592</v>
      </c>
      <c r="AW90" s="3" t="s">
        <v>74</v>
      </c>
      <c r="AX90" s="3" t="s">
        <v>74</v>
      </c>
      <c r="AY90" s="3" t="s">
        <v>74</v>
      </c>
      <c r="AZ90" s="3" t="s">
        <v>74</v>
      </c>
      <c r="BA90" s="3" t="s">
        <v>74</v>
      </c>
      <c r="BB90" s="3" t="s">
        <v>74</v>
      </c>
      <c r="BC90" s="3" t="s">
        <v>74</v>
      </c>
      <c r="BD90" s="3">
        <v>12010</v>
      </c>
      <c r="BE90" s="3" t="s">
        <v>2079</v>
      </c>
      <c r="BF90" s="3" t="str">
        <f>HYPERLINK("http://dx.doi.org/10.1088/1755-1315/592/1/012010","http://dx.doi.org/10.1088/1755-1315/592/1/012010")</f>
        <v>http://dx.doi.org/10.1088/1755-1315/592/1/012010</v>
      </c>
      <c r="BG90" s="3" t="s">
        <v>74</v>
      </c>
      <c r="BH90" s="3" t="s">
        <v>74</v>
      </c>
      <c r="BI90" s="3">
        <v>11</v>
      </c>
      <c r="BJ90" s="3" t="s">
        <v>2080</v>
      </c>
      <c r="BK90" s="3" t="s">
        <v>130</v>
      </c>
      <c r="BL90" s="3" t="s">
        <v>2081</v>
      </c>
      <c r="BM90" s="3" t="s">
        <v>2082</v>
      </c>
      <c r="BN90" s="3" t="s">
        <v>74</v>
      </c>
      <c r="BO90" s="3" t="s">
        <v>100</v>
      </c>
      <c r="BP90" s="3" t="s">
        <v>74</v>
      </c>
      <c r="BQ90" s="3" t="s">
        <v>74</v>
      </c>
      <c r="BR90" s="3" t="s">
        <v>101</v>
      </c>
      <c r="BS90" s="3" t="s">
        <v>2083</v>
      </c>
      <c r="BT90" s="3" t="str">
        <f>HYPERLINK("https%3A%2F%2Fwww.webofscience.com%2Fwos%2Fwoscc%2Ffull-record%2FWOS:000651410800010","View Full Record in Web of Science")</f>
        <v>View Full Record in Web of Science</v>
      </c>
      <c r="BU90" s="3"/>
      <c r="BV90" s="3"/>
      <c r="BW90" s="1"/>
    </row>
    <row r="91" spans="1:75" x14ac:dyDescent="0.25">
      <c r="A91" s="3" t="s">
        <v>103</v>
      </c>
      <c r="B91" s="3" t="s">
        <v>2084</v>
      </c>
      <c r="C91" s="3" t="s">
        <v>74</v>
      </c>
      <c r="D91" s="3" t="s">
        <v>74</v>
      </c>
      <c r="E91" s="3" t="s">
        <v>199</v>
      </c>
      <c r="F91" s="3" t="s">
        <v>2085</v>
      </c>
      <c r="G91" s="3" t="s">
        <v>74</v>
      </c>
      <c r="H91" s="3" t="s">
        <v>74</v>
      </c>
      <c r="I91" s="3" t="s">
        <v>2086</v>
      </c>
      <c r="J91" s="3" t="s">
        <v>2087</v>
      </c>
      <c r="K91" s="3" t="s">
        <v>74</v>
      </c>
      <c r="L91" s="3" t="s">
        <v>74</v>
      </c>
      <c r="M91" s="3" t="s">
        <v>110</v>
      </c>
      <c r="N91" s="3" t="s">
        <v>111</v>
      </c>
      <c r="O91" s="3" t="s">
        <v>2088</v>
      </c>
      <c r="P91" s="3" t="s">
        <v>2089</v>
      </c>
      <c r="Q91" s="3" t="s">
        <v>2090</v>
      </c>
      <c r="R91" s="3" t="s">
        <v>74</v>
      </c>
      <c r="S91" s="3" t="s">
        <v>74</v>
      </c>
      <c r="T91" s="3" t="s">
        <v>2091</v>
      </c>
      <c r="U91" s="3" t="s">
        <v>2092</v>
      </c>
      <c r="V91" s="3" t="s">
        <v>2093</v>
      </c>
      <c r="W91" s="3" t="s">
        <v>2094</v>
      </c>
      <c r="X91" s="3" t="s">
        <v>2095</v>
      </c>
      <c r="Y91" s="3" t="s">
        <v>2096</v>
      </c>
      <c r="Z91" s="3" t="s">
        <v>2097</v>
      </c>
      <c r="AA91" s="3" t="s">
        <v>2098</v>
      </c>
      <c r="AB91" s="3" t="s">
        <v>2099</v>
      </c>
      <c r="AC91" s="3" t="s">
        <v>2100</v>
      </c>
      <c r="AD91" s="3" t="s">
        <v>2101</v>
      </c>
      <c r="AE91" s="3" t="s">
        <v>2102</v>
      </c>
      <c r="AF91" s="3" t="s">
        <v>74</v>
      </c>
      <c r="AG91" s="3">
        <v>22</v>
      </c>
      <c r="AH91" s="3">
        <v>1</v>
      </c>
      <c r="AI91" s="3">
        <v>1</v>
      </c>
      <c r="AJ91" s="3">
        <v>0</v>
      </c>
      <c r="AK91" s="3">
        <v>10</v>
      </c>
      <c r="AL91" s="3" t="s">
        <v>199</v>
      </c>
      <c r="AM91" s="3" t="s">
        <v>200</v>
      </c>
      <c r="AN91" s="3" t="s">
        <v>201</v>
      </c>
      <c r="AO91" s="3" t="s">
        <v>74</v>
      </c>
      <c r="AP91" s="3" t="s">
        <v>74</v>
      </c>
      <c r="AQ91" s="3" t="s">
        <v>2103</v>
      </c>
      <c r="AR91" s="3" t="s">
        <v>74</v>
      </c>
      <c r="AS91" s="3" t="s">
        <v>74</v>
      </c>
      <c r="AT91" s="3" t="s">
        <v>74</v>
      </c>
      <c r="AU91" s="3">
        <v>2018</v>
      </c>
      <c r="AV91" s="3" t="s">
        <v>74</v>
      </c>
      <c r="AW91" s="3" t="s">
        <v>74</v>
      </c>
      <c r="AX91" s="3" t="s">
        <v>74</v>
      </c>
      <c r="AY91" s="3" t="s">
        <v>74</v>
      </c>
      <c r="AZ91" s="3" t="s">
        <v>74</v>
      </c>
      <c r="BA91" s="3" t="s">
        <v>74</v>
      </c>
      <c r="BB91" s="3">
        <v>279</v>
      </c>
      <c r="BC91" s="3">
        <v>283</v>
      </c>
      <c r="BD91" s="3" t="s">
        <v>74</v>
      </c>
      <c r="BE91" s="3" t="s">
        <v>74</v>
      </c>
      <c r="BF91" s="3" t="s">
        <v>74</v>
      </c>
      <c r="BG91" s="3" t="s">
        <v>74</v>
      </c>
      <c r="BH91" s="3" t="s">
        <v>74</v>
      </c>
      <c r="BI91" s="3">
        <v>5</v>
      </c>
      <c r="BJ91" s="3" t="s">
        <v>207</v>
      </c>
      <c r="BK91" s="3" t="s">
        <v>208</v>
      </c>
      <c r="BL91" s="3" t="s">
        <v>209</v>
      </c>
      <c r="BM91" s="3" t="s">
        <v>2104</v>
      </c>
      <c r="BN91" s="3" t="s">
        <v>74</v>
      </c>
      <c r="BO91" s="3" t="s">
        <v>74</v>
      </c>
      <c r="BP91" s="3" t="s">
        <v>74</v>
      </c>
      <c r="BQ91" s="3" t="s">
        <v>74</v>
      </c>
      <c r="BR91" s="3" t="s">
        <v>101</v>
      </c>
      <c r="BS91" s="3" t="s">
        <v>2105</v>
      </c>
      <c r="BT91" s="3" t="str">
        <f>HYPERLINK("https%3A%2F%2Fwww.webofscience.com%2Fwos%2Fwoscc%2Ffull-record%2FWOS:000588554200052","View Full Record in Web of Science")</f>
        <v>View Full Record in Web of Science</v>
      </c>
      <c r="BU91" s="3"/>
      <c r="BV91" s="3"/>
      <c r="BW91" s="1"/>
    </row>
    <row r="92" spans="1:75" x14ac:dyDescent="0.25">
      <c r="A92" s="3" t="s">
        <v>103</v>
      </c>
      <c r="B92" s="3" t="s">
        <v>2106</v>
      </c>
      <c r="C92" s="3" t="s">
        <v>74</v>
      </c>
      <c r="D92" s="3" t="s">
        <v>74</v>
      </c>
      <c r="E92" s="3" t="s">
        <v>199</v>
      </c>
      <c r="F92" s="3" t="s">
        <v>2107</v>
      </c>
      <c r="G92" s="3" t="s">
        <v>74</v>
      </c>
      <c r="H92" s="3" t="s">
        <v>74</v>
      </c>
      <c r="I92" s="3" t="s">
        <v>2108</v>
      </c>
      <c r="J92" s="3" t="s">
        <v>2109</v>
      </c>
      <c r="K92" s="3" t="s">
        <v>74</v>
      </c>
      <c r="L92" s="3" t="s">
        <v>74</v>
      </c>
      <c r="M92" s="3" t="s">
        <v>110</v>
      </c>
      <c r="N92" s="3" t="s">
        <v>111</v>
      </c>
      <c r="O92" s="3" t="s">
        <v>2110</v>
      </c>
      <c r="P92" s="3" t="s">
        <v>2111</v>
      </c>
      <c r="Q92" s="3" t="s">
        <v>2112</v>
      </c>
      <c r="R92" s="3" t="s">
        <v>74</v>
      </c>
      <c r="S92" s="3" t="s">
        <v>74</v>
      </c>
      <c r="T92" s="3" t="s">
        <v>2113</v>
      </c>
      <c r="U92" s="3" t="s">
        <v>74</v>
      </c>
      <c r="V92" s="3" t="s">
        <v>2114</v>
      </c>
      <c r="W92" s="3" t="s">
        <v>2115</v>
      </c>
      <c r="X92" s="3" t="s">
        <v>2116</v>
      </c>
      <c r="Y92" s="3" t="s">
        <v>2117</v>
      </c>
      <c r="Z92" s="3" t="s">
        <v>2118</v>
      </c>
      <c r="AA92" s="3" t="s">
        <v>2119</v>
      </c>
      <c r="AB92" s="3" t="s">
        <v>74</v>
      </c>
      <c r="AC92" s="3" t="s">
        <v>74</v>
      </c>
      <c r="AD92" s="3" t="s">
        <v>74</v>
      </c>
      <c r="AE92" s="3" t="s">
        <v>74</v>
      </c>
      <c r="AF92" s="3" t="s">
        <v>74</v>
      </c>
      <c r="AG92" s="3">
        <v>5</v>
      </c>
      <c r="AH92" s="3">
        <v>1</v>
      </c>
      <c r="AI92" s="3">
        <v>1</v>
      </c>
      <c r="AJ92" s="3">
        <v>1</v>
      </c>
      <c r="AK92" s="3">
        <v>3</v>
      </c>
      <c r="AL92" s="3" t="s">
        <v>199</v>
      </c>
      <c r="AM92" s="3" t="s">
        <v>200</v>
      </c>
      <c r="AN92" s="3" t="s">
        <v>201</v>
      </c>
      <c r="AO92" s="3" t="s">
        <v>74</v>
      </c>
      <c r="AP92" s="3" t="s">
        <v>74</v>
      </c>
      <c r="AQ92" s="3" t="s">
        <v>2120</v>
      </c>
      <c r="AR92" s="3" t="s">
        <v>74</v>
      </c>
      <c r="AS92" s="3" t="s">
        <v>74</v>
      </c>
      <c r="AT92" s="3" t="s">
        <v>74</v>
      </c>
      <c r="AU92" s="3">
        <v>2020</v>
      </c>
      <c r="AV92" s="3" t="s">
        <v>74</v>
      </c>
      <c r="AW92" s="3" t="s">
        <v>74</v>
      </c>
      <c r="AX92" s="3" t="s">
        <v>74</v>
      </c>
      <c r="AY92" s="3" t="s">
        <v>74</v>
      </c>
      <c r="AZ92" s="3" t="s">
        <v>74</v>
      </c>
      <c r="BA92" s="3" t="s">
        <v>74</v>
      </c>
      <c r="BB92" s="3">
        <v>23</v>
      </c>
      <c r="BC92" s="3">
        <v>26</v>
      </c>
      <c r="BD92" s="3" t="s">
        <v>74</v>
      </c>
      <c r="BE92" s="3" t="s">
        <v>2121</v>
      </c>
      <c r="BF92" s="3" t="str">
        <f>HYPERLINK("http://dx.doi.org/10.1109/sami48414.2020.9108772","http://dx.doi.org/10.1109/sami48414.2020.9108772")</f>
        <v>http://dx.doi.org/10.1109/sami48414.2020.9108772</v>
      </c>
      <c r="BG92" s="3" t="s">
        <v>74</v>
      </c>
      <c r="BH92" s="3" t="s">
        <v>74</v>
      </c>
      <c r="BI92" s="3">
        <v>4</v>
      </c>
      <c r="BJ92" s="3" t="s">
        <v>2122</v>
      </c>
      <c r="BK92" s="3" t="s">
        <v>208</v>
      </c>
      <c r="BL92" s="3" t="s">
        <v>383</v>
      </c>
      <c r="BM92" s="3" t="s">
        <v>2123</v>
      </c>
      <c r="BN92" s="3" t="s">
        <v>74</v>
      </c>
      <c r="BO92" s="3" t="s">
        <v>74</v>
      </c>
      <c r="BP92" s="3" t="s">
        <v>74</v>
      </c>
      <c r="BQ92" s="3" t="s">
        <v>74</v>
      </c>
      <c r="BR92" s="3" t="s">
        <v>101</v>
      </c>
      <c r="BS92" s="3" t="s">
        <v>2124</v>
      </c>
      <c r="BT92" s="3" t="str">
        <f>HYPERLINK("https%3A%2F%2Fwww.webofscience.com%2Fwos%2Fwoscc%2Ffull-record%2FWOS:000589772600005","View Full Record in Web of Science")</f>
        <v>View Full Record in Web of Science</v>
      </c>
      <c r="BU92" s="3"/>
      <c r="BV92" s="3"/>
      <c r="BW92" s="1"/>
    </row>
    <row r="93" spans="1:75" x14ac:dyDescent="0.25">
      <c r="A93" s="3" t="s">
        <v>103</v>
      </c>
      <c r="B93" s="3" t="s">
        <v>2125</v>
      </c>
      <c r="C93" s="3" t="s">
        <v>74</v>
      </c>
      <c r="D93" s="3" t="s">
        <v>74</v>
      </c>
      <c r="E93" s="3" t="s">
        <v>199</v>
      </c>
      <c r="F93" s="3" t="s">
        <v>2126</v>
      </c>
      <c r="G93" s="3" t="s">
        <v>74</v>
      </c>
      <c r="H93" s="3" t="s">
        <v>74</v>
      </c>
      <c r="I93" s="3" t="s">
        <v>2127</v>
      </c>
      <c r="J93" s="3" t="s">
        <v>2128</v>
      </c>
      <c r="K93" s="3" t="s">
        <v>74</v>
      </c>
      <c r="L93" s="3" t="s">
        <v>74</v>
      </c>
      <c r="M93" s="3" t="s">
        <v>110</v>
      </c>
      <c r="N93" s="3" t="s">
        <v>111</v>
      </c>
      <c r="O93" s="3" t="s">
        <v>2129</v>
      </c>
      <c r="P93" s="3" t="s">
        <v>2130</v>
      </c>
      <c r="Q93" s="3" t="s">
        <v>2131</v>
      </c>
      <c r="R93" s="3" t="s">
        <v>74</v>
      </c>
      <c r="S93" s="3" t="s">
        <v>74</v>
      </c>
      <c r="T93" s="3" t="s">
        <v>2132</v>
      </c>
      <c r="U93" s="3" t="s">
        <v>2133</v>
      </c>
      <c r="V93" s="3" t="s">
        <v>2134</v>
      </c>
      <c r="W93" s="3" t="s">
        <v>2135</v>
      </c>
      <c r="X93" s="3" t="s">
        <v>2136</v>
      </c>
      <c r="Y93" s="3" t="s">
        <v>2137</v>
      </c>
      <c r="Z93" s="3" t="s">
        <v>2138</v>
      </c>
      <c r="AA93" s="3" t="s">
        <v>2139</v>
      </c>
      <c r="AB93" s="3" t="s">
        <v>2140</v>
      </c>
      <c r="AC93" s="3" t="s">
        <v>2141</v>
      </c>
      <c r="AD93" s="3" t="s">
        <v>2142</v>
      </c>
      <c r="AE93" s="3" t="s">
        <v>2143</v>
      </c>
      <c r="AF93" s="3" t="s">
        <v>74</v>
      </c>
      <c r="AG93" s="3">
        <v>28</v>
      </c>
      <c r="AH93" s="3">
        <v>54</v>
      </c>
      <c r="AI93" s="3">
        <v>64</v>
      </c>
      <c r="AJ93" s="3">
        <v>0</v>
      </c>
      <c r="AK93" s="3">
        <v>4</v>
      </c>
      <c r="AL93" s="3" t="s">
        <v>199</v>
      </c>
      <c r="AM93" s="3" t="s">
        <v>200</v>
      </c>
      <c r="AN93" s="3" t="s">
        <v>201</v>
      </c>
      <c r="AO93" s="3" t="s">
        <v>74</v>
      </c>
      <c r="AP93" s="3" t="s">
        <v>74</v>
      </c>
      <c r="AQ93" s="3" t="s">
        <v>2144</v>
      </c>
      <c r="AR93" s="3" t="s">
        <v>74</v>
      </c>
      <c r="AS93" s="3" t="s">
        <v>74</v>
      </c>
      <c r="AT93" s="3" t="s">
        <v>74</v>
      </c>
      <c r="AU93" s="3">
        <v>2018</v>
      </c>
      <c r="AV93" s="3" t="s">
        <v>74</v>
      </c>
      <c r="AW93" s="3" t="s">
        <v>74</v>
      </c>
      <c r="AX93" s="3" t="s">
        <v>74</v>
      </c>
      <c r="AY93" s="3" t="s">
        <v>74</v>
      </c>
      <c r="AZ93" s="3" t="s">
        <v>74</v>
      </c>
      <c r="BA93" s="3" t="s">
        <v>74</v>
      </c>
      <c r="BB93" s="3">
        <v>639</v>
      </c>
      <c r="BC93" s="3">
        <v>645</v>
      </c>
      <c r="BD93" s="3" t="s">
        <v>74</v>
      </c>
      <c r="BE93" s="3" t="s">
        <v>74</v>
      </c>
      <c r="BF93" s="3" t="s">
        <v>74</v>
      </c>
      <c r="BG93" s="3" t="s">
        <v>74</v>
      </c>
      <c r="BH93" s="3" t="s">
        <v>74</v>
      </c>
      <c r="BI93" s="3">
        <v>7</v>
      </c>
      <c r="BJ93" s="3" t="s">
        <v>2145</v>
      </c>
      <c r="BK93" s="3" t="s">
        <v>208</v>
      </c>
      <c r="BL93" s="3" t="s">
        <v>383</v>
      </c>
      <c r="BM93" s="3" t="s">
        <v>2146</v>
      </c>
      <c r="BN93" s="3" t="s">
        <v>74</v>
      </c>
      <c r="BO93" s="3" t="s">
        <v>74</v>
      </c>
      <c r="BP93" s="3" t="s">
        <v>74</v>
      </c>
      <c r="BQ93" s="3" t="s">
        <v>74</v>
      </c>
      <c r="BR93" s="3" t="s">
        <v>101</v>
      </c>
      <c r="BS93" s="3" t="s">
        <v>2147</v>
      </c>
      <c r="BT93" s="3" t="str">
        <f>HYPERLINK("https%3A%2F%2Fwww.webofscience.com%2Fwos%2Fwoscc%2Ffull-record%2FWOS:000451221100103","View Full Record in Web of Science")</f>
        <v>View Full Record in Web of Science</v>
      </c>
      <c r="BU93" s="3"/>
      <c r="BV93" s="3"/>
      <c r="BW93" s="1"/>
    </row>
    <row r="94" spans="1:75" x14ac:dyDescent="0.25">
      <c r="A94" s="3" t="s">
        <v>72</v>
      </c>
      <c r="B94" s="3" t="s">
        <v>2148</v>
      </c>
      <c r="C94" s="3" t="s">
        <v>74</v>
      </c>
      <c r="D94" s="3" t="s">
        <v>74</v>
      </c>
      <c r="E94" s="3" t="s">
        <v>74</v>
      </c>
      <c r="F94" s="3" t="s">
        <v>2149</v>
      </c>
      <c r="G94" s="3" t="s">
        <v>74</v>
      </c>
      <c r="H94" s="3" t="s">
        <v>74</v>
      </c>
      <c r="I94" s="3" t="s">
        <v>2150</v>
      </c>
      <c r="J94" s="3" t="s">
        <v>2151</v>
      </c>
      <c r="K94" s="3" t="s">
        <v>74</v>
      </c>
      <c r="L94" s="3" t="s">
        <v>74</v>
      </c>
      <c r="M94" s="3" t="s">
        <v>110</v>
      </c>
      <c r="N94" s="3" t="s">
        <v>216</v>
      </c>
      <c r="O94" s="3" t="s">
        <v>74</v>
      </c>
      <c r="P94" s="3" t="s">
        <v>74</v>
      </c>
      <c r="Q94" s="3" t="s">
        <v>74</v>
      </c>
      <c r="R94" s="3" t="s">
        <v>74</v>
      </c>
      <c r="S94" s="3" t="s">
        <v>74</v>
      </c>
      <c r="T94" s="3" t="s">
        <v>2152</v>
      </c>
      <c r="U94" s="3" t="s">
        <v>2153</v>
      </c>
      <c r="V94" s="3" t="s">
        <v>2154</v>
      </c>
      <c r="W94" s="3" t="s">
        <v>2155</v>
      </c>
      <c r="X94" s="3" t="s">
        <v>74</v>
      </c>
      <c r="Y94" s="3" t="s">
        <v>2156</v>
      </c>
      <c r="Z94" s="3" t="s">
        <v>2157</v>
      </c>
      <c r="AA94" s="3" t="s">
        <v>74</v>
      </c>
      <c r="AB94" s="3" t="s">
        <v>2158</v>
      </c>
      <c r="AC94" s="3" t="s">
        <v>2159</v>
      </c>
      <c r="AD94" s="3" t="s">
        <v>2159</v>
      </c>
      <c r="AE94" s="3" t="s">
        <v>2160</v>
      </c>
      <c r="AF94" s="3" t="s">
        <v>74</v>
      </c>
      <c r="AG94" s="3">
        <v>33</v>
      </c>
      <c r="AH94" s="3">
        <v>131</v>
      </c>
      <c r="AI94" s="3">
        <v>163</v>
      </c>
      <c r="AJ94" s="3">
        <v>1</v>
      </c>
      <c r="AK94" s="3">
        <v>74</v>
      </c>
      <c r="AL94" s="3" t="s">
        <v>2161</v>
      </c>
      <c r="AM94" s="3" t="s">
        <v>2162</v>
      </c>
      <c r="AN94" s="3" t="s">
        <v>2163</v>
      </c>
      <c r="AO94" s="3" t="s">
        <v>2164</v>
      </c>
      <c r="AP94" s="3" t="s">
        <v>74</v>
      </c>
      <c r="AQ94" s="3" t="s">
        <v>74</v>
      </c>
      <c r="AR94" s="3" t="s">
        <v>2165</v>
      </c>
      <c r="AS94" s="3" t="s">
        <v>2166</v>
      </c>
      <c r="AT94" s="3" t="s">
        <v>807</v>
      </c>
      <c r="AU94" s="3">
        <v>2020</v>
      </c>
      <c r="AV94" s="3">
        <v>7</v>
      </c>
      <c r="AW94" s="3">
        <v>1</v>
      </c>
      <c r="AX94" s="3" t="s">
        <v>74</v>
      </c>
      <c r="AY94" s="3" t="s">
        <v>74</v>
      </c>
      <c r="AZ94" s="3" t="s">
        <v>880</v>
      </c>
      <c r="BA94" s="3" t="s">
        <v>74</v>
      </c>
      <c r="BB94" s="3">
        <v>88</v>
      </c>
      <c r="BC94" s="3">
        <v>97</v>
      </c>
      <c r="BD94" s="3" t="s">
        <v>74</v>
      </c>
      <c r="BE94" s="3" t="s">
        <v>2167</v>
      </c>
      <c r="BF94" s="3" t="str">
        <f>HYPERLINK("http://dx.doi.org/10.1016/j.jtte.2019.10.002","http://dx.doi.org/10.1016/j.jtte.2019.10.002")</f>
        <v>http://dx.doi.org/10.1016/j.jtte.2019.10.002</v>
      </c>
      <c r="BG94" s="3" t="s">
        <v>74</v>
      </c>
      <c r="BH94" s="3" t="s">
        <v>74</v>
      </c>
      <c r="BI94" s="3">
        <v>10</v>
      </c>
      <c r="BJ94" s="3" t="s">
        <v>410</v>
      </c>
      <c r="BK94" s="3" t="s">
        <v>97</v>
      </c>
      <c r="BL94" s="3" t="s">
        <v>411</v>
      </c>
      <c r="BM94" s="3" t="s">
        <v>2168</v>
      </c>
      <c r="BN94" s="3" t="s">
        <v>74</v>
      </c>
      <c r="BO94" s="3" t="s">
        <v>100</v>
      </c>
      <c r="BP94" s="3" t="s">
        <v>74</v>
      </c>
      <c r="BQ94" s="3" t="s">
        <v>74</v>
      </c>
      <c r="BR94" s="3" t="s">
        <v>101</v>
      </c>
      <c r="BS94" s="3" t="s">
        <v>2169</v>
      </c>
      <c r="BT94" s="3" t="str">
        <f>HYPERLINK("https%3A%2F%2Fwww.webofscience.com%2Fwos%2Fwoscc%2Ffull-record%2FWOS:000512905200008","View Full Record in Web of Science")</f>
        <v>View Full Record in Web of Science</v>
      </c>
      <c r="BU94" s="3"/>
      <c r="BV94" s="3"/>
      <c r="BW94" s="1"/>
    </row>
    <row r="95" spans="1:75" x14ac:dyDescent="0.25">
      <c r="A95" s="3" t="s">
        <v>72</v>
      </c>
      <c r="B95" s="3" t="s">
        <v>2170</v>
      </c>
      <c r="C95" s="3" t="s">
        <v>74</v>
      </c>
      <c r="D95" s="3" t="s">
        <v>74</v>
      </c>
      <c r="E95" s="3" t="s">
        <v>74</v>
      </c>
      <c r="F95" s="3" t="s">
        <v>2171</v>
      </c>
      <c r="G95" s="3" t="s">
        <v>74</v>
      </c>
      <c r="H95" s="3" t="s">
        <v>74</v>
      </c>
      <c r="I95" s="3" t="s">
        <v>2172</v>
      </c>
      <c r="J95" s="3" t="s">
        <v>2173</v>
      </c>
      <c r="K95" s="3" t="s">
        <v>74</v>
      </c>
      <c r="L95" s="3" t="s">
        <v>74</v>
      </c>
      <c r="M95" s="3" t="s">
        <v>110</v>
      </c>
      <c r="N95" s="3" t="s">
        <v>79</v>
      </c>
      <c r="O95" s="3" t="s">
        <v>74</v>
      </c>
      <c r="P95" s="3" t="s">
        <v>74</v>
      </c>
      <c r="Q95" s="3" t="s">
        <v>74</v>
      </c>
      <c r="R95" s="3" t="s">
        <v>74</v>
      </c>
      <c r="S95" s="3" t="s">
        <v>74</v>
      </c>
      <c r="T95" s="3" t="s">
        <v>2174</v>
      </c>
      <c r="U95" s="3" t="s">
        <v>2175</v>
      </c>
      <c r="V95" s="3" t="s">
        <v>2176</v>
      </c>
      <c r="W95" s="3" t="s">
        <v>2177</v>
      </c>
      <c r="X95" s="3" t="s">
        <v>2178</v>
      </c>
      <c r="Y95" s="3" t="s">
        <v>2179</v>
      </c>
      <c r="Z95" s="3" t="s">
        <v>74</v>
      </c>
      <c r="AA95" s="3" t="s">
        <v>74</v>
      </c>
      <c r="AB95" s="3" t="s">
        <v>74</v>
      </c>
      <c r="AC95" s="3" t="s">
        <v>74</v>
      </c>
      <c r="AD95" s="3" t="s">
        <v>74</v>
      </c>
      <c r="AE95" s="3" t="s">
        <v>74</v>
      </c>
      <c r="AF95" s="3" t="s">
        <v>74</v>
      </c>
      <c r="AG95" s="3">
        <v>45</v>
      </c>
      <c r="AH95" s="3">
        <v>151</v>
      </c>
      <c r="AI95" s="3">
        <v>173</v>
      </c>
      <c r="AJ95" s="3">
        <v>7</v>
      </c>
      <c r="AK95" s="3">
        <v>157</v>
      </c>
      <c r="AL95" s="3" t="s">
        <v>304</v>
      </c>
      <c r="AM95" s="3" t="s">
        <v>305</v>
      </c>
      <c r="AN95" s="3" t="s">
        <v>306</v>
      </c>
      <c r="AO95" s="3" t="s">
        <v>2180</v>
      </c>
      <c r="AP95" s="3" t="s">
        <v>2181</v>
      </c>
      <c r="AQ95" s="3" t="s">
        <v>74</v>
      </c>
      <c r="AR95" s="3" t="s">
        <v>2182</v>
      </c>
      <c r="AS95" s="3" t="s">
        <v>2183</v>
      </c>
      <c r="AT95" s="3" t="s">
        <v>592</v>
      </c>
      <c r="AU95" s="3">
        <v>2015</v>
      </c>
      <c r="AV95" s="3">
        <v>81</v>
      </c>
      <c r="AW95" s="3" t="s">
        <v>74</v>
      </c>
      <c r="AX95" s="3">
        <v>2</v>
      </c>
      <c r="AY95" s="3" t="s">
        <v>74</v>
      </c>
      <c r="AZ95" s="3" t="s">
        <v>880</v>
      </c>
      <c r="BA95" s="3" t="s">
        <v>74</v>
      </c>
      <c r="BB95" s="3">
        <v>440</v>
      </c>
      <c r="BC95" s="3">
        <v>460</v>
      </c>
      <c r="BD95" s="3" t="s">
        <v>74</v>
      </c>
      <c r="BE95" s="3" t="s">
        <v>2184</v>
      </c>
      <c r="BF95" s="3" t="str">
        <f>HYPERLINK("http://dx.doi.org/10.1016/j.trb.2015.07.016","http://dx.doi.org/10.1016/j.trb.2015.07.016")</f>
        <v>http://dx.doi.org/10.1016/j.trb.2015.07.016</v>
      </c>
      <c r="BG95" s="3" t="s">
        <v>74</v>
      </c>
      <c r="BH95" s="3" t="s">
        <v>74</v>
      </c>
      <c r="BI95" s="3">
        <v>21</v>
      </c>
      <c r="BJ95" s="3" t="s">
        <v>2185</v>
      </c>
      <c r="BK95" s="3" t="s">
        <v>154</v>
      </c>
      <c r="BL95" s="3" t="s">
        <v>2186</v>
      </c>
      <c r="BM95" s="3" t="s">
        <v>2187</v>
      </c>
      <c r="BN95" s="3" t="s">
        <v>74</v>
      </c>
      <c r="BO95" s="3" t="s">
        <v>74</v>
      </c>
      <c r="BP95" s="3" t="s">
        <v>74</v>
      </c>
      <c r="BQ95" s="3" t="s">
        <v>74</v>
      </c>
      <c r="BR95" s="3" t="s">
        <v>101</v>
      </c>
      <c r="BS95" s="3" t="s">
        <v>2188</v>
      </c>
      <c r="BT95" s="3" t="str">
        <f>HYPERLINK("https%3A%2F%2Fwww.webofscience.com%2Fwos%2Fwoscc%2Ffull-record%2FWOS:000366237800008","View Full Record in Web of Science")</f>
        <v>View Full Record in Web of Science</v>
      </c>
      <c r="BU95" s="3"/>
      <c r="BV95" s="3"/>
      <c r="BW95" s="1"/>
    </row>
    <row r="96" spans="1:75" x14ac:dyDescent="0.25">
      <c r="A96" s="3" t="s">
        <v>72</v>
      </c>
      <c r="B96" s="3" t="s">
        <v>2189</v>
      </c>
      <c r="C96" s="3" t="s">
        <v>74</v>
      </c>
      <c r="D96" s="3" t="s">
        <v>74</v>
      </c>
      <c r="E96" s="3" t="s">
        <v>74</v>
      </c>
      <c r="F96" s="3" t="s">
        <v>2190</v>
      </c>
      <c r="G96" s="3" t="s">
        <v>74</v>
      </c>
      <c r="H96" s="3" t="s">
        <v>74</v>
      </c>
      <c r="I96" s="3" t="s">
        <v>2191</v>
      </c>
      <c r="J96" s="3" t="s">
        <v>1572</v>
      </c>
      <c r="K96" s="3" t="s">
        <v>74</v>
      </c>
      <c r="L96" s="3" t="s">
        <v>74</v>
      </c>
      <c r="M96" s="3" t="s">
        <v>110</v>
      </c>
      <c r="N96" s="3" t="s">
        <v>79</v>
      </c>
      <c r="O96" s="3" t="s">
        <v>74</v>
      </c>
      <c r="P96" s="3" t="s">
        <v>74</v>
      </c>
      <c r="Q96" s="3" t="s">
        <v>74</v>
      </c>
      <c r="R96" s="3" t="s">
        <v>74</v>
      </c>
      <c r="S96" s="3" t="s">
        <v>74</v>
      </c>
      <c r="T96" s="3" t="s">
        <v>2192</v>
      </c>
      <c r="U96" s="3" t="s">
        <v>2193</v>
      </c>
      <c r="V96" s="3" t="s">
        <v>2194</v>
      </c>
      <c r="W96" s="3" t="s">
        <v>2195</v>
      </c>
      <c r="X96" s="3" t="s">
        <v>2196</v>
      </c>
      <c r="Y96" s="3" t="s">
        <v>2197</v>
      </c>
      <c r="Z96" s="3" t="s">
        <v>2198</v>
      </c>
      <c r="AA96" s="3" t="s">
        <v>74</v>
      </c>
      <c r="AB96" s="3" t="s">
        <v>74</v>
      </c>
      <c r="AC96" s="3" t="s">
        <v>74</v>
      </c>
      <c r="AD96" s="3" t="s">
        <v>74</v>
      </c>
      <c r="AE96" s="3" t="s">
        <v>74</v>
      </c>
      <c r="AF96" s="3" t="s">
        <v>74</v>
      </c>
      <c r="AG96" s="3">
        <v>25</v>
      </c>
      <c r="AH96" s="3">
        <v>57</v>
      </c>
      <c r="AI96" s="3">
        <v>62</v>
      </c>
      <c r="AJ96" s="3">
        <v>0</v>
      </c>
      <c r="AK96" s="3">
        <v>68</v>
      </c>
      <c r="AL96" s="3" t="s">
        <v>872</v>
      </c>
      <c r="AM96" s="3" t="s">
        <v>873</v>
      </c>
      <c r="AN96" s="3" t="s">
        <v>874</v>
      </c>
      <c r="AO96" s="3" t="s">
        <v>1585</v>
      </c>
      <c r="AP96" s="3" t="s">
        <v>1586</v>
      </c>
      <c r="AQ96" s="3" t="s">
        <v>74</v>
      </c>
      <c r="AR96" s="3" t="s">
        <v>1587</v>
      </c>
      <c r="AS96" s="3" t="s">
        <v>1588</v>
      </c>
      <c r="AT96" s="3" t="s">
        <v>74</v>
      </c>
      <c r="AU96" s="3">
        <v>2017</v>
      </c>
      <c r="AV96" s="3">
        <v>55</v>
      </c>
      <c r="AW96" s="3">
        <v>9</v>
      </c>
      <c r="AX96" s="3" t="s">
        <v>74</v>
      </c>
      <c r="AY96" s="3" t="s">
        <v>74</v>
      </c>
      <c r="AZ96" s="3" t="s">
        <v>74</v>
      </c>
      <c r="BA96" s="3" t="s">
        <v>74</v>
      </c>
      <c r="BB96" s="3">
        <v>2664</v>
      </c>
      <c r="BC96" s="3">
        <v>2684</v>
      </c>
      <c r="BD96" s="3" t="s">
        <v>74</v>
      </c>
      <c r="BE96" s="3" t="s">
        <v>2199</v>
      </c>
      <c r="BF96" s="3" t="str">
        <f>HYPERLINK("http://dx.doi.org/10.1080/00207543.2016.1267412","http://dx.doi.org/10.1080/00207543.2016.1267412")</f>
        <v>http://dx.doi.org/10.1080/00207543.2016.1267412</v>
      </c>
      <c r="BG96" s="3" t="s">
        <v>74</v>
      </c>
      <c r="BH96" s="3" t="s">
        <v>74</v>
      </c>
      <c r="BI96" s="3">
        <v>21</v>
      </c>
      <c r="BJ96" s="3" t="s">
        <v>1591</v>
      </c>
      <c r="BK96" s="3" t="s">
        <v>154</v>
      </c>
      <c r="BL96" s="3" t="s">
        <v>209</v>
      </c>
      <c r="BM96" s="3" t="s">
        <v>2200</v>
      </c>
      <c r="BN96" s="3" t="s">
        <v>74</v>
      </c>
      <c r="BO96" s="3" t="s">
        <v>74</v>
      </c>
      <c r="BP96" s="3" t="s">
        <v>74</v>
      </c>
      <c r="BQ96" s="3" t="s">
        <v>74</v>
      </c>
      <c r="BR96" s="3" t="s">
        <v>101</v>
      </c>
      <c r="BS96" s="3" t="s">
        <v>2201</v>
      </c>
      <c r="BT96" s="3" t="str">
        <f>HYPERLINK("https%3A%2F%2Fwww.webofscience.com%2Fwos%2Fwoscc%2Ffull-record%2FWOS:000398966800015","View Full Record in Web of Science")</f>
        <v>View Full Record in Web of Science</v>
      </c>
      <c r="BU96" s="3"/>
      <c r="BV96" s="3"/>
      <c r="BW96" s="1"/>
    </row>
    <row r="97" spans="1:75" x14ac:dyDescent="0.25">
      <c r="A97" s="4" t="s">
        <v>72</v>
      </c>
      <c r="B97" s="4" t="s">
        <v>2202</v>
      </c>
      <c r="C97" s="4" t="s">
        <v>74</v>
      </c>
      <c r="D97" s="4" t="s">
        <v>74</v>
      </c>
      <c r="E97" s="4" t="s">
        <v>74</v>
      </c>
      <c r="F97" s="4" t="s">
        <v>2203</v>
      </c>
      <c r="G97" s="4" t="s">
        <v>74</v>
      </c>
      <c r="H97" s="4" t="s">
        <v>74</v>
      </c>
      <c r="I97" s="4" t="s">
        <v>2204</v>
      </c>
      <c r="J97" s="4" t="s">
        <v>2205</v>
      </c>
      <c r="K97" s="4" t="s">
        <v>74</v>
      </c>
      <c r="L97" s="4" t="s">
        <v>74</v>
      </c>
      <c r="M97" s="4" t="s">
        <v>110</v>
      </c>
      <c r="N97" s="4" t="s">
        <v>216</v>
      </c>
      <c r="O97" s="4" t="s">
        <v>74</v>
      </c>
      <c r="P97" s="4" t="s">
        <v>74</v>
      </c>
      <c r="Q97" s="4" t="s">
        <v>74</v>
      </c>
      <c r="R97" s="4" t="s">
        <v>74</v>
      </c>
      <c r="S97" s="4" t="s">
        <v>74</v>
      </c>
      <c r="T97" s="4" t="s">
        <v>2206</v>
      </c>
      <c r="U97" s="4" t="s">
        <v>2207</v>
      </c>
      <c r="V97" s="4" t="s">
        <v>2208</v>
      </c>
      <c r="W97" s="4" t="s">
        <v>2209</v>
      </c>
      <c r="X97" s="4" t="s">
        <v>2210</v>
      </c>
      <c r="Y97" s="4" t="s">
        <v>2211</v>
      </c>
      <c r="Z97" s="4" t="s">
        <v>2212</v>
      </c>
      <c r="AA97" s="4" t="s">
        <v>2213</v>
      </c>
      <c r="AB97" s="4" t="s">
        <v>2214</v>
      </c>
      <c r="AC97" s="4" t="s">
        <v>2215</v>
      </c>
      <c r="AD97" s="4" t="s">
        <v>2216</v>
      </c>
      <c r="AE97" s="4" t="s">
        <v>2217</v>
      </c>
      <c r="AF97" s="4" t="s">
        <v>74</v>
      </c>
      <c r="AG97" s="4">
        <v>63</v>
      </c>
      <c r="AH97" s="4">
        <v>162</v>
      </c>
      <c r="AI97" s="4">
        <v>201</v>
      </c>
      <c r="AJ97" s="4">
        <v>21</v>
      </c>
      <c r="AK97" s="4">
        <v>341</v>
      </c>
      <c r="AL97" s="4" t="s">
        <v>145</v>
      </c>
      <c r="AM97" s="4" t="s">
        <v>146</v>
      </c>
      <c r="AN97" s="4" t="s">
        <v>279</v>
      </c>
      <c r="AO97" s="4" t="s">
        <v>74</v>
      </c>
      <c r="AP97" s="4" t="s">
        <v>2218</v>
      </c>
      <c r="AQ97" s="4" t="s">
        <v>74</v>
      </c>
      <c r="AR97" s="4" t="s">
        <v>2219</v>
      </c>
      <c r="AS97" s="4" t="s">
        <v>2220</v>
      </c>
      <c r="AT97" s="4" t="s">
        <v>333</v>
      </c>
      <c r="AU97" s="4">
        <v>2020</v>
      </c>
      <c r="AV97" s="4">
        <v>2</v>
      </c>
      <c r="AW97" s="4">
        <v>3</v>
      </c>
      <c r="AX97" s="4" t="s">
        <v>74</v>
      </c>
      <c r="AY97" s="4" t="s">
        <v>74</v>
      </c>
      <c r="AZ97" s="4" t="s">
        <v>74</v>
      </c>
      <c r="BA97" s="4" t="s">
        <v>74</v>
      </c>
      <c r="BB97" s="4">
        <v>290</v>
      </c>
      <c r="BC97" s="4">
        <v>310</v>
      </c>
      <c r="BD97" s="4" t="s">
        <v>74</v>
      </c>
      <c r="BE97" s="4" t="s">
        <v>2221</v>
      </c>
      <c r="BF97" s="4" t="str">
        <f>HYPERLINK("http://dx.doi.org/10.3390/cleantechnol2030019","http://dx.doi.org/10.3390/cleantechnol2030019")</f>
        <v>http://dx.doi.org/10.3390/cleantechnol2030019</v>
      </c>
      <c r="BG97" s="4" t="s">
        <v>74</v>
      </c>
      <c r="BH97" s="4" t="s">
        <v>74</v>
      </c>
      <c r="BI97" s="4">
        <v>21</v>
      </c>
      <c r="BJ97" s="4" t="s">
        <v>2222</v>
      </c>
      <c r="BK97" s="4" t="s">
        <v>97</v>
      </c>
      <c r="BL97" s="4" t="s">
        <v>2223</v>
      </c>
      <c r="BM97" s="4" t="s">
        <v>2224</v>
      </c>
      <c r="BN97" s="4" t="s">
        <v>74</v>
      </c>
      <c r="BO97" s="4" t="s">
        <v>133</v>
      </c>
      <c r="BP97" s="4" t="s">
        <v>74</v>
      </c>
      <c r="BQ97" s="4" t="s">
        <v>74</v>
      </c>
      <c r="BR97" s="4" t="s">
        <v>101</v>
      </c>
      <c r="BS97" s="4" t="s">
        <v>2225</v>
      </c>
      <c r="BT97" s="4" t="str">
        <f>HYPERLINK("https%3A%2F%2Fwww.webofscience.com%2Fwos%2Fwoscc%2Ffull-record%2FWOS:000708219500008","View Full Record in Web of Science")</f>
        <v>View Full Record in Web of Science</v>
      </c>
      <c r="BU97" s="4"/>
      <c r="BV97" s="4"/>
      <c r="BW97" s="5"/>
    </row>
    <row r="98" spans="1:75" x14ac:dyDescent="0.25">
      <c r="A98" s="3" t="s">
        <v>72</v>
      </c>
      <c r="B98" s="3" t="s">
        <v>2226</v>
      </c>
      <c r="C98" s="3" t="s">
        <v>74</v>
      </c>
      <c r="D98" s="3" t="s">
        <v>74</v>
      </c>
      <c r="E98" s="3" t="s">
        <v>74</v>
      </c>
      <c r="F98" s="3" t="s">
        <v>2227</v>
      </c>
      <c r="G98" s="3" t="s">
        <v>74</v>
      </c>
      <c r="H98" s="3" t="s">
        <v>74</v>
      </c>
      <c r="I98" s="3" t="s">
        <v>2228</v>
      </c>
      <c r="J98" s="3" t="s">
        <v>2229</v>
      </c>
      <c r="K98" s="3" t="s">
        <v>74</v>
      </c>
      <c r="L98" s="3" t="s">
        <v>74</v>
      </c>
      <c r="M98" s="3" t="s">
        <v>110</v>
      </c>
      <c r="N98" s="3" t="s">
        <v>79</v>
      </c>
      <c r="O98" s="3" t="s">
        <v>74</v>
      </c>
      <c r="P98" s="3" t="s">
        <v>74</v>
      </c>
      <c r="Q98" s="3" t="s">
        <v>74</v>
      </c>
      <c r="R98" s="3" t="s">
        <v>74</v>
      </c>
      <c r="S98" s="3" t="s">
        <v>74</v>
      </c>
      <c r="T98" s="3" t="s">
        <v>2230</v>
      </c>
      <c r="U98" s="3" t="s">
        <v>2231</v>
      </c>
      <c r="V98" s="3" t="s">
        <v>2232</v>
      </c>
      <c r="W98" s="3" t="s">
        <v>2233</v>
      </c>
      <c r="X98" s="3" t="s">
        <v>2234</v>
      </c>
      <c r="Y98" s="3" t="s">
        <v>2235</v>
      </c>
      <c r="Z98" s="3" t="s">
        <v>2236</v>
      </c>
      <c r="AA98" s="3" t="s">
        <v>2237</v>
      </c>
      <c r="AB98" s="3" t="s">
        <v>2238</v>
      </c>
      <c r="AC98" s="3" t="s">
        <v>74</v>
      </c>
      <c r="AD98" s="3" t="s">
        <v>74</v>
      </c>
      <c r="AE98" s="3" t="s">
        <v>74</v>
      </c>
      <c r="AF98" s="3" t="s">
        <v>74</v>
      </c>
      <c r="AG98" s="3">
        <v>60</v>
      </c>
      <c r="AH98" s="3">
        <v>208</v>
      </c>
      <c r="AI98" s="3">
        <v>224</v>
      </c>
      <c r="AJ98" s="3">
        <v>4</v>
      </c>
      <c r="AK98" s="3">
        <v>319</v>
      </c>
      <c r="AL98" s="3" t="s">
        <v>2239</v>
      </c>
      <c r="AM98" s="3" t="s">
        <v>2240</v>
      </c>
      <c r="AN98" s="3" t="s">
        <v>2241</v>
      </c>
      <c r="AO98" s="3" t="s">
        <v>2242</v>
      </c>
      <c r="AP98" s="3" t="s">
        <v>2243</v>
      </c>
      <c r="AQ98" s="3" t="s">
        <v>74</v>
      </c>
      <c r="AR98" s="3" t="s">
        <v>2244</v>
      </c>
      <c r="AS98" s="3" t="s">
        <v>2245</v>
      </c>
      <c r="AT98" s="3" t="s">
        <v>74</v>
      </c>
      <c r="AU98" s="3">
        <v>2016</v>
      </c>
      <c r="AV98" s="3">
        <v>22</v>
      </c>
      <c r="AW98" s="3">
        <v>2</v>
      </c>
      <c r="AX98" s="3" t="s">
        <v>74</v>
      </c>
      <c r="AY98" s="3" t="s">
        <v>74</v>
      </c>
      <c r="AZ98" s="3" t="s">
        <v>74</v>
      </c>
      <c r="BA98" s="3" t="s">
        <v>74</v>
      </c>
      <c r="BB98" s="3">
        <v>357</v>
      </c>
      <c r="BC98" s="3">
        <v>367</v>
      </c>
      <c r="BD98" s="3" t="s">
        <v>74</v>
      </c>
      <c r="BE98" s="3" t="s">
        <v>2246</v>
      </c>
      <c r="BF98" s="3" t="str">
        <f>HYPERLINK("http://dx.doi.org/10.1108/BPMJ-05-2015-0074","http://dx.doi.org/10.1108/BPMJ-05-2015-0074")</f>
        <v>http://dx.doi.org/10.1108/BPMJ-05-2015-0074</v>
      </c>
      <c r="BG98" s="3" t="s">
        <v>74</v>
      </c>
      <c r="BH98" s="3" t="s">
        <v>74</v>
      </c>
      <c r="BI98" s="3">
        <v>11</v>
      </c>
      <c r="BJ98" s="3" t="s">
        <v>2247</v>
      </c>
      <c r="BK98" s="3" t="s">
        <v>264</v>
      </c>
      <c r="BL98" s="3" t="s">
        <v>98</v>
      </c>
      <c r="BM98" s="3" t="s">
        <v>2248</v>
      </c>
      <c r="BN98" s="3" t="s">
        <v>74</v>
      </c>
      <c r="BO98" s="3" t="s">
        <v>74</v>
      </c>
      <c r="BP98" s="3" t="s">
        <v>74</v>
      </c>
      <c r="BQ98" s="3" t="s">
        <v>74</v>
      </c>
      <c r="BR98" s="3" t="s">
        <v>101</v>
      </c>
      <c r="BS98" s="3" t="s">
        <v>2249</v>
      </c>
      <c r="BT98" s="3" t="str">
        <f>HYPERLINK("https%3A%2F%2Fwww.webofscience.com%2Fwos%2Fwoscc%2Ffull-record%2FWOS:000374137200008","View Full Record in Web of Science")</f>
        <v>View Full Record in Web of Science</v>
      </c>
      <c r="BU98" s="3"/>
      <c r="BV98" s="3"/>
      <c r="BW98" s="1"/>
    </row>
    <row r="99" spans="1:75" x14ac:dyDescent="0.25">
      <c r="A99" s="3" t="s">
        <v>72</v>
      </c>
      <c r="B99" s="3" t="s">
        <v>2250</v>
      </c>
      <c r="C99" s="3" t="s">
        <v>74</v>
      </c>
      <c r="D99" s="3" t="s">
        <v>74</v>
      </c>
      <c r="E99" s="3" t="s">
        <v>74</v>
      </c>
      <c r="F99" s="3" t="s">
        <v>2251</v>
      </c>
      <c r="G99" s="3" t="s">
        <v>74</v>
      </c>
      <c r="H99" s="3" t="s">
        <v>74</v>
      </c>
      <c r="I99" s="3" t="s">
        <v>2252</v>
      </c>
      <c r="J99" s="3" t="s">
        <v>161</v>
      </c>
      <c r="K99" s="3" t="s">
        <v>74</v>
      </c>
      <c r="L99" s="3" t="s">
        <v>74</v>
      </c>
      <c r="M99" s="3" t="s">
        <v>110</v>
      </c>
      <c r="N99" s="3" t="s">
        <v>79</v>
      </c>
      <c r="O99" s="3" t="s">
        <v>74</v>
      </c>
      <c r="P99" s="3" t="s">
        <v>74</v>
      </c>
      <c r="Q99" s="3" t="s">
        <v>74</v>
      </c>
      <c r="R99" s="3" t="s">
        <v>74</v>
      </c>
      <c r="S99" s="3" t="s">
        <v>74</v>
      </c>
      <c r="T99" s="3" t="s">
        <v>2253</v>
      </c>
      <c r="U99" s="3" t="s">
        <v>2254</v>
      </c>
      <c r="V99" s="3" t="s">
        <v>2255</v>
      </c>
      <c r="W99" s="3" t="s">
        <v>2256</v>
      </c>
      <c r="X99" s="3" t="s">
        <v>2257</v>
      </c>
      <c r="Y99" s="3" t="s">
        <v>2258</v>
      </c>
      <c r="Z99" s="3" t="s">
        <v>2259</v>
      </c>
      <c r="AA99" s="3" t="s">
        <v>74</v>
      </c>
      <c r="AB99" s="3" t="s">
        <v>2260</v>
      </c>
      <c r="AC99" s="3" t="s">
        <v>74</v>
      </c>
      <c r="AD99" s="3" t="s">
        <v>74</v>
      </c>
      <c r="AE99" s="3" t="s">
        <v>74</v>
      </c>
      <c r="AF99" s="3" t="s">
        <v>74</v>
      </c>
      <c r="AG99" s="3">
        <v>137</v>
      </c>
      <c r="AH99" s="3">
        <v>11</v>
      </c>
      <c r="AI99" s="3">
        <v>14</v>
      </c>
      <c r="AJ99" s="3">
        <v>1</v>
      </c>
      <c r="AK99" s="3">
        <v>28</v>
      </c>
      <c r="AL99" s="3" t="s">
        <v>145</v>
      </c>
      <c r="AM99" s="3" t="s">
        <v>146</v>
      </c>
      <c r="AN99" s="3" t="s">
        <v>279</v>
      </c>
      <c r="AO99" s="3" t="s">
        <v>74</v>
      </c>
      <c r="AP99" s="3" t="s">
        <v>174</v>
      </c>
      <c r="AQ99" s="3" t="s">
        <v>74</v>
      </c>
      <c r="AR99" s="3" t="s">
        <v>161</v>
      </c>
      <c r="AS99" s="3" t="s">
        <v>175</v>
      </c>
      <c r="AT99" s="3" t="s">
        <v>879</v>
      </c>
      <c r="AU99" s="3">
        <v>2019</v>
      </c>
      <c r="AV99" s="3">
        <v>12</v>
      </c>
      <c r="AW99" s="3">
        <v>12</v>
      </c>
      <c r="AX99" s="3" t="s">
        <v>74</v>
      </c>
      <c r="AY99" s="3" t="s">
        <v>74</v>
      </c>
      <c r="AZ99" s="3" t="s">
        <v>74</v>
      </c>
      <c r="BA99" s="3" t="s">
        <v>74</v>
      </c>
      <c r="BB99" s="3" t="s">
        <v>74</v>
      </c>
      <c r="BC99" s="3" t="s">
        <v>74</v>
      </c>
      <c r="BD99" s="3">
        <v>2308</v>
      </c>
      <c r="BE99" s="3" t="s">
        <v>2261</v>
      </c>
      <c r="BF99" s="3" t="str">
        <f>HYPERLINK("http://dx.doi.org/10.3390/en12122308","http://dx.doi.org/10.3390/en12122308")</f>
        <v>http://dx.doi.org/10.3390/en12122308</v>
      </c>
      <c r="BG99" s="3" t="s">
        <v>74</v>
      </c>
      <c r="BH99" s="3" t="s">
        <v>74</v>
      </c>
      <c r="BI99" s="3">
        <v>33</v>
      </c>
      <c r="BJ99" s="3" t="s">
        <v>178</v>
      </c>
      <c r="BK99" s="3" t="s">
        <v>154</v>
      </c>
      <c r="BL99" s="3" t="s">
        <v>178</v>
      </c>
      <c r="BM99" s="3" t="s">
        <v>2262</v>
      </c>
      <c r="BN99" s="3" t="s">
        <v>74</v>
      </c>
      <c r="BO99" s="3" t="s">
        <v>133</v>
      </c>
      <c r="BP99" s="3" t="s">
        <v>74</v>
      </c>
      <c r="BQ99" s="3" t="s">
        <v>74</v>
      </c>
      <c r="BR99" s="3" t="s">
        <v>101</v>
      </c>
      <c r="BS99" s="3" t="s">
        <v>2263</v>
      </c>
      <c r="BT99" s="3" t="str">
        <f>HYPERLINK("https%3A%2F%2Fwww.webofscience.com%2Fwos%2Fwoscc%2Ffull-record%2FWOS:000473821400081","View Full Record in Web of Science")</f>
        <v>View Full Record in Web of Science</v>
      </c>
      <c r="BU99" s="3"/>
      <c r="BV99" s="3"/>
      <c r="BW99" s="1"/>
    </row>
    <row r="100" spans="1:75" x14ac:dyDescent="0.25">
      <c r="A100" s="3" t="s">
        <v>103</v>
      </c>
      <c r="B100" s="3" t="s">
        <v>1900</v>
      </c>
      <c r="C100" s="3" t="s">
        <v>74</v>
      </c>
      <c r="D100" s="3" t="s">
        <v>74</v>
      </c>
      <c r="E100" s="3" t="s">
        <v>199</v>
      </c>
      <c r="F100" s="3" t="s">
        <v>1901</v>
      </c>
      <c r="G100" s="3" t="s">
        <v>74</v>
      </c>
      <c r="H100" s="3" t="s">
        <v>74</v>
      </c>
      <c r="I100" s="3" t="s">
        <v>2264</v>
      </c>
      <c r="J100" s="3" t="s">
        <v>2265</v>
      </c>
      <c r="K100" s="3" t="s">
        <v>74</v>
      </c>
      <c r="L100" s="3" t="s">
        <v>74</v>
      </c>
      <c r="M100" s="3" t="s">
        <v>110</v>
      </c>
      <c r="N100" s="3" t="s">
        <v>111</v>
      </c>
      <c r="O100" s="3" t="s">
        <v>2266</v>
      </c>
      <c r="P100" s="3" t="s">
        <v>2267</v>
      </c>
      <c r="Q100" s="3" t="s">
        <v>2268</v>
      </c>
      <c r="R100" s="3" t="s">
        <v>74</v>
      </c>
      <c r="S100" s="3" t="s">
        <v>74</v>
      </c>
      <c r="T100" s="3" t="s">
        <v>74</v>
      </c>
      <c r="U100" s="3" t="s">
        <v>74</v>
      </c>
      <c r="V100" s="3" t="s">
        <v>2269</v>
      </c>
      <c r="W100" s="3" t="s">
        <v>2270</v>
      </c>
      <c r="X100" s="3" t="s">
        <v>2271</v>
      </c>
      <c r="Y100" s="3" t="s">
        <v>2272</v>
      </c>
      <c r="Z100" s="3" t="s">
        <v>2273</v>
      </c>
      <c r="AA100" s="3" t="s">
        <v>2274</v>
      </c>
      <c r="AB100" s="3" t="s">
        <v>2275</v>
      </c>
      <c r="AC100" s="3" t="s">
        <v>74</v>
      </c>
      <c r="AD100" s="3" t="s">
        <v>74</v>
      </c>
      <c r="AE100" s="3" t="s">
        <v>74</v>
      </c>
      <c r="AF100" s="3" t="s">
        <v>74</v>
      </c>
      <c r="AG100" s="3">
        <v>20</v>
      </c>
      <c r="AH100" s="3">
        <v>28</v>
      </c>
      <c r="AI100" s="3">
        <v>34</v>
      </c>
      <c r="AJ100" s="3">
        <v>0</v>
      </c>
      <c r="AK100" s="3">
        <v>7</v>
      </c>
      <c r="AL100" s="3" t="s">
        <v>199</v>
      </c>
      <c r="AM100" s="3" t="s">
        <v>200</v>
      </c>
      <c r="AN100" s="3" t="s">
        <v>201</v>
      </c>
      <c r="AO100" s="3" t="s">
        <v>74</v>
      </c>
      <c r="AP100" s="3" t="s">
        <v>74</v>
      </c>
      <c r="AQ100" s="3" t="s">
        <v>2276</v>
      </c>
      <c r="AR100" s="3" t="s">
        <v>74</v>
      </c>
      <c r="AS100" s="3" t="s">
        <v>74</v>
      </c>
      <c r="AT100" s="3" t="s">
        <v>74</v>
      </c>
      <c r="AU100" s="3">
        <v>2018</v>
      </c>
      <c r="AV100" s="3" t="s">
        <v>74</v>
      </c>
      <c r="AW100" s="3" t="s">
        <v>74</v>
      </c>
      <c r="AX100" s="3" t="s">
        <v>74</v>
      </c>
      <c r="AY100" s="3" t="s">
        <v>74</v>
      </c>
      <c r="AZ100" s="3" t="s">
        <v>74</v>
      </c>
      <c r="BA100" s="3" t="s">
        <v>74</v>
      </c>
      <c r="BB100" s="3">
        <v>17</v>
      </c>
      <c r="BC100" s="3">
        <v>24</v>
      </c>
      <c r="BD100" s="3" t="s">
        <v>74</v>
      </c>
      <c r="BE100" s="3" t="s">
        <v>2277</v>
      </c>
      <c r="BF100" s="3" t="str">
        <f>HYPERLINK("http://dx.doi.org/10.1109/SMARTCOMP.2018.00069","http://dx.doi.org/10.1109/SMARTCOMP.2018.00069")</f>
        <v>http://dx.doi.org/10.1109/SMARTCOMP.2018.00069</v>
      </c>
      <c r="BG100" s="3" t="s">
        <v>74</v>
      </c>
      <c r="BH100" s="3" t="s">
        <v>74</v>
      </c>
      <c r="BI100" s="3">
        <v>8</v>
      </c>
      <c r="BJ100" s="3" t="s">
        <v>2278</v>
      </c>
      <c r="BK100" s="3" t="s">
        <v>208</v>
      </c>
      <c r="BL100" s="3" t="s">
        <v>486</v>
      </c>
      <c r="BM100" s="3" t="s">
        <v>2279</v>
      </c>
      <c r="BN100" s="3" t="s">
        <v>74</v>
      </c>
      <c r="BO100" s="3" t="s">
        <v>74</v>
      </c>
      <c r="BP100" s="3" t="s">
        <v>74</v>
      </c>
      <c r="BQ100" s="3" t="s">
        <v>74</v>
      </c>
      <c r="BR100" s="3" t="s">
        <v>101</v>
      </c>
      <c r="BS100" s="3" t="s">
        <v>2280</v>
      </c>
      <c r="BT100" s="3" t="str">
        <f>HYPERLINK("https%3A%2F%2Fwww.webofscience.com%2Fwos%2Fwoscc%2Ffull-record%2FWOS:000502773100003","View Full Record in Web of Science")</f>
        <v>View Full Record in Web of Science</v>
      </c>
      <c r="BU100" s="3"/>
      <c r="BV100" s="3"/>
      <c r="BW100" s="1"/>
    </row>
    <row r="101" spans="1:75" x14ac:dyDescent="0.25">
      <c r="A101" s="3" t="s">
        <v>72</v>
      </c>
      <c r="B101" s="3" t="s">
        <v>2281</v>
      </c>
      <c r="C101" s="3" t="s">
        <v>74</v>
      </c>
      <c r="D101" s="3" t="s">
        <v>74</v>
      </c>
      <c r="E101" s="3" t="s">
        <v>74</v>
      </c>
      <c r="F101" s="3" t="s">
        <v>2282</v>
      </c>
      <c r="G101" s="3" t="s">
        <v>74</v>
      </c>
      <c r="H101" s="3" t="s">
        <v>74</v>
      </c>
      <c r="I101" s="3" t="s">
        <v>2283</v>
      </c>
      <c r="J101" s="3" t="s">
        <v>138</v>
      </c>
      <c r="K101" s="3" t="s">
        <v>74</v>
      </c>
      <c r="L101" s="3" t="s">
        <v>74</v>
      </c>
      <c r="M101" s="3" t="s">
        <v>110</v>
      </c>
      <c r="N101" s="3" t="s">
        <v>216</v>
      </c>
      <c r="O101" s="3" t="s">
        <v>74</v>
      </c>
      <c r="P101" s="3" t="s">
        <v>74</v>
      </c>
      <c r="Q101" s="3" t="s">
        <v>74</v>
      </c>
      <c r="R101" s="3" t="s">
        <v>74</v>
      </c>
      <c r="S101" s="3" t="s">
        <v>74</v>
      </c>
      <c r="T101" s="3" t="s">
        <v>2284</v>
      </c>
      <c r="U101" s="3" t="s">
        <v>2285</v>
      </c>
      <c r="V101" s="3" t="s">
        <v>2286</v>
      </c>
      <c r="W101" s="3" t="s">
        <v>2287</v>
      </c>
      <c r="X101" s="3" t="s">
        <v>2288</v>
      </c>
      <c r="Y101" s="3" t="s">
        <v>2289</v>
      </c>
      <c r="Z101" s="3" t="s">
        <v>2290</v>
      </c>
      <c r="AA101" s="3" t="s">
        <v>2291</v>
      </c>
      <c r="AB101" s="3" t="s">
        <v>2292</v>
      </c>
      <c r="AC101" s="3" t="s">
        <v>74</v>
      </c>
      <c r="AD101" s="3" t="s">
        <v>74</v>
      </c>
      <c r="AE101" s="3" t="s">
        <v>74</v>
      </c>
      <c r="AF101" s="3" t="s">
        <v>74</v>
      </c>
      <c r="AG101" s="3">
        <v>46</v>
      </c>
      <c r="AH101" s="3">
        <v>102</v>
      </c>
      <c r="AI101" s="3">
        <v>127</v>
      </c>
      <c r="AJ101" s="3">
        <v>3</v>
      </c>
      <c r="AK101" s="3">
        <v>114</v>
      </c>
      <c r="AL101" s="3" t="s">
        <v>145</v>
      </c>
      <c r="AM101" s="3" t="s">
        <v>146</v>
      </c>
      <c r="AN101" s="3" t="s">
        <v>279</v>
      </c>
      <c r="AO101" s="3" t="s">
        <v>74</v>
      </c>
      <c r="AP101" s="3" t="s">
        <v>148</v>
      </c>
      <c r="AQ101" s="3" t="s">
        <v>74</v>
      </c>
      <c r="AR101" s="3" t="s">
        <v>149</v>
      </c>
      <c r="AS101" s="3" t="s">
        <v>150</v>
      </c>
      <c r="AT101" s="3" t="s">
        <v>592</v>
      </c>
      <c r="AU101" s="3">
        <v>2017</v>
      </c>
      <c r="AV101" s="3">
        <v>9</v>
      </c>
      <c r="AW101" s="3">
        <v>11</v>
      </c>
      <c r="AX101" s="3" t="s">
        <v>74</v>
      </c>
      <c r="AY101" s="3" t="s">
        <v>74</v>
      </c>
      <c r="AZ101" s="3" t="s">
        <v>74</v>
      </c>
      <c r="BA101" s="3" t="s">
        <v>74</v>
      </c>
      <c r="BB101" s="3" t="s">
        <v>74</v>
      </c>
      <c r="BC101" s="3" t="s">
        <v>74</v>
      </c>
      <c r="BD101" s="3">
        <v>2006</v>
      </c>
      <c r="BE101" s="3" t="s">
        <v>2293</v>
      </c>
      <c r="BF101" s="3" t="str">
        <f>HYPERLINK("http://dx.doi.org/10.3390/su9112006","http://dx.doi.org/10.3390/su9112006")</f>
        <v>http://dx.doi.org/10.3390/su9112006</v>
      </c>
      <c r="BG101" s="3" t="s">
        <v>74</v>
      </c>
      <c r="BH101" s="3" t="s">
        <v>74</v>
      </c>
      <c r="BI101" s="3">
        <v>16</v>
      </c>
      <c r="BJ101" s="3" t="s">
        <v>153</v>
      </c>
      <c r="BK101" s="3" t="s">
        <v>154</v>
      </c>
      <c r="BL101" s="3" t="s">
        <v>155</v>
      </c>
      <c r="BM101" s="3" t="s">
        <v>2294</v>
      </c>
      <c r="BN101" s="3" t="s">
        <v>74</v>
      </c>
      <c r="BO101" s="3" t="s">
        <v>133</v>
      </c>
      <c r="BP101" s="3" t="s">
        <v>74</v>
      </c>
      <c r="BQ101" s="3" t="s">
        <v>74</v>
      </c>
      <c r="BR101" s="3" t="s">
        <v>101</v>
      </c>
      <c r="BS101" s="3" t="s">
        <v>2295</v>
      </c>
      <c r="BT101" s="3" t="str">
        <f>HYPERLINK("https%3A%2F%2Fwww.webofscience.com%2Fwos%2Fwoscc%2Ffull-record%2FWOS:000416793400086","View Full Record in Web of Science")</f>
        <v>View Full Record in Web of Science</v>
      </c>
      <c r="BU101" s="3"/>
      <c r="BV101" s="3"/>
      <c r="BW101" s="1"/>
    </row>
    <row r="102" spans="1:75" x14ac:dyDescent="0.25">
      <c r="A102" s="3" t="s">
        <v>103</v>
      </c>
      <c r="B102" s="3" t="s">
        <v>2296</v>
      </c>
      <c r="C102" s="3" t="s">
        <v>74</v>
      </c>
      <c r="D102" s="3" t="s">
        <v>2297</v>
      </c>
      <c r="E102" s="3" t="s">
        <v>74</v>
      </c>
      <c r="F102" s="3" t="s">
        <v>2298</v>
      </c>
      <c r="G102" s="3" t="s">
        <v>74</v>
      </c>
      <c r="H102" s="3" t="s">
        <v>74</v>
      </c>
      <c r="I102" s="3" t="s">
        <v>2299</v>
      </c>
      <c r="J102" s="3" t="s">
        <v>2300</v>
      </c>
      <c r="K102" s="3" t="s">
        <v>1326</v>
      </c>
      <c r="L102" s="3" t="s">
        <v>74</v>
      </c>
      <c r="M102" s="3" t="s">
        <v>110</v>
      </c>
      <c r="N102" s="3" t="s">
        <v>111</v>
      </c>
      <c r="O102" s="3" t="s">
        <v>2301</v>
      </c>
      <c r="P102" s="3" t="s">
        <v>2302</v>
      </c>
      <c r="Q102" s="3" t="s">
        <v>2303</v>
      </c>
      <c r="R102" s="3" t="s">
        <v>74</v>
      </c>
      <c r="S102" s="3" t="s">
        <v>74</v>
      </c>
      <c r="T102" s="3" t="s">
        <v>2304</v>
      </c>
      <c r="U102" s="3" t="s">
        <v>2305</v>
      </c>
      <c r="V102" s="3" t="s">
        <v>2306</v>
      </c>
      <c r="W102" s="3" t="s">
        <v>2307</v>
      </c>
      <c r="X102" s="3" t="s">
        <v>2308</v>
      </c>
      <c r="Y102" s="3" t="s">
        <v>2309</v>
      </c>
      <c r="Z102" s="3" t="s">
        <v>2310</v>
      </c>
      <c r="AA102" s="3" t="s">
        <v>2311</v>
      </c>
      <c r="AB102" s="3" t="s">
        <v>2312</v>
      </c>
      <c r="AC102" s="3" t="s">
        <v>74</v>
      </c>
      <c r="AD102" s="3" t="s">
        <v>74</v>
      </c>
      <c r="AE102" s="3" t="s">
        <v>74</v>
      </c>
      <c r="AF102" s="3" t="s">
        <v>74</v>
      </c>
      <c r="AG102" s="3">
        <v>66</v>
      </c>
      <c r="AH102" s="3">
        <v>8</v>
      </c>
      <c r="AI102" s="3">
        <v>9</v>
      </c>
      <c r="AJ102" s="3">
        <v>0</v>
      </c>
      <c r="AK102" s="3">
        <v>1</v>
      </c>
      <c r="AL102" s="3" t="s">
        <v>374</v>
      </c>
      <c r="AM102" s="3" t="s">
        <v>375</v>
      </c>
      <c r="AN102" s="3" t="s">
        <v>376</v>
      </c>
      <c r="AO102" s="3" t="s">
        <v>1340</v>
      </c>
      <c r="AP102" s="3" t="s">
        <v>1341</v>
      </c>
      <c r="AQ102" s="3" t="s">
        <v>2313</v>
      </c>
      <c r="AR102" s="3" t="s">
        <v>1343</v>
      </c>
      <c r="AS102" s="3" t="s">
        <v>74</v>
      </c>
      <c r="AT102" s="3" t="s">
        <v>74</v>
      </c>
      <c r="AU102" s="3">
        <v>2019</v>
      </c>
      <c r="AV102" s="3">
        <v>11592</v>
      </c>
      <c r="AW102" s="3" t="s">
        <v>74</v>
      </c>
      <c r="AX102" s="3" t="s">
        <v>74</v>
      </c>
      <c r="AY102" s="3" t="s">
        <v>74</v>
      </c>
      <c r="AZ102" s="3" t="s">
        <v>74</v>
      </c>
      <c r="BA102" s="3" t="s">
        <v>74</v>
      </c>
      <c r="BB102" s="3">
        <v>357</v>
      </c>
      <c r="BC102" s="3">
        <v>375</v>
      </c>
      <c r="BD102" s="3" t="s">
        <v>74</v>
      </c>
      <c r="BE102" s="3" t="s">
        <v>2314</v>
      </c>
      <c r="BF102" s="3" t="str">
        <f>HYPERLINK("http://dx.doi.org/10.1007/978-3-030-22012-9_26","http://dx.doi.org/10.1007/978-3-030-22012-9_26")</f>
        <v>http://dx.doi.org/10.1007/978-3-030-22012-9_26</v>
      </c>
      <c r="BG102" s="3" t="s">
        <v>74</v>
      </c>
      <c r="BH102" s="3" t="s">
        <v>74</v>
      </c>
      <c r="BI102" s="3">
        <v>19</v>
      </c>
      <c r="BJ102" s="3" t="s">
        <v>2315</v>
      </c>
      <c r="BK102" s="3" t="s">
        <v>130</v>
      </c>
      <c r="BL102" s="3" t="s">
        <v>2316</v>
      </c>
      <c r="BM102" s="3" t="s">
        <v>2317</v>
      </c>
      <c r="BN102" s="3" t="s">
        <v>74</v>
      </c>
      <c r="BO102" s="3" t="s">
        <v>74</v>
      </c>
      <c r="BP102" s="3" t="s">
        <v>74</v>
      </c>
      <c r="BQ102" s="3" t="s">
        <v>74</v>
      </c>
      <c r="BR102" s="3" t="s">
        <v>101</v>
      </c>
      <c r="BS102" s="3" t="s">
        <v>2318</v>
      </c>
      <c r="BT102" s="3" t="str">
        <f>HYPERLINK("https%3A%2F%2Fwww.webofscience.com%2Fwos%2Fwoscc%2Ffull-record%2FWOS:001546518300026","View Full Record in Web of Science")</f>
        <v>View Full Record in Web of Science</v>
      </c>
      <c r="BU102" s="3"/>
      <c r="BV102" s="3"/>
      <c r="BW102" s="1"/>
    </row>
    <row r="103" spans="1:75" x14ac:dyDescent="0.25">
      <c r="A103" s="3" t="s">
        <v>72</v>
      </c>
      <c r="B103" s="3" t="s">
        <v>2319</v>
      </c>
      <c r="C103" s="3" t="s">
        <v>74</v>
      </c>
      <c r="D103" s="3" t="s">
        <v>74</v>
      </c>
      <c r="E103" s="3" t="s">
        <v>74</v>
      </c>
      <c r="F103" s="3" t="s">
        <v>2320</v>
      </c>
      <c r="G103" s="3" t="s">
        <v>74</v>
      </c>
      <c r="H103" s="3" t="s">
        <v>74</v>
      </c>
      <c r="I103" s="3" t="s">
        <v>2321</v>
      </c>
      <c r="J103" s="3" t="s">
        <v>1861</v>
      </c>
      <c r="K103" s="3" t="s">
        <v>74</v>
      </c>
      <c r="L103" s="3" t="s">
        <v>74</v>
      </c>
      <c r="M103" s="3" t="s">
        <v>110</v>
      </c>
      <c r="N103" s="3" t="s">
        <v>216</v>
      </c>
      <c r="O103" s="3" t="s">
        <v>74</v>
      </c>
      <c r="P103" s="3" t="s">
        <v>74</v>
      </c>
      <c r="Q103" s="3" t="s">
        <v>74</v>
      </c>
      <c r="R103" s="3" t="s">
        <v>74</v>
      </c>
      <c r="S103" s="3" t="s">
        <v>74</v>
      </c>
      <c r="T103" s="3" t="s">
        <v>2322</v>
      </c>
      <c r="U103" s="3" t="s">
        <v>2323</v>
      </c>
      <c r="V103" s="3" t="s">
        <v>2324</v>
      </c>
      <c r="W103" s="3" t="s">
        <v>2325</v>
      </c>
      <c r="X103" s="3" t="s">
        <v>2326</v>
      </c>
      <c r="Y103" s="3" t="s">
        <v>2327</v>
      </c>
      <c r="Z103" s="3" t="s">
        <v>2328</v>
      </c>
      <c r="AA103" s="3" t="s">
        <v>2329</v>
      </c>
      <c r="AB103" s="3" t="s">
        <v>74</v>
      </c>
      <c r="AC103" s="3" t="s">
        <v>74</v>
      </c>
      <c r="AD103" s="3" t="s">
        <v>74</v>
      </c>
      <c r="AE103" s="3" t="s">
        <v>74</v>
      </c>
      <c r="AF103" s="3" t="s">
        <v>74</v>
      </c>
      <c r="AG103" s="3">
        <v>88</v>
      </c>
      <c r="AH103" s="3">
        <v>4</v>
      </c>
      <c r="AI103" s="3">
        <v>8</v>
      </c>
      <c r="AJ103" s="3">
        <v>0</v>
      </c>
      <c r="AK103" s="3">
        <v>15</v>
      </c>
      <c r="AL103" s="3" t="s">
        <v>145</v>
      </c>
      <c r="AM103" s="3" t="s">
        <v>146</v>
      </c>
      <c r="AN103" s="3" t="s">
        <v>279</v>
      </c>
      <c r="AO103" s="3" t="s">
        <v>74</v>
      </c>
      <c r="AP103" s="3" t="s">
        <v>1873</v>
      </c>
      <c r="AQ103" s="3" t="s">
        <v>74</v>
      </c>
      <c r="AR103" s="3" t="s">
        <v>1874</v>
      </c>
      <c r="AS103" s="3" t="s">
        <v>1875</v>
      </c>
      <c r="AT103" s="3" t="s">
        <v>283</v>
      </c>
      <c r="AU103" s="3">
        <v>2019</v>
      </c>
      <c r="AV103" s="3">
        <v>9</v>
      </c>
      <c r="AW103" s="3">
        <v>16</v>
      </c>
      <c r="AX103" s="3" t="s">
        <v>74</v>
      </c>
      <c r="AY103" s="3" t="s">
        <v>74</v>
      </c>
      <c r="AZ103" s="3" t="s">
        <v>74</v>
      </c>
      <c r="BA103" s="3" t="s">
        <v>74</v>
      </c>
      <c r="BB103" s="3" t="s">
        <v>74</v>
      </c>
      <c r="BC103" s="3" t="s">
        <v>74</v>
      </c>
      <c r="BD103" s="3">
        <v>3247</v>
      </c>
      <c r="BE103" s="3" t="s">
        <v>2330</v>
      </c>
      <c r="BF103" s="3" t="str">
        <f>HYPERLINK("http://dx.doi.org/10.3390/app9163247","http://dx.doi.org/10.3390/app9163247")</f>
        <v>http://dx.doi.org/10.3390/app9163247</v>
      </c>
      <c r="BG103" s="3" t="s">
        <v>74</v>
      </c>
      <c r="BH103" s="3" t="s">
        <v>74</v>
      </c>
      <c r="BI103" s="3">
        <v>21</v>
      </c>
      <c r="BJ103" s="3" t="s">
        <v>1877</v>
      </c>
      <c r="BK103" s="3" t="s">
        <v>154</v>
      </c>
      <c r="BL103" s="3" t="s">
        <v>1878</v>
      </c>
      <c r="BM103" s="3" t="s">
        <v>2331</v>
      </c>
      <c r="BN103" s="3" t="s">
        <v>74</v>
      </c>
      <c r="BO103" s="3" t="s">
        <v>2332</v>
      </c>
      <c r="BP103" s="3" t="s">
        <v>74</v>
      </c>
      <c r="BQ103" s="3" t="s">
        <v>74</v>
      </c>
      <c r="BR103" s="3" t="s">
        <v>101</v>
      </c>
      <c r="BS103" s="3" t="s">
        <v>2333</v>
      </c>
      <c r="BT103" s="3" t="str">
        <f>HYPERLINK("https%3A%2F%2Fwww.webofscience.com%2Fwos%2Fwoscc%2Ffull-record%2FWOS:000484444100041","View Full Record in Web of Science")</f>
        <v>View Full Record in Web of Science</v>
      </c>
      <c r="BU103" s="3"/>
      <c r="BV103" s="3"/>
      <c r="BW103" s="1"/>
    </row>
    <row r="104" spans="1:75" x14ac:dyDescent="0.25">
      <c r="A104" s="3" t="s">
        <v>72</v>
      </c>
      <c r="B104" s="3" t="s">
        <v>2334</v>
      </c>
      <c r="C104" s="3" t="s">
        <v>74</v>
      </c>
      <c r="D104" s="3" t="s">
        <v>74</v>
      </c>
      <c r="E104" s="3" t="s">
        <v>74</v>
      </c>
      <c r="F104" s="3" t="s">
        <v>2335</v>
      </c>
      <c r="G104" s="3" t="s">
        <v>74</v>
      </c>
      <c r="H104" s="3" t="s">
        <v>74</v>
      </c>
      <c r="I104" s="3" t="s">
        <v>2336</v>
      </c>
      <c r="J104" s="3" t="s">
        <v>2337</v>
      </c>
      <c r="K104" s="3" t="s">
        <v>74</v>
      </c>
      <c r="L104" s="3" t="s">
        <v>74</v>
      </c>
      <c r="M104" s="3" t="s">
        <v>110</v>
      </c>
      <c r="N104" s="3" t="s">
        <v>79</v>
      </c>
      <c r="O104" s="3" t="s">
        <v>74</v>
      </c>
      <c r="P104" s="3" t="s">
        <v>74</v>
      </c>
      <c r="Q104" s="3" t="s">
        <v>74</v>
      </c>
      <c r="R104" s="3" t="s">
        <v>74</v>
      </c>
      <c r="S104" s="3" t="s">
        <v>74</v>
      </c>
      <c r="T104" s="3" t="s">
        <v>2338</v>
      </c>
      <c r="U104" s="3" t="s">
        <v>2339</v>
      </c>
      <c r="V104" s="3" t="s">
        <v>2340</v>
      </c>
      <c r="W104" s="3" t="s">
        <v>2341</v>
      </c>
      <c r="X104" s="3" t="s">
        <v>2342</v>
      </c>
      <c r="Y104" s="3" t="s">
        <v>2343</v>
      </c>
      <c r="Z104" s="3" t="s">
        <v>2344</v>
      </c>
      <c r="AA104" s="3" t="s">
        <v>2345</v>
      </c>
      <c r="AB104" s="3" t="s">
        <v>2346</v>
      </c>
      <c r="AC104" s="3" t="s">
        <v>74</v>
      </c>
      <c r="AD104" s="3" t="s">
        <v>74</v>
      </c>
      <c r="AE104" s="3" t="s">
        <v>74</v>
      </c>
      <c r="AF104" s="3" t="s">
        <v>74</v>
      </c>
      <c r="AG104" s="3">
        <v>25</v>
      </c>
      <c r="AH104" s="3">
        <v>24</v>
      </c>
      <c r="AI104" s="3">
        <v>27</v>
      </c>
      <c r="AJ104" s="3">
        <v>2</v>
      </c>
      <c r="AK104" s="3">
        <v>53</v>
      </c>
      <c r="AL104" s="3" t="s">
        <v>2347</v>
      </c>
      <c r="AM104" s="3" t="s">
        <v>2348</v>
      </c>
      <c r="AN104" s="3" t="s">
        <v>2349</v>
      </c>
      <c r="AO104" s="3" t="s">
        <v>2350</v>
      </c>
      <c r="AP104" s="3" t="s">
        <v>2351</v>
      </c>
      <c r="AQ104" s="3" t="s">
        <v>74</v>
      </c>
      <c r="AR104" s="3" t="s">
        <v>2352</v>
      </c>
      <c r="AS104" s="3" t="s">
        <v>2353</v>
      </c>
      <c r="AT104" s="3" t="s">
        <v>74</v>
      </c>
      <c r="AU104" s="3">
        <v>2017</v>
      </c>
      <c r="AV104" s="3">
        <v>32</v>
      </c>
      <c r="AW104" s="3">
        <v>3</v>
      </c>
      <c r="AX104" s="3" t="s">
        <v>74</v>
      </c>
      <c r="AY104" s="3" t="s">
        <v>74</v>
      </c>
      <c r="AZ104" s="3" t="s">
        <v>74</v>
      </c>
      <c r="BA104" s="3" t="s">
        <v>74</v>
      </c>
      <c r="BB104" s="3">
        <v>262</v>
      </c>
      <c r="BC104" s="3">
        <v>271</v>
      </c>
      <c r="BD104" s="3" t="s">
        <v>74</v>
      </c>
      <c r="BE104" s="3" t="s">
        <v>2354</v>
      </c>
      <c r="BF104" s="3" t="str">
        <f>HYPERLINK("http://dx.doi.org/10.3846/16484142.2016.1146998","http://dx.doi.org/10.3846/16484142.2016.1146998")</f>
        <v>http://dx.doi.org/10.3846/16484142.2016.1146998</v>
      </c>
      <c r="BG104" s="3" t="s">
        <v>74</v>
      </c>
      <c r="BH104" s="3" t="s">
        <v>74</v>
      </c>
      <c r="BI104" s="3">
        <v>10</v>
      </c>
      <c r="BJ104" s="3" t="s">
        <v>2355</v>
      </c>
      <c r="BK104" s="3" t="s">
        <v>179</v>
      </c>
      <c r="BL104" s="3" t="s">
        <v>131</v>
      </c>
      <c r="BM104" s="3" t="s">
        <v>2356</v>
      </c>
      <c r="BN104" s="3" t="s">
        <v>74</v>
      </c>
      <c r="BO104" s="3" t="s">
        <v>133</v>
      </c>
      <c r="BP104" s="3" t="s">
        <v>74</v>
      </c>
      <c r="BQ104" s="3" t="s">
        <v>74</v>
      </c>
      <c r="BR104" s="3" t="s">
        <v>101</v>
      </c>
      <c r="BS104" s="3" t="s">
        <v>2357</v>
      </c>
      <c r="BT104" s="3" t="str">
        <f>HYPERLINK("https%3A%2F%2Fwww.webofscience.com%2Fwos%2Fwoscc%2Ffull-record%2FWOS:000405336100003","View Full Record in Web of Science")</f>
        <v>View Full Record in Web of Science</v>
      </c>
      <c r="BU104" s="3"/>
      <c r="BV104" s="3"/>
      <c r="BW104" s="1"/>
    </row>
    <row r="105" spans="1:75" x14ac:dyDescent="0.25">
      <c r="A105" s="3" t="s">
        <v>72</v>
      </c>
      <c r="B105" s="3" t="s">
        <v>2358</v>
      </c>
      <c r="C105" s="3" t="s">
        <v>74</v>
      </c>
      <c r="D105" s="3" t="s">
        <v>74</v>
      </c>
      <c r="E105" s="3" t="s">
        <v>74</v>
      </c>
      <c r="F105" s="3" t="s">
        <v>2359</v>
      </c>
      <c r="G105" s="3" t="s">
        <v>74</v>
      </c>
      <c r="H105" s="3" t="s">
        <v>74</v>
      </c>
      <c r="I105" s="3" t="s">
        <v>2360</v>
      </c>
      <c r="J105" s="3" t="s">
        <v>2361</v>
      </c>
      <c r="K105" s="3" t="s">
        <v>74</v>
      </c>
      <c r="L105" s="3" t="s">
        <v>74</v>
      </c>
      <c r="M105" s="3" t="s">
        <v>110</v>
      </c>
      <c r="N105" s="3" t="s">
        <v>1784</v>
      </c>
      <c r="O105" s="3" t="s">
        <v>2362</v>
      </c>
      <c r="P105" s="3" t="s">
        <v>2363</v>
      </c>
      <c r="Q105" s="3" t="s">
        <v>2364</v>
      </c>
      <c r="R105" s="3" t="s">
        <v>74</v>
      </c>
      <c r="S105" s="3" t="s">
        <v>2365</v>
      </c>
      <c r="T105" s="3" t="s">
        <v>2366</v>
      </c>
      <c r="U105" s="3" t="s">
        <v>2367</v>
      </c>
      <c r="V105" s="3" t="s">
        <v>2368</v>
      </c>
      <c r="W105" s="3" t="s">
        <v>2369</v>
      </c>
      <c r="X105" s="3" t="s">
        <v>2370</v>
      </c>
      <c r="Y105" s="3" t="s">
        <v>2371</v>
      </c>
      <c r="Z105" s="3" t="s">
        <v>2372</v>
      </c>
      <c r="AA105" s="3" t="s">
        <v>2373</v>
      </c>
      <c r="AB105" s="3" t="s">
        <v>2374</v>
      </c>
      <c r="AC105" s="3" t="s">
        <v>2375</v>
      </c>
      <c r="AD105" s="3" t="s">
        <v>2376</v>
      </c>
      <c r="AE105" s="3" t="s">
        <v>2377</v>
      </c>
      <c r="AF105" s="3" t="s">
        <v>74</v>
      </c>
      <c r="AG105" s="3">
        <v>51</v>
      </c>
      <c r="AH105" s="3">
        <v>38</v>
      </c>
      <c r="AI105" s="3">
        <v>47</v>
      </c>
      <c r="AJ105" s="3">
        <v>0</v>
      </c>
      <c r="AK105" s="3">
        <v>64</v>
      </c>
      <c r="AL105" s="3" t="s">
        <v>872</v>
      </c>
      <c r="AM105" s="3" t="s">
        <v>873</v>
      </c>
      <c r="AN105" s="3" t="s">
        <v>874</v>
      </c>
      <c r="AO105" s="3" t="s">
        <v>2378</v>
      </c>
      <c r="AP105" s="3" t="s">
        <v>2379</v>
      </c>
      <c r="AQ105" s="3" t="s">
        <v>74</v>
      </c>
      <c r="AR105" s="3" t="s">
        <v>2380</v>
      </c>
      <c r="AS105" s="3" t="s">
        <v>2381</v>
      </c>
      <c r="AT105" s="3" t="s">
        <v>74</v>
      </c>
      <c r="AU105" s="3">
        <v>2016</v>
      </c>
      <c r="AV105" s="3">
        <v>12</v>
      </c>
      <c r="AW105" s="3">
        <v>7</v>
      </c>
      <c r="AX105" s="3" t="s">
        <v>74</v>
      </c>
      <c r="AY105" s="3" t="s">
        <v>74</v>
      </c>
      <c r="AZ105" s="3" t="s">
        <v>880</v>
      </c>
      <c r="BA105" s="3" t="s">
        <v>74</v>
      </c>
      <c r="BB105" s="3">
        <v>650</v>
      </c>
      <c r="BC105" s="3">
        <v>673</v>
      </c>
      <c r="BD105" s="3" t="s">
        <v>74</v>
      </c>
      <c r="BE105" s="3" t="s">
        <v>2382</v>
      </c>
      <c r="BF105" s="3" t="str">
        <f>HYPERLINK("http://dx.doi.org/10.1080/23249935.2016.1189723","http://dx.doi.org/10.1080/23249935.2016.1189723")</f>
        <v>http://dx.doi.org/10.1080/23249935.2016.1189723</v>
      </c>
      <c r="BG105" s="3" t="s">
        <v>74</v>
      </c>
      <c r="BH105" s="3" t="s">
        <v>74</v>
      </c>
      <c r="BI105" s="3">
        <v>24</v>
      </c>
      <c r="BJ105" s="3" t="s">
        <v>129</v>
      </c>
      <c r="BK105" s="3" t="s">
        <v>1803</v>
      </c>
      <c r="BL105" s="3" t="s">
        <v>131</v>
      </c>
      <c r="BM105" s="3" t="s">
        <v>2383</v>
      </c>
      <c r="BN105" s="3" t="s">
        <v>74</v>
      </c>
      <c r="BO105" s="3" t="s">
        <v>74</v>
      </c>
      <c r="BP105" s="3" t="s">
        <v>74</v>
      </c>
      <c r="BQ105" s="3" t="s">
        <v>74</v>
      </c>
      <c r="BR105" s="3" t="s">
        <v>101</v>
      </c>
      <c r="BS105" s="3" t="s">
        <v>2384</v>
      </c>
      <c r="BT105" s="3" t="str">
        <f>HYPERLINK("https%3A%2F%2Fwww.webofscience.com%2Fwos%2Fwoscc%2Ffull-record%2FWOS:000379550000006","View Full Record in Web of Science")</f>
        <v>View Full Record in Web of Science</v>
      </c>
      <c r="BU105" s="3"/>
      <c r="BV105" s="3"/>
      <c r="BW105" s="1"/>
    </row>
    <row r="106" spans="1:75" x14ac:dyDescent="0.25">
      <c r="A106" s="3" t="s">
        <v>103</v>
      </c>
      <c r="B106" s="3" t="s">
        <v>1965</v>
      </c>
      <c r="C106" s="3" t="s">
        <v>74</v>
      </c>
      <c r="D106" s="3" t="s">
        <v>74</v>
      </c>
      <c r="E106" s="3" t="s">
        <v>199</v>
      </c>
      <c r="F106" s="3" t="s">
        <v>1966</v>
      </c>
      <c r="G106" s="3" t="s">
        <v>74</v>
      </c>
      <c r="H106" s="3" t="s">
        <v>74</v>
      </c>
      <c r="I106" s="3" t="s">
        <v>1967</v>
      </c>
      <c r="J106" s="3" t="s">
        <v>2385</v>
      </c>
      <c r="K106" s="3" t="s">
        <v>1969</v>
      </c>
      <c r="L106" s="3" t="s">
        <v>74</v>
      </c>
      <c r="M106" s="3" t="s">
        <v>110</v>
      </c>
      <c r="N106" s="3" t="s">
        <v>111</v>
      </c>
      <c r="O106" s="3" t="s">
        <v>2386</v>
      </c>
      <c r="P106" s="3" t="s">
        <v>2387</v>
      </c>
      <c r="Q106" s="3" t="s">
        <v>2388</v>
      </c>
      <c r="R106" s="3" t="s">
        <v>74</v>
      </c>
      <c r="S106" s="3" t="s">
        <v>74</v>
      </c>
      <c r="T106" s="3" t="s">
        <v>1973</v>
      </c>
      <c r="U106" s="3" t="s">
        <v>74</v>
      </c>
      <c r="V106" s="3" t="s">
        <v>2389</v>
      </c>
      <c r="W106" s="3" t="s">
        <v>2390</v>
      </c>
      <c r="X106" s="3" t="s">
        <v>2391</v>
      </c>
      <c r="Y106" s="3" t="s">
        <v>2392</v>
      </c>
      <c r="Z106" s="3" t="s">
        <v>2393</v>
      </c>
      <c r="AA106" s="3" t="s">
        <v>1980</v>
      </c>
      <c r="AB106" s="3" t="s">
        <v>74</v>
      </c>
      <c r="AC106" s="3" t="s">
        <v>2394</v>
      </c>
      <c r="AD106" s="3" t="s">
        <v>2394</v>
      </c>
      <c r="AE106" s="3" t="s">
        <v>1982</v>
      </c>
      <c r="AF106" s="3" t="s">
        <v>74</v>
      </c>
      <c r="AG106" s="3">
        <v>18</v>
      </c>
      <c r="AH106" s="3">
        <v>5</v>
      </c>
      <c r="AI106" s="3">
        <v>5</v>
      </c>
      <c r="AJ106" s="3">
        <v>0</v>
      </c>
      <c r="AK106" s="3">
        <v>7</v>
      </c>
      <c r="AL106" s="3" t="s">
        <v>199</v>
      </c>
      <c r="AM106" s="3" t="s">
        <v>200</v>
      </c>
      <c r="AN106" s="3" t="s">
        <v>201</v>
      </c>
      <c r="AO106" s="3" t="s">
        <v>1983</v>
      </c>
      <c r="AP106" s="3" t="s">
        <v>74</v>
      </c>
      <c r="AQ106" s="3" t="s">
        <v>2395</v>
      </c>
      <c r="AR106" s="3" t="s">
        <v>1985</v>
      </c>
      <c r="AS106" s="3" t="s">
        <v>74</v>
      </c>
      <c r="AT106" s="3" t="s">
        <v>74</v>
      </c>
      <c r="AU106" s="3">
        <v>2018</v>
      </c>
      <c r="AV106" s="3" t="s">
        <v>74</v>
      </c>
      <c r="AW106" s="3" t="s">
        <v>74</v>
      </c>
      <c r="AX106" s="3" t="s">
        <v>74</v>
      </c>
      <c r="AY106" s="3" t="s">
        <v>74</v>
      </c>
      <c r="AZ106" s="3" t="s">
        <v>74</v>
      </c>
      <c r="BA106" s="3" t="s">
        <v>74</v>
      </c>
      <c r="BB106" s="3">
        <v>606</v>
      </c>
      <c r="BC106" s="3">
        <v>611</v>
      </c>
      <c r="BD106" s="3" t="s">
        <v>74</v>
      </c>
      <c r="BE106" s="3" t="s">
        <v>74</v>
      </c>
      <c r="BF106" s="3" t="s">
        <v>74</v>
      </c>
      <c r="BG106" s="3" t="s">
        <v>74</v>
      </c>
      <c r="BH106" s="3" t="s">
        <v>74</v>
      </c>
      <c r="BI106" s="3">
        <v>6</v>
      </c>
      <c r="BJ106" s="3" t="s">
        <v>1225</v>
      </c>
      <c r="BK106" s="3" t="s">
        <v>208</v>
      </c>
      <c r="BL106" s="3" t="s">
        <v>1226</v>
      </c>
      <c r="BM106" s="3" t="s">
        <v>2396</v>
      </c>
      <c r="BN106" s="3" t="s">
        <v>74</v>
      </c>
      <c r="BO106" s="3" t="s">
        <v>74</v>
      </c>
      <c r="BP106" s="3" t="s">
        <v>74</v>
      </c>
      <c r="BQ106" s="3" t="s">
        <v>74</v>
      </c>
      <c r="BR106" s="3" t="s">
        <v>101</v>
      </c>
      <c r="BS106" s="3" t="s">
        <v>2397</v>
      </c>
      <c r="BT106" s="3" t="str">
        <f>HYPERLINK("https%3A%2F%2Fwww.webofscience.com%2Fwos%2Fwoscc%2Ffull-record%2FWOS:000435253700114","View Full Record in Web of Science")</f>
        <v>View Full Record in Web of Science</v>
      </c>
      <c r="BU106" s="3"/>
      <c r="BV106" s="3"/>
      <c r="BW106" s="1"/>
    </row>
    <row r="107" spans="1:75" x14ac:dyDescent="0.25">
      <c r="A107" s="3" t="s">
        <v>72</v>
      </c>
      <c r="B107" s="3" t="s">
        <v>2398</v>
      </c>
      <c r="C107" s="3" t="s">
        <v>74</v>
      </c>
      <c r="D107" s="3" t="s">
        <v>74</v>
      </c>
      <c r="E107" s="3" t="s">
        <v>74</v>
      </c>
      <c r="F107" s="3" t="s">
        <v>2399</v>
      </c>
      <c r="G107" s="3" t="s">
        <v>74</v>
      </c>
      <c r="H107" s="3" t="s">
        <v>74</v>
      </c>
      <c r="I107" s="3" t="s">
        <v>2400</v>
      </c>
      <c r="J107" s="3" t="s">
        <v>138</v>
      </c>
      <c r="K107" s="3" t="s">
        <v>74</v>
      </c>
      <c r="L107" s="3" t="s">
        <v>74</v>
      </c>
      <c r="M107" s="3" t="s">
        <v>110</v>
      </c>
      <c r="N107" s="3" t="s">
        <v>79</v>
      </c>
      <c r="O107" s="3" t="s">
        <v>74</v>
      </c>
      <c r="P107" s="3" t="s">
        <v>74</v>
      </c>
      <c r="Q107" s="3" t="s">
        <v>74</v>
      </c>
      <c r="R107" s="3" t="s">
        <v>74</v>
      </c>
      <c r="S107" s="3" t="s">
        <v>74</v>
      </c>
      <c r="T107" s="3" t="s">
        <v>2401</v>
      </c>
      <c r="U107" s="3" t="s">
        <v>2402</v>
      </c>
      <c r="V107" s="3" t="s">
        <v>2403</v>
      </c>
      <c r="W107" s="3" t="s">
        <v>2404</v>
      </c>
      <c r="X107" s="3" t="s">
        <v>2405</v>
      </c>
      <c r="Y107" s="3" t="s">
        <v>2406</v>
      </c>
      <c r="Z107" s="3" t="s">
        <v>2407</v>
      </c>
      <c r="AA107" s="3" t="s">
        <v>74</v>
      </c>
      <c r="AB107" s="3" t="s">
        <v>74</v>
      </c>
      <c r="AC107" s="3" t="s">
        <v>2408</v>
      </c>
      <c r="AD107" s="3" t="s">
        <v>2408</v>
      </c>
      <c r="AE107" s="3" t="s">
        <v>2409</v>
      </c>
      <c r="AF107" s="3" t="s">
        <v>74</v>
      </c>
      <c r="AG107" s="3">
        <v>16</v>
      </c>
      <c r="AH107" s="3">
        <v>38</v>
      </c>
      <c r="AI107" s="3">
        <v>46</v>
      </c>
      <c r="AJ107" s="3">
        <v>2</v>
      </c>
      <c r="AK107" s="3">
        <v>99</v>
      </c>
      <c r="AL107" s="3" t="s">
        <v>145</v>
      </c>
      <c r="AM107" s="3" t="s">
        <v>146</v>
      </c>
      <c r="AN107" s="3" t="s">
        <v>279</v>
      </c>
      <c r="AO107" s="3" t="s">
        <v>74</v>
      </c>
      <c r="AP107" s="3" t="s">
        <v>148</v>
      </c>
      <c r="AQ107" s="3" t="s">
        <v>74</v>
      </c>
      <c r="AR107" s="3" t="s">
        <v>149</v>
      </c>
      <c r="AS107" s="3" t="s">
        <v>150</v>
      </c>
      <c r="AT107" s="3" t="s">
        <v>592</v>
      </c>
      <c r="AU107" s="3">
        <v>2015</v>
      </c>
      <c r="AV107" s="3">
        <v>7</v>
      </c>
      <c r="AW107" s="3">
        <v>11</v>
      </c>
      <c r="AX107" s="3" t="s">
        <v>74</v>
      </c>
      <c r="AY107" s="3" t="s">
        <v>74</v>
      </c>
      <c r="AZ107" s="3" t="s">
        <v>74</v>
      </c>
      <c r="BA107" s="3" t="s">
        <v>74</v>
      </c>
      <c r="BB107" s="3">
        <v>14873</v>
      </c>
      <c r="BC107" s="3">
        <v>14894</v>
      </c>
      <c r="BD107" s="3" t="s">
        <v>74</v>
      </c>
      <c r="BE107" s="3" t="s">
        <v>2410</v>
      </c>
      <c r="BF107" s="3" t="str">
        <f>HYPERLINK("http://dx.doi.org/10.3390/su71114873","http://dx.doi.org/10.3390/su71114873")</f>
        <v>http://dx.doi.org/10.3390/su71114873</v>
      </c>
      <c r="BG107" s="3" t="s">
        <v>74</v>
      </c>
      <c r="BH107" s="3" t="s">
        <v>74</v>
      </c>
      <c r="BI107" s="3">
        <v>22</v>
      </c>
      <c r="BJ107" s="3" t="s">
        <v>153</v>
      </c>
      <c r="BK107" s="3" t="s">
        <v>154</v>
      </c>
      <c r="BL107" s="3" t="s">
        <v>155</v>
      </c>
      <c r="BM107" s="3" t="s">
        <v>2411</v>
      </c>
      <c r="BN107" s="3" t="s">
        <v>74</v>
      </c>
      <c r="BO107" s="3" t="s">
        <v>133</v>
      </c>
      <c r="BP107" s="3" t="s">
        <v>74</v>
      </c>
      <c r="BQ107" s="3" t="s">
        <v>74</v>
      </c>
      <c r="BR107" s="3" t="s">
        <v>101</v>
      </c>
      <c r="BS107" s="3" t="s">
        <v>2412</v>
      </c>
      <c r="BT107" s="3" t="str">
        <f>HYPERLINK("https%3A%2F%2Fwww.webofscience.com%2Fwos%2Fwoscc%2Ffull-record%2FWOS:000369088600025","View Full Record in Web of Science")</f>
        <v>View Full Record in Web of Science</v>
      </c>
      <c r="BU107" s="3"/>
      <c r="BV107" s="3"/>
      <c r="BW107" s="1"/>
    </row>
    <row r="108" spans="1:75" x14ac:dyDescent="0.25">
      <c r="A108" s="3" t="s">
        <v>103</v>
      </c>
      <c r="B108" s="3" t="s">
        <v>1740</v>
      </c>
      <c r="C108" s="3" t="s">
        <v>74</v>
      </c>
      <c r="D108" s="3" t="s">
        <v>74</v>
      </c>
      <c r="E108" s="3" t="s">
        <v>199</v>
      </c>
      <c r="F108" s="3" t="s">
        <v>1741</v>
      </c>
      <c r="G108" s="3" t="s">
        <v>74</v>
      </c>
      <c r="H108" s="3" t="s">
        <v>74</v>
      </c>
      <c r="I108" s="3" t="s">
        <v>2413</v>
      </c>
      <c r="J108" s="3" t="s">
        <v>2414</v>
      </c>
      <c r="K108" s="3" t="s">
        <v>2415</v>
      </c>
      <c r="L108" s="3" t="s">
        <v>74</v>
      </c>
      <c r="M108" s="3" t="s">
        <v>110</v>
      </c>
      <c r="N108" s="3" t="s">
        <v>111</v>
      </c>
      <c r="O108" s="3" t="s">
        <v>2416</v>
      </c>
      <c r="P108" s="3" t="s">
        <v>2417</v>
      </c>
      <c r="Q108" s="3" t="s">
        <v>2418</v>
      </c>
      <c r="R108" s="3" t="s">
        <v>74</v>
      </c>
      <c r="S108" s="3" t="s">
        <v>74</v>
      </c>
      <c r="T108" s="3" t="s">
        <v>2419</v>
      </c>
      <c r="U108" s="3" t="s">
        <v>2420</v>
      </c>
      <c r="V108" s="3" t="s">
        <v>2421</v>
      </c>
      <c r="W108" s="3" t="s">
        <v>1747</v>
      </c>
      <c r="X108" s="3" t="s">
        <v>1748</v>
      </c>
      <c r="Y108" s="3" t="s">
        <v>1749</v>
      </c>
      <c r="Z108" s="3" t="s">
        <v>2422</v>
      </c>
      <c r="AA108" s="3" t="s">
        <v>74</v>
      </c>
      <c r="AB108" s="3" t="s">
        <v>74</v>
      </c>
      <c r="AC108" s="3" t="s">
        <v>1752</v>
      </c>
      <c r="AD108" s="3" t="s">
        <v>1752</v>
      </c>
      <c r="AE108" s="3" t="s">
        <v>2423</v>
      </c>
      <c r="AF108" s="3" t="s">
        <v>74</v>
      </c>
      <c r="AG108" s="3">
        <v>12</v>
      </c>
      <c r="AH108" s="3">
        <v>2</v>
      </c>
      <c r="AI108" s="3">
        <v>3</v>
      </c>
      <c r="AJ108" s="3">
        <v>0</v>
      </c>
      <c r="AK108" s="3">
        <v>0</v>
      </c>
      <c r="AL108" s="3" t="s">
        <v>199</v>
      </c>
      <c r="AM108" s="3" t="s">
        <v>200</v>
      </c>
      <c r="AN108" s="3" t="s">
        <v>201</v>
      </c>
      <c r="AO108" s="3" t="s">
        <v>2424</v>
      </c>
      <c r="AP108" s="3" t="s">
        <v>74</v>
      </c>
      <c r="AQ108" s="3" t="s">
        <v>2425</v>
      </c>
      <c r="AR108" s="3" t="s">
        <v>2426</v>
      </c>
      <c r="AS108" s="3" t="s">
        <v>74</v>
      </c>
      <c r="AT108" s="3" t="s">
        <v>74</v>
      </c>
      <c r="AU108" s="3">
        <v>2018</v>
      </c>
      <c r="AV108" s="3" t="s">
        <v>74</v>
      </c>
      <c r="AW108" s="3" t="s">
        <v>74</v>
      </c>
      <c r="AX108" s="3" t="s">
        <v>74</v>
      </c>
      <c r="AY108" s="3" t="s">
        <v>74</v>
      </c>
      <c r="AZ108" s="3" t="s">
        <v>74</v>
      </c>
      <c r="BA108" s="3" t="s">
        <v>74</v>
      </c>
      <c r="BB108" s="3" t="s">
        <v>74</v>
      </c>
      <c r="BC108" s="3" t="s">
        <v>74</v>
      </c>
      <c r="BD108" s="3" t="s">
        <v>74</v>
      </c>
      <c r="BE108" s="3" t="s">
        <v>74</v>
      </c>
      <c r="BF108" s="3" t="s">
        <v>74</v>
      </c>
      <c r="BG108" s="3" t="s">
        <v>74</v>
      </c>
      <c r="BH108" s="3" t="s">
        <v>74</v>
      </c>
      <c r="BI108" s="3">
        <v>5</v>
      </c>
      <c r="BJ108" s="3" t="s">
        <v>2355</v>
      </c>
      <c r="BK108" s="3" t="s">
        <v>208</v>
      </c>
      <c r="BL108" s="3" t="s">
        <v>131</v>
      </c>
      <c r="BM108" s="3" t="s">
        <v>2427</v>
      </c>
      <c r="BN108" s="3" t="s">
        <v>74</v>
      </c>
      <c r="BO108" s="3" t="s">
        <v>74</v>
      </c>
      <c r="BP108" s="3" t="s">
        <v>74</v>
      </c>
      <c r="BQ108" s="3" t="s">
        <v>74</v>
      </c>
      <c r="BR108" s="3" t="s">
        <v>101</v>
      </c>
      <c r="BS108" s="3" t="s">
        <v>2428</v>
      </c>
      <c r="BT108" s="3" t="str">
        <f>HYPERLINK("https%3A%2F%2Fwww.webofscience.com%2Fwos%2Fwoscc%2Ffull-record%2FWOS:000468872400354","View Full Record in Web of Science")</f>
        <v>View Full Record in Web of Science</v>
      </c>
      <c r="BU108" s="3"/>
      <c r="BV108" s="3"/>
      <c r="BW108" s="1"/>
    </row>
    <row r="109" spans="1:75" x14ac:dyDescent="0.25">
      <c r="A109" s="3" t="s">
        <v>103</v>
      </c>
      <c r="B109" s="3" t="s">
        <v>2429</v>
      </c>
      <c r="C109" s="3" t="s">
        <v>74</v>
      </c>
      <c r="D109" s="3" t="s">
        <v>2430</v>
      </c>
      <c r="E109" s="3" t="s">
        <v>199</v>
      </c>
      <c r="F109" s="3" t="s">
        <v>2431</v>
      </c>
      <c r="G109" s="3" t="s">
        <v>74</v>
      </c>
      <c r="H109" s="3" t="s">
        <v>74</v>
      </c>
      <c r="I109" s="3" t="s">
        <v>2432</v>
      </c>
      <c r="J109" s="3" t="s">
        <v>2433</v>
      </c>
      <c r="K109" s="3" t="s">
        <v>74</v>
      </c>
      <c r="L109" s="3" t="s">
        <v>74</v>
      </c>
      <c r="M109" s="3" t="s">
        <v>110</v>
      </c>
      <c r="N109" s="3" t="s">
        <v>111</v>
      </c>
      <c r="O109" s="3" t="s">
        <v>2434</v>
      </c>
      <c r="P109" s="3" t="s">
        <v>2435</v>
      </c>
      <c r="Q109" s="3" t="s">
        <v>2436</v>
      </c>
      <c r="R109" s="3" t="s">
        <v>74</v>
      </c>
      <c r="S109" s="3" t="s">
        <v>74</v>
      </c>
      <c r="T109" s="3" t="s">
        <v>2437</v>
      </c>
      <c r="U109" s="3" t="s">
        <v>2438</v>
      </c>
      <c r="V109" s="3" t="s">
        <v>2439</v>
      </c>
      <c r="W109" s="3" t="s">
        <v>2440</v>
      </c>
      <c r="X109" s="3" t="s">
        <v>2441</v>
      </c>
      <c r="Y109" s="3" t="s">
        <v>2442</v>
      </c>
      <c r="Z109" s="3" t="s">
        <v>74</v>
      </c>
      <c r="AA109" s="3" t="s">
        <v>2443</v>
      </c>
      <c r="AB109" s="3" t="s">
        <v>2444</v>
      </c>
      <c r="AC109" s="3" t="s">
        <v>74</v>
      </c>
      <c r="AD109" s="3" t="s">
        <v>74</v>
      </c>
      <c r="AE109" s="3" t="s">
        <v>74</v>
      </c>
      <c r="AF109" s="3" t="s">
        <v>74</v>
      </c>
      <c r="AG109" s="3">
        <v>34</v>
      </c>
      <c r="AH109" s="3">
        <v>22</v>
      </c>
      <c r="AI109" s="3">
        <v>23</v>
      </c>
      <c r="AJ109" s="3">
        <v>0</v>
      </c>
      <c r="AK109" s="3">
        <v>6</v>
      </c>
      <c r="AL109" s="3" t="s">
        <v>199</v>
      </c>
      <c r="AM109" s="3" t="s">
        <v>200</v>
      </c>
      <c r="AN109" s="3" t="s">
        <v>201</v>
      </c>
      <c r="AO109" s="3" t="s">
        <v>74</v>
      </c>
      <c r="AP109" s="3" t="s">
        <v>74</v>
      </c>
      <c r="AQ109" s="3" t="s">
        <v>2445</v>
      </c>
      <c r="AR109" s="3" t="s">
        <v>74</v>
      </c>
      <c r="AS109" s="3" t="s">
        <v>74</v>
      </c>
      <c r="AT109" s="3" t="s">
        <v>74</v>
      </c>
      <c r="AU109" s="3">
        <v>2016</v>
      </c>
      <c r="AV109" s="3" t="s">
        <v>74</v>
      </c>
      <c r="AW109" s="3" t="s">
        <v>74</v>
      </c>
      <c r="AX109" s="3" t="s">
        <v>74</v>
      </c>
      <c r="AY109" s="3" t="s">
        <v>74</v>
      </c>
      <c r="AZ109" s="3" t="s">
        <v>74</v>
      </c>
      <c r="BA109" s="3" t="s">
        <v>74</v>
      </c>
      <c r="BB109" s="3">
        <v>65</v>
      </c>
      <c r="BC109" s="3">
        <v>69</v>
      </c>
      <c r="BD109" s="3" t="s">
        <v>74</v>
      </c>
      <c r="BE109" s="3" t="s">
        <v>74</v>
      </c>
      <c r="BF109" s="3" t="s">
        <v>74</v>
      </c>
      <c r="BG109" s="3" t="s">
        <v>74</v>
      </c>
      <c r="BH109" s="3" t="s">
        <v>74</v>
      </c>
      <c r="BI109" s="3">
        <v>5</v>
      </c>
      <c r="BJ109" s="3" t="s">
        <v>2145</v>
      </c>
      <c r="BK109" s="3" t="s">
        <v>208</v>
      </c>
      <c r="BL109" s="3" t="s">
        <v>383</v>
      </c>
      <c r="BM109" s="3" t="s">
        <v>2446</v>
      </c>
      <c r="BN109" s="3" t="s">
        <v>74</v>
      </c>
      <c r="BO109" s="3" t="s">
        <v>74</v>
      </c>
      <c r="BP109" s="3" t="s">
        <v>74</v>
      </c>
      <c r="BQ109" s="3" t="s">
        <v>74</v>
      </c>
      <c r="BR109" s="3" t="s">
        <v>101</v>
      </c>
      <c r="BS109" s="3" t="s">
        <v>2447</v>
      </c>
      <c r="BT109" s="3" t="str">
        <f>HYPERLINK("https%3A%2F%2Fwww.webofscience.com%2Fwos%2Fwoscc%2Ffull-record%2FWOS:000389660400012","View Full Record in Web of Science")</f>
        <v>View Full Record in Web of Science</v>
      </c>
      <c r="BU109" s="3"/>
      <c r="BV109" s="3"/>
      <c r="BW109" s="1"/>
    </row>
    <row r="110" spans="1:75" x14ac:dyDescent="0.25">
      <c r="A110" s="3" t="s">
        <v>103</v>
      </c>
      <c r="B110" s="3" t="s">
        <v>2448</v>
      </c>
      <c r="C110" s="3" t="s">
        <v>74</v>
      </c>
      <c r="D110" s="3" t="s">
        <v>74</v>
      </c>
      <c r="E110" s="3" t="s">
        <v>199</v>
      </c>
      <c r="F110" s="3" t="s">
        <v>2449</v>
      </c>
      <c r="G110" s="3" t="s">
        <v>74</v>
      </c>
      <c r="H110" s="3" t="s">
        <v>74</v>
      </c>
      <c r="I110" s="3" t="s">
        <v>2450</v>
      </c>
      <c r="J110" s="3" t="s">
        <v>2451</v>
      </c>
      <c r="K110" s="3" t="s">
        <v>74</v>
      </c>
      <c r="L110" s="3" t="s">
        <v>74</v>
      </c>
      <c r="M110" s="3" t="s">
        <v>110</v>
      </c>
      <c r="N110" s="3" t="s">
        <v>111</v>
      </c>
      <c r="O110" s="3" t="s">
        <v>2452</v>
      </c>
      <c r="P110" s="3" t="s">
        <v>2453</v>
      </c>
      <c r="Q110" s="3" t="s">
        <v>2454</v>
      </c>
      <c r="R110" s="3" t="s">
        <v>74</v>
      </c>
      <c r="S110" s="3" t="s">
        <v>74</v>
      </c>
      <c r="T110" s="3" t="s">
        <v>74</v>
      </c>
      <c r="U110" s="3" t="s">
        <v>2455</v>
      </c>
      <c r="V110" s="3" t="s">
        <v>2456</v>
      </c>
      <c r="W110" s="3" t="s">
        <v>2457</v>
      </c>
      <c r="X110" s="3" t="s">
        <v>2458</v>
      </c>
      <c r="Y110" s="3" t="s">
        <v>2459</v>
      </c>
      <c r="Z110" s="3" t="s">
        <v>2460</v>
      </c>
      <c r="AA110" s="3" t="s">
        <v>2461</v>
      </c>
      <c r="AB110" s="3" t="s">
        <v>74</v>
      </c>
      <c r="AC110" s="3" t="s">
        <v>2462</v>
      </c>
      <c r="AD110" s="3" t="s">
        <v>2463</v>
      </c>
      <c r="AE110" s="3" t="s">
        <v>74</v>
      </c>
      <c r="AF110" s="3" t="s">
        <v>74</v>
      </c>
      <c r="AG110" s="3">
        <v>15</v>
      </c>
      <c r="AH110" s="3">
        <v>6</v>
      </c>
      <c r="AI110" s="3">
        <v>6</v>
      </c>
      <c r="AJ110" s="3">
        <v>0</v>
      </c>
      <c r="AK110" s="3">
        <v>4</v>
      </c>
      <c r="AL110" s="3" t="s">
        <v>199</v>
      </c>
      <c r="AM110" s="3" t="s">
        <v>200</v>
      </c>
      <c r="AN110" s="3" t="s">
        <v>201</v>
      </c>
      <c r="AO110" s="3" t="s">
        <v>74</v>
      </c>
      <c r="AP110" s="3" t="s">
        <v>74</v>
      </c>
      <c r="AQ110" s="3" t="s">
        <v>2464</v>
      </c>
      <c r="AR110" s="3" t="s">
        <v>74</v>
      </c>
      <c r="AS110" s="3" t="s">
        <v>74</v>
      </c>
      <c r="AT110" s="3" t="s">
        <v>74</v>
      </c>
      <c r="AU110" s="3">
        <v>2016</v>
      </c>
      <c r="AV110" s="3" t="s">
        <v>74</v>
      </c>
      <c r="AW110" s="3" t="s">
        <v>74</v>
      </c>
      <c r="AX110" s="3" t="s">
        <v>74</v>
      </c>
      <c r="AY110" s="3" t="s">
        <v>74</v>
      </c>
      <c r="AZ110" s="3" t="s">
        <v>74</v>
      </c>
      <c r="BA110" s="3" t="s">
        <v>74</v>
      </c>
      <c r="BB110" s="3">
        <v>163</v>
      </c>
      <c r="BC110" s="3">
        <v>170</v>
      </c>
      <c r="BD110" s="3" t="s">
        <v>74</v>
      </c>
      <c r="BE110" s="3" t="s">
        <v>74</v>
      </c>
      <c r="BF110" s="3" t="s">
        <v>74</v>
      </c>
      <c r="BG110" s="3" t="s">
        <v>74</v>
      </c>
      <c r="BH110" s="3" t="s">
        <v>74</v>
      </c>
      <c r="BI110" s="3">
        <v>8</v>
      </c>
      <c r="BJ110" s="3" t="s">
        <v>1566</v>
      </c>
      <c r="BK110" s="3" t="s">
        <v>208</v>
      </c>
      <c r="BL110" s="3" t="s">
        <v>486</v>
      </c>
      <c r="BM110" s="3" t="s">
        <v>2465</v>
      </c>
      <c r="BN110" s="3" t="s">
        <v>74</v>
      </c>
      <c r="BO110" s="3" t="s">
        <v>74</v>
      </c>
      <c r="BP110" s="3" t="s">
        <v>74</v>
      </c>
      <c r="BQ110" s="3" t="s">
        <v>74</v>
      </c>
      <c r="BR110" s="3" t="s">
        <v>101</v>
      </c>
      <c r="BS110" s="3" t="s">
        <v>2466</v>
      </c>
      <c r="BT110" s="3" t="str">
        <f>HYPERLINK("https%3A%2F%2Fwww.webofscience.com%2Fwos%2Fwoscc%2Ffull-record%2FWOS:000390715200045","View Full Record in Web of Science")</f>
        <v>View Full Record in Web of Science</v>
      </c>
      <c r="BU110" s="3"/>
      <c r="BV110" s="3"/>
      <c r="BW110" s="1"/>
    </row>
    <row r="111" spans="1:75" x14ac:dyDescent="0.25">
      <c r="A111" s="3" t="s">
        <v>103</v>
      </c>
      <c r="B111" s="3" t="s">
        <v>2467</v>
      </c>
      <c r="C111" s="3" t="s">
        <v>74</v>
      </c>
      <c r="D111" s="3" t="s">
        <v>2468</v>
      </c>
      <c r="E111" s="3" t="s">
        <v>74</v>
      </c>
      <c r="F111" s="3" t="s">
        <v>2469</v>
      </c>
      <c r="G111" s="3" t="s">
        <v>74</v>
      </c>
      <c r="H111" s="3" t="s">
        <v>74</v>
      </c>
      <c r="I111" s="3" t="s">
        <v>2470</v>
      </c>
      <c r="J111" s="3" t="s">
        <v>2471</v>
      </c>
      <c r="K111" s="3" t="s">
        <v>74</v>
      </c>
      <c r="L111" s="3" t="s">
        <v>74</v>
      </c>
      <c r="M111" s="3" t="s">
        <v>110</v>
      </c>
      <c r="N111" s="3" t="s">
        <v>111</v>
      </c>
      <c r="O111" s="3" t="s">
        <v>2472</v>
      </c>
      <c r="P111" s="3" t="s">
        <v>2473</v>
      </c>
      <c r="Q111" s="3" t="s">
        <v>2474</v>
      </c>
      <c r="R111" s="3" t="s">
        <v>74</v>
      </c>
      <c r="S111" s="3" t="s">
        <v>2475</v>
      </c>
      <c r="T111" s="3" t="s">
        <v>2476</v>
      </c>
      <c r="U111" s="3" t="s">
        <v>2477</v>
      </c>
      <c r="V111" s="3" t="s">
        <v>2478</v>
      </c>
      <c r="W111" s="3" t="s">
        <v>2479</v>
      </c>
      <c r="X111" s="3" t="s">
        <v>2480</v>
      </c>
      <c r="Y111" s="3" t="s">
        <v>2481</v>
      </c>
      <c r="Z111" s="3" t="s">
        <v>2482</v>
      </c>
      <c r="AA111" s="3" t="s">
        <v>2483</v>
      </c>
      <c r="AB111" s="3" t="s">
        <v>2484</v>
      </c>
      <c r="AC111" s="3" t="s">
        <v>74</v>
      </c>
      <c r="AD111" s="3" t="s">
        <v>74</v>
      </c>
      <c r="AE111" s="3" t="s">
        <v>74</v>
      </c>
      <c r="AF111" s="3" t="s">
        <v>74</v>
      </c>
      <c r="AG111" s="3">
        <v>11</v>
      </c>
      <c r="AH111" s="3">
        <v>32</v>
      </c>
      <c r="AI111" s="3">
        <v>32</v>
      </c>
      <c r="AJ111" s="3">
        <v>0</v>
      </c>
      <c r="AK111" s="3">
        <v>3</v>
      </c>
      <c r="AL111" s="3" t="s">
        <v>199</v>
      </c>
      <c r="AM111" s="3" t="s">
        <v>200</v>
      </c>
      <c r="AN111" s="3" t="s">
        <v>201</v>
      </c>
      <c r="AO111" s="3" t="s">
        <v>74</v>
      </c>
      <c r="AP111" s="3" t="s">
        <v>74</v>
      </c>
      <c r="AQ111" s="3" t="s">
        <v>2485</v>
      </c>
      <c r="AR111" s="3" t="s">
        <v>74</v>
      </c>
      <c r="AS111" s="3" t="s">
        <v>74</v>
      </c>
      <c r="AT111" s="3" t="s">
        <v>74</v>
      </c>
      <c r="AU111" s="3">
        <v>2015</v>
      </c>
      <c r="AV111" s="3" t="s">
        <v>74</v>
      </c>
      <c r="AW111" s="3" t="s">
        <v>74</v>
      </c>
      <c r="AX111" s="3" t="s">
        <v>74</v>
      </c>
      <c r="AY111" s="3" t="s">
        <v>74</v>
      </c>
      <c r="AZ111" s="3" t="s">
        <v>74</v>
      </c>
      <c r="BA111" s="3" t="s">
        <v>74</v>
      </c>
      <c r="BB111" s="3">
        <v>2366</v>
      </c>
      <c r="BC111" s="3">
        <v>2373</v>
      </c>
      <c r="BD111" s="3" t="s">
        <v>74</v>
      </c>
      <c r="BE111" s="3" t="s">
        <v>74</v>
      </c>
      <c r="BF111" s="3" t="s">
        <v>74</v>
      </c>
      <c r="BG111" s="3" t="s">
        <v>74</v>
      </c>
      <c r="BH111" s="3" t="s">
        <v>74</v>
      </c>
      <c r="BI111" s="3">
        <v>8</v>
      </c>
      <c r="BJ111" s="3" t="s">
        <v>2486</v>
      </c>
      <c r="BK111" s="3" t="s">
        <v>208</v>
      </c>
      <c r="BL111" s="3" t="s">
        <v>383</v>
      </c>
      <c r="BM111" s="3" t="s">
        <v>2487</v>
      </c>
      <c r="BN111" s="3" t="s">
        <v>74</v>
      </c>
      <c r="BO111" s="3" t="s">
        <v>74</v>
      </c>
      <c r="BP111" s="3" t="s">
        <v>74</v>
      </c>
      <c r="BQ111" s="3" t="s">
        <v>74</v>
      </c>
      <c r="BR111" s="3" t="s">
        <v>101</v>
      </c>
      <c r="BS111" s="3" t="s">
        <v>2488</v>
      </c>
      <c r="BT111" s="3" t="str">
        <f>HYPERLINK("https%3A%2F%2Fwww.webofscience.com%2Fwos%2Fwoscc%2Ffull-record%2FWOS:000380475900394","View Full Record in Web of Science")</f>
        <v>View Full Record in Web of Science</v>
      </c>
      <c r="BU111" s="3"/>
      <c r="BV111" s="3"/>
      <c r="BW111" s="1"/>
    </row>
    <row r="112" spans="1:75" x14ac:dyDescent="0.25">
      <c r="A112" s="3" t="s">
        <v>103</v>
      </c>
      <c r="B112" s="3" t="s">
        <v>2489</v>
      </c>
      <c r="C112" s="3" t="s">
        <v>74</v>
      </c>
      <c r="D112" s="3" t="s">
        <v>74</v>
      </c>
      <c r="E112" s="3" t="s">
        <v>199</v>
      </c>
      <c r="F112" s="3" t="s">
        <v>2490</v>
      </c>
      <c r="G112" s="3" t="s">
        <v>74</v>
      </c>
      <c r="H112" s="3" t="s">
        <v>74</v>
      </c>
      <c r="I112" s="3" t="s">
        <v>2491</v>
      </c>
      <c r="J112" s="3" t="s">
        <v>2492</v>
      </c>
      <c r="K112" s="3" t="s">
        <v>74</v>
      </c>
      <c r="L112" s="3" t="s">
        <v>74</v>
      </c>
      <c r="M112" s="3" t="s">
        <v>110</v>
      </c>
      <c r="N112" s="3" t="s">
        <v>111</v>
      </c>
      <c r="O112" s="3" t="s">
        <v>2493</v>
      </c>
      <c r="P112" s="3" t="s">
        <v>2494</v>
      </c>
      <c r="Q112" s="3" t="s">
        <v>2495</v>
      </c>
      <c r="R112" s="3" t="s">
        <v>74</v>
      </c>
      <c r="S112" s="3" t="s">
        <v>74</v>
      </c>
      <c r="T112" s="3" t="s">
        <v>2496</v>
      </c>
      <c r="U112" s="3" t="s">
        <v>74</v>
      </c>
      <c r="V112" s="3" t="s">
        <v>2497</v>
      </c>
      <c r="W112" s="3" t="s">
        <v>2498</v>
      </c>
      <c r="X112" s="3" t="s">
        <v>2499</v>
      </c>
      <c r="Y112" s="3" t="s">
        <v>2500</v>
      </c>
      <c r="Z112" s="3" t="s">
        <v>2501</v>
      </c>
      <c r="AA112" s="3" t="s">
        <v>74</v>
      </c>
      <c r="AB112" s="3" t="s">
        <v>74</v>
      </c>
      <c r="AC112" s="3" t="s">
        <v>74</v>
      </c>
      <c r="AD112" s="3" t="s">
        <v>74</v>
      </c>
      <c r="AE112" s="3" t="s">
        <v>74</v>
      </c>
      <c r="AF112" s="3" t="s">
        <v>74</v>
      </c>
      <c r="AG112" s="3">
        <v>11</v>
      </c>
      <c r="AH112" s="3">
        <v>6</v>
      </c>
      <c r="AI112" s="3">
        <v>6</v>
      </c>
      <c r="AJ112" s="3">
        <v>0</v>
      </c>
      <c r="AK112" s="3">
        <v>2</v>
      </c>
      <c r="AL112" s="3" t="s">
        <v>199</v>
      </c>
      <c r="AM112" s="3" t="s">
        <v>200</v>
      </c>
      <c r="AN112" s="3" t="s">
        <v>201</v>
      </c>
      <c r="AO112" s="3" t="s">
        <v>74</v>
      </c>
      <c r="AP112" s="3" t="s">
        <v>74</v>
      </c>
      <c r="AQ112" s="3" t="s">
        <v>2502</v>
      </c>
      <c r="AR112" s="3" t="s">
        <v>74</v>
      </c>
      <c r="AS112" s="3" t="s">
        <v>74</v>
      </c>
      <c r="AT112" s="3" t="s">
        <v>74</v>
      </c>
      <c r="AU112" s="3">
        <v>2017</v>
      </c>
      <c r="AV112" s="3" t="s">
        <v>74</v>
      </c>
      <c r="AW112" s="3" t="s">
        <v>74</v>
      </c>
      <c r="AX112" s="3" t="s">
        <v>74</v>
      </c>
      <c r="AY112" s="3" t="s">
        <v>74</v>
      </c>
      <c r="AZ112" s="3" t="s">
        <v>74</v>
      </c>
      <c r="BA112" s="3" t="s">
        <v>74</v>
      </c>
      <c r="BB112" s="3">
        <v>147</v>
      </c>
      <c r="BC112" s="3">
        <v>151</v>
      </c>
      <c r="BD112" s="3" t="s">
        <v>74</v>
      </c>
      <c r="BE112" s="3" t="s">
        <v>74</v>
      </c>
      <c r="BF112" s="3" t="s">
        <v>74</v>
      </c>
      <c r="BG112" s="3" t="s">
        <v>74</v>
      </c>
      <c r="BH112" s="3" t="s">
        <v>74</v>
      </c>
      <c r="BI112" s="3">
        <v>5</v>
      </c>
      <c r="BJ112" s="3" t="s">
        <v>2503</v>
      </c>
      <c r="BK112" s="3" t="s">
        <v>208</v>
      </c>
      <c r="BL112" s="3" t="s">
        <v>383</v>
      </c>
      <c r="BM112" s="3" t="s">
        <v>2504</v>
      </c>
      <c r="BN112" s="3" t="s">
        <v>74</v>
      </c>
      <c r="BO112" s="3" t="s">
        <v>74</v>
      </c>
      <c r="BP112" s="3" t="s">
        <v>74</v>
      </c>
      <c r="BQ112" s="3" t="s">
        <v>74</v>
      </c>
      <c r="BR112" s="3" t="s">
        <v>101</v>
      </c>
      <c r="BS112" s="3" t="s">
        <v>2505</v>
      </c>
      <c r="BT112" s="3" t="str">
        <f>HYPERLINK("https%3A%2F%2Fwww.webofscience.com%2Fwos%2Fwoscc%2Ffull-record%2FWOS:000426614300029","View Full Record in Web of Science")</f>
        <v>View Full Record in Web of Science</v>
      </c>
      <c r="BU112" s="3"/>
      <c r="BV112" s="3"/>
      <c r="BW112" s="1"/>
    </row>
    <row r="113" spans="1:75" x14ac:dyDescent="0.25">
      <c r="A113" s="3" t="s">
        <v>103</v>
      </c>
      <c r="B113" s="3" t="s">
        <v>2506</v>
      </c>
      <c r="C113" s="3" t="s">
        <v>74</v>
      </c>
      <c r="D113" s="3" t="s">
        <v>2507</v>
      </c>
      <c r="E113" s="3" t="s">
        <v>74</v>
      </c>
      <c r="F113" s="3" t="s">
        <v>2508</v>
      </c>
      <c r="G113" s="3" t="s">
        <v>74</v>
      </c>
      <c r="H113" s="3" t="s">
        <v>74</v>
      </c>
      <c r="I113" s="3" t="s">
        <v>2509</v>
      </c>
      <c r="J113" s="3" t="s">
        <v>2510</v>
      </c>
      <c r="K113" s="3" t="s">
        <v>2511</v>
      </c>
      <c r="L113" s="3" t="s">
        <v>74</v>
      </c>
      <c r="M113" s="3" t="s">
        <v>110</v>
      </c>
      <c r="N113" s="3" t="s">
        <v>111</v>
      </c>
      <c r="O113" s="3" t="s">
        <v>2512</v>
      </c>
      <c r="P113" s="3" t="s">
        <v>2513</v>
      </c>
      <c r="Q113" s="3" t="s">
        <v>2514</v>
      </c>
      <c r="R113" s="3" t="s">
        <v>74</v>
      </c>
      <c r="S113" s="3" t="s">
        <v>2515</v>
      </c>
      <c r="T113" s="3" t="s">
        <v>2516</v>
      </c>
      <c r="U113" s="3" t="s">
        <v>74</v>
      </c>
      <c r="V113" s="3" t="s">
        <v>2517</v>
      </c>
      <c r="W113" s="3" t="s">
        <v>2518</v>
      </c>
      <c r="X113" s="3" t="s">
        <v>2519</v>
      </c>
      <c r="Y113" s="3" t="s">
        <v>2520</v>
      </c>
      <c r="Z113" s="3" t="s">
        <v>2521</v>
      </c>
      <c r="AA113" s="3" t="s">
        <v>74</v>
      </c>
      <c r="AB113" s="3" t="s">
        <v>74</v>
      </c>
      <c r="AC113" s="3" t="s">
        <v>74</v>
      </c>
      <c r="AD113" s="3" t="s">
        <v>74</v>
      </c>
      <c r="AE113" s="3" t="s">
        <v>74</v>
      </c>
      <c r="AF113" s="3" t="s">
        <v>74</v>
      </c>
      <c r="AG113" s="3">
        <v>25</v>
      </c>
      <c r="AH113" s="3">
        <v>9</v>
      </c>
      <c r="AI113" s="3">
        <v>11</v>
      </c>
      <c r="AJ113" s="3">
        <v>6</v>
      </c>
      <c r="AK113" s="3">
        <v>135</v>
      </c>
      <c r="AL113" s="3" t="s">
        <v>2522</v>
      </c>
      <c r="AM113" s="3" t="s">
        <v>2523</v>
      </c>
      <c r="AN113" s="3" t="s">
        <v>2524</v>
      </c>
      <c r="AO113" s="3" t="s">
        <v>2525</v>
      </c>
      <c r="AP113" s="3" t="s">
        <v>74</v>
      </c>
      <c r="AQ113" s="3" t="s">
        <v>2526</v>
      </c>
      <c r="AR113" s="3" t="s">
        <v>2527</v>
      </c>
      <c r="AS113" s="3" t="s">
        <v>74</v>
      </c>
      <c r="AT113" s="3" t="s">
        <v>74</v>
      </c>
      <c r="AU113" s="3">
        <v>2017</v>
      </c>
      <c r="AV113" s="3" t="s">
        <v>74</v>
      </c>
      <c r="AW113" s="3" t="s">
        <v>74</v>
      </c>
      <c r="AX113" s="3" t="s">
        <v>74</v>
      </c>
      <c r="AY113" s="3" t="s">
        <v>74</v>
      </c>
      <c r="AZ113" s="3" t="s">
        <v>74</v>
      </c>
      <c r="BA113" s="3" t="s">
        <v>74</v>
      </c>
      <c r="BB113" s="3">
        <v>109</v>
      </c>
      <c r="BC113" s="3">
        <v>122</v>
      </c>
      <c r="BD113" s="3" t="s">
        <v>74</v>
      </c>
      <c r="BE113" s="3" t="s">
        <v>2528</v>
      </c>
      <c r="BF113" s="3" t="str">
        <f>HYPERLINK("http://dx.doi.org/10.1007/978-981-10-2141-1_8","http://dx.doi.org/10.1007/978-981-10-2141-1_8")</f>
        <v>http://dx.doi.org/10.1007/978-981-10-2141-1_8</v>
      </c>
      <c r="BG113" s="3" t="s">
        <v>74</v>
      </c>
      <c r="BH113" s="3" t="s">
        <v>74</v>
      </c>
      <c r="BI113" s="3">
        <v>14</v>
      </c>
      <c r="BJ113" s="3" t="s">
        <v>2529</v>
      </c>
      <c r="BK113" s="3" t="s">
        <v>130</v>
      </c>
      <c r="BL113" s="3" t="s">
        <v>2530</v>
      </c>
      <c r="BM113" s="3" t="s">
        <v>2531</v>
      </c>
      <c r="BN113" s="3" t="s">
        <v>74</v>
      </c>
      <c r="BO113" s="3" t="s">
        <v>74</v>
      </c>
      <c r="BP113" s="3" t="s">
        <v>74</v>
      </c>
      <c r="BQ113" s="3" t="s">
        <v>74</v>
      </c>
      <c r="BR113" s="3" t="s">
        <v>101</v>
      </c>
      <c r="BS113" s="3" t="s">
        <v>2532</v>
      </c>
      <c r="BT113" s="3" t="str">
        <f>HYPERLINK("https%3A%2F%2Fwww.webofscience.com%2Fwos%2Fwoscc%2Ffull-record%2FWOS:000412358300008","View Full Record in Web of Science")</f>
        <v>View Full Record in Web of Science</v>
      </c>
      <c r="BU113" s="3"/>
      <c r="BV113" s="3"/>
      <c r="BW113" s="1"/>
    </row>
    <row r="114" spans="1:75" x14ac:dyDescent="0.25">
      <c r="A114" s="3" t="s">
        <v>103</v>
      </c>
      <c r="B114" s="3" t="s">
        <v>2533</v>
      </c>
      <c r="C114" s="3" t="s">
        <v>74</v>
      </c>
      <c r="D114" s="3" t="s">
        <v>2534</v>
      </c>
      <c r="E114" s="3" t="s">
        <v>74</v>
      </c>
      <c r="F114" s="3" t="s">
        <v>2535</v>
      </c>
      <c r="G114" s="3" t="s">
        <v>74</v>
      </c>
      <c r="H114" s="3" t="s">
        <v>74</v>
      </c>
      <c r="I114" s="3" t="s">
        <v>2536</v>
      </c>
      <c r="J114" s="3" t="s">
        <v>2537</v>
      </c>
      <c r="K114" s="3" t="s">
        <v>74</v>
      </c>
      <c r="L114" s="3" t="s">
        <v>74</v>
      </c>
      <c r="M114" s="3" t="s">
        <v>110</v>
      </c>
      <c r="N114" s="3" t="s">
        <v>111</v>
      </c>
      <c r="O114" s="3" t="s">
        <v>2538</v>
      </c>
      <c r="P114" s="3" t="s">
        <v>2539</v>
      </c>
      <c r="Q114" s="3" t="s">
        <v>2540</v>
      </c>
      <c r="R114" s="3" t="s">
        <v>74</v>
      </c>
      <c r="S114" s="3" t="s">
        <v>74</v>
      </c>
      <c r="T114" s="3" t="s">
        <v>2541</v>
      </c>
      <c r="U114" s="3" t="s">
        <v>74</v>
      </c>
      <c r="V114" s="3" t="s">
        <v>2542</v>
      </c>
      <c r="W114" s="3" t="s">
        <v>2543</v>
      </c>
      <c r="X114" s="3" t="s">
        <v>2544</v>
      </c>
      <c r="Y114" s="3" t="s">
        <v>2545</v>
      </c>
      <c r="Z114" s="3" t="s">
        <v>2546</v>
      </c>
      <c r="AA114" s="3" t="s">
        <v>2547</v>
      </c>
      <c r="AB114" s="3" t="s">
        <v>74</v>
      </c>
      <c r="AC114" s="3" t="s">
        <v>2548</v>
      </c>
      <c r="AD114" s="3" t="s">
        <v>2549</v>
      </c>
      <c r="AE114" s="3" t="s">
        <v>2550</v>
      </c>
      <c r="AF114" s="3" t="s">
        <v>74</v>
      </c>
      <c r="AG114" s="3">
        <v>20</v>
      </c>
      <c r="AH114" s="3">
        <v>0</v>
      </c>
      <c r="AI114" s="3">
        <v>0</v>
      </c>
      <c r="AJ114" s="3">
        <v>0</v>
      </c>
      <c r="AK114" s="3">
        <v>2</v>
      </c>
      <c r="AL114" s="3" t="s">
        <v>2551</v>
      </c>
      <c r="AM114" s="3" t="s">
        <v>2552</v>
      </c>
      <c r="AN114" s="3" t="s">
        <v>2553</v>
      </c>
      <c r="AO114" s="3" t="s">
        <v>74</v>
      </c>
      <c r="AP114" s="3" t="s">
        <v>74</v>
      </c>
      <c r="AQ114" s="3" t="s">
        <v>2554</v>
      </c>
      <c r="AR114" s="3" t="s">
        <v>74</v>
      </c>
      <c r="AS114" s="3" t="s">
        <v>74</v>
      </c>
      <c r="AT114" s="3" t="s">
        <v>74</v>
      </c>
      <c r="AU114" s="3">
        <v>2017</v>
      </c>
      <c r="AV114" s="3" t="s">
        <v>74</v>
      </c>
      <c r="AW114" s="3" t="s">
        <v>74</v>
      </c>
      <c r="AX114" s="3" t="s">
        <v>74</v>
      </c>
      <c r="AY114" s="3" t="s">
        <v>74</v>
      </c>
      <c r="AZ114" s="3" t="s">
        <v>74</v>
      </c>
      <c r="BA114" s="3" t="s">
        <v>74</v>
      </c>
      <c r="BB114" s="3">
        <v>1014</v>
      </c>
      <c r="BC114" s="3">
        <v>1021</v>
      </c>
      <c r="BD114" s="3" t="s">
        <v>74</v>
      </c>
      <c r="BE114" s="3" t="s">
        <v>74</v>
      </c>
      <c r="BF114" s="3" t="s">
        <v>74</v>
      </c>
      <c r="BG114" s="3" t="s">
        <v>74</v>
      </c>
      <c r="BH114" s="3" t="s">
        <v>74</v>
      </c>
      <c r="BI114" s="3">
        <v>8</v>
      </c>
      <c r="BJ114" s="3" t="s">
        <v>2555</v>
      </c>
      <c r="BK114" s="3" t="s">
        <v>2556</v>
      </c>
      <c r="BL114" s="3" t="s">
        <v>2557</v>
      </c>
      <c r="BM114" s="3" t="s">
        <v>2558</v>
      </c>
      <c r="BN114" s="3" t="s">
        <v>74</v>
      </c>
      <c r="BO114" s="3" t="s">
        <v>74</v>
      </c>
      <c r="BP114" s="3" t="s">
        <v>74</v>
      </c>
      <c r="BQ114" s="3" t="s">
        <v>74</v>
      </c>
      <c r="BR114" s="3" t="s">
        <v>101</v>
      </c>
      <c r="BS114" s="3" t="s">
        <v>2559</v>
      </c>
      <c r="BT114" s="3" t="str">
        <f>HYPERLINK("https%3A%2F%2Fwww.webofscience.com%2Fwos%2Fwoscc%2Ffull-record%2FWOS:000685059201065","View Full Record in Web of Science")</f>
        <v>View Full Record in Web of Science</v>
      </c>
      <c r="BU114" s="3"/>
      <c r="BV114" s="3"/>
      <c r="BW114" s="1"/>
    </row>
    <row r="115" spans="1:75" x14ac:dyDescent="0.25">
      <c r="A115" s="3" t="s">
        <v>103</v>
      </c>
      <c r="B115" s="3" t="s">
        <v>2560</v>
      </c>
      <c r="C115" s="3" t="s">
        <v>74</v>
      </c>
      <c r="D115" s="3" t="s">
        <v>2561</v>
      </c>
      <c r="E115" s="3" t="s">
        <v>74</v>
      </c>
      <c r="F115" s="3" t="s">
        <v>2562</v>
      </c>
      <c r="G115" s="3" t="s">
        <v>74</v>
      </c>
      <c r="H115" s="3" t="s">
        <v>74</v>
      </c>
      <c r="I115" s="3" t="s">
        <v>2563</v>
      </c>
      <c r="J115" s="3" t="s">
        <v>2564</v>
      </c>
      <c r="K115" s="3" t="s">
        <v>74</v>
      </c>
      <c r="L115" s="3" t="s">
        <v>74</v>
      </c>
      <c r="M115" s="3" t="s">
        <v>110</v>
      </c>
      <c r="N115" s="3" t="s">
        <v>111</v>
      </c>
      <c r="O115" s="3" t="s">
        <v>2565</v>
      </c>
      <c r="P115" s="3" t="s">
        <v>2566</v>
      </c>
      <c r="Q115" s="3" t="s">
        <v>2567</v>
      </c>
      <c r="R115" s="3" t="s">
        <v>74</v>
      </c>
      <c r="S115" s="3" t="s">
        <v>74</v>
      </c>
      <c r="T115" s="3" t="s">
        <v>2568</v>
      </c>
      <c r="U115" s="3" t="s">
        <v>74</v>
      </c>
      <c r="V115" s="3" t="s">
        <v>2569</v>
      </c>
      <c r="W115" s="3" t="s">
        <v>2570</v>
      </c>
      <c r="X115" s="3" t="s">
        <v>2571</v>
      </c>
      <c r="Y115" s="3" t="s">
        <v>2572</v>
      </c>
      <c r="Z115" s="3" t="s">
        <v>2573</v>
      </c>
      <c r="AA115" s="3" t="s">
        <v>2574</v>
      </c>
      <c r="AB115" s="3" t="s">
        <v>2575</v>
      </c>
      <c r="AC115" s="3" t="s">
        <v>74</v>
      </c>
      <c r="AD115" s="3" t="s">
        <v>74</v>
      </c>
      <c r="AE115" s="3" t="s">
        <v>74</v>
      </c>
      <c r="AF115" s="3" t="s">
        <v>74</v>
      </c>
      <c r="AG115" s="3">
        <v>20</v>
      </c>
      <c r="AH115" s="3">
        <v>1</v>
      </c>
      <c r="AI115" s="3">
        <v>1</v>
      </c>
      <c r="AJ115" s="3">
        <v>0</v>
      </c>
      <c r="AK115" s="3">
        <v>18</v>
      </c>
      <c r="AL115" s="3" t="s">
        <v>506</v>
      </c>
      <c r="AM115" s="3" t="s">
        <v>200</v>
      </c>
      <c r="AN115" s="3" t="s">
        <v>2576</v>
      </c>
      <c r="AO115" s="3" t="s">
        <v>74</v>
      </c>
      <c r="AP115" s="3" t="s">
        <v>74</v>
      </c>
      <c r="AQ115" s="3" t="s">
        <v>2577</v>
      </c>
      <c r="AR115" s="3" t="s">
        <v>74</v>
      </c>
      <c r="AS115" s="3" t="s">
        <v>74</v>
      </c>
      <c r="AT115" s="3" t="s">
        <v>74</v>
      </c>
      <c r="AU115" s="3">
        <v>2016</v>
      </c>
      <c r="AV115" s="3" t="s">
        <v>74</v>
      </c>
      <c r="AW115" s="3" t="s">
        <v>74</v>
      </c>
      <c r="AX115" s="3" t="s">
        <v>74</v>
      </c>
      <c r="AY115" s="3" t="s">
        <v>74</v>
      </c>
      <c r="AZ115" s="3" t="s">
        <v>74</v>
      </c>
      <c r="BA115" s="3" t="s">
        <v>74</v>
      </c>
      <c r="BB115" s="3">
        <v>215</v>
      </c>
      <c r="BC115" s="3">
        <v>222</v>
      </c>
      <c r="BD115" s="3" t="s">
        <v>74</v>
      </c>
      <c r="BE115" s="3" t="s">
        <v>2578</v>
      </c>
      <c r="BF115" s="3" t="str">
        <f>HYPERLINK("http://dx.doi.org/10.1145/2910019.2910063","http://dx.doi.org/10.1145/2910019.2910063")</f>
        <v>http://dx.doi.org/10.1145/2910019.2910063</v>
      </c>
      <c r="BG115" s="3" t="s">
        <v>74</v>
      </c>
      <c r="BH115" s="3" t="s">
        <v>74</v>
      </c>
      <c r="BI115" s="3">
        <v>8</v>
      </c>
      <c r="BJ115" s="3" t="s">
        <v>2579</v>
      </c>
      <c r="BK115" s="3" t="s">
        <v>130</v>
      </c>
      <c r="BL115" s="3" t="s">
        <v>2580</v>
      </c>
      <c r="BM115" s="3" t="s">
        <v>2581</v>
      </c>
      <c r="BN115" s="3" t="s">
        <v>74</v>
      </c>
      <c r="BO115" s="3" t="s">
        <v>74</v>
      </c>
      <c r="BP115" s="3" t="s">
        <v>74</v>
      </c>
      <c r="BQ115" s="3" t="s">
        <v>74</v>
      </c>
      <c r="BR115" s="3" t="s">
        <v>101</v>
      </c>
      <c r="BS115" s="3" t="s">
        <v>2582</v>
      </c>
      <c r="BT115" s="3" t="str">
        <f>HYPERLINK("https%3A%2F%2Fwww.webofscience.com%2Fwos%2Fwoscc%2Ffull-record%2FWOS:000391515800036","View Full Record in Web of Science")</f>
        <v>View Full Record in Web of Science</v>
      </c>
      <c r="BU115" s="3"/>
      <c r="BV115" s="3"/>
      <c r="BW115" s="1"/>
    </row>
    <row r="116" spans="1:75" x14ac:dyDescent="0.25">
      <c r="A116" s="3" t="s">
        <v>103</v>
      </c>
      <c r="B116" s="3" t="s">
        <v>2583</v>
      </c>
      <c r="C116" s="3" t="s">
        <v>74</v>
      </c>
      <c r="D116" s="3" t="s">
        <v>74</v>
      </c>
      <c r="E116" s="3" t="s">
        <v>2584</v>
      </c>
      <c r="F116" s="3" t="s">
        <v>2585</v>
      </c>
      <c r="G116" s="3" t="s">
        <v>74</v>
      </c>
      <c r="H116" s="3" t="s">
        <v>74</v>
      </c>
      <c r="I116" s="3" t="s">
        <v>2586</v>
      </c>
      <c r="J116" s="3" t="s">
        <v>2587</v>
      </c>
      <c r="K116" s="3" t="s">
        <v>74</v>
      </c>
      <c r="L116" s="3" t="s">
        <v>74</v>
      </c>
      <c r="M116" s="3" t="s">
        <v>110</v>
      </c>
      <c r="N116" s="3" t="s">
        <v>111</v>
      </c>
      <c r="O116" s="3" t="s">
        <v>2588</v>
      </c>
      <c r="P116" s="3" t="s">
        <v>2589</v>
      </c>
      <c r="Q116" s="3" t="s">
        <v>2590</v>
      </c>
      <c r="R116" s="3" t="s">
        <v>74</v>
      </c>
      <c r="S116" s="3" t="s">
        <v>74</v>
      </c>
      <c r="T116" s="3" t="s">
        <v>2591</v>
      </c>
      <c r="U116" s="3" t="s">
        <v>74</v>
      </c>
      <c r="V116" s="3" t="s">
        <v>2592</v>
      </c>
      <c r="W116" s="3" t="s">
        <v>2593</v>
      </c>
      <c r="X116" s="3" t="s">
        <v>2594</v>
      </c>
      <c r="Y116" s="3" t="s">
        <v>2595</v>
      </c>
      <c r="Z116" s="3" t="s">
        <v>74</v>
      </c>
      <c r="AA116" s="3" t="s">
        <v>74</v>
      </c>
      <c r="AB116" s="3" t="s">
        <v>74</v>
      </c>
      <c r="AC116" s="3" t="s">
        <v>74</v>
      </c>
      <c r="AD116" s="3" t="s">
        <v>74</v>
      </c>
      <c r="AE116" s="3" t="s">
        <v>74</v>
      </c>
      <c r="AF116" s="3" t="s">
        <v>74</v>
      </c>
      <c r="AG116" s="3">
        <v>7</v>
      </c>
      <c r="AH116" s="3">
        <v>0</v>
      </c>
      <c r="AI116" s="3">
        <v>0</v>
      </c>
      <c r="AJ116" s="3">
        <v>0</v>
      </c>
      <c r="AK116" s="3">
        <v>3</v>
      </c>
      <c r="AL116" s="3" t="s">
        <v>2596</v>
      </c>
      <c r="AM116" s="3" t="s">
        <v>2597</v>
      </c>
      <c r="AN116" s="3" t="s">
        <v>2598</v>
      </c>
      <c r="AO116" s="3" t="s">
        <v>74</v>
      </c>
      <c r="AP116" s="3" t="s">
        <v>74</v>
      </c>
      <c r="AQ116" s="3" t="s">
        <v>2599</v>
      </c>
      <c r="AR116" s="3" t="s">
        <v>74</v>
      </c>
      <c r="AS116" s="3" t="s">
        <v>74</v>
      </c>
      <c r="AT116" s="3" t="s">
        <v>74</v>
      </c>
      <c r="AU116" s="3">
        <v>2016</v>
      </c>
      <c r="AV116" s="3" t="s">
        <v>74</v>
      </c>
      <c r="AW116" s="3" t="s">
        <v>74</v>
      </c>
      <c r="AX116" s="3" t="s">
        <v>74</v>
      </c>
      <c r="AY116" s="3" t="s">
        <v>74</v>
      </c>
      <c r="AZ116" s="3" t="s">
        <v>74</v>
      </c>
      <c r="BA116" s="3" t="s">
        <v>74</v>
      </c>
      <c r="BB116" s="3">
        <v>122</v>
      </c>
      <c r="BC116" s="3">
        <v>125</v>
      </c>
      <c r="BD116" s="3" t="s">
        <v>74</v>
      </c>
      <c r="BE116" s="3" t="s">
        <v>74</v>
      </c>
      <c r="BF116" s="3" t="s">
        <v>74</v>
      </c>
      <c r="BG116" s="3" t="s">
        <v>74</v>
      </c>
      <c r="BH116" s="3" t="s">
        <v>74</v>
      </c>
      <c r="BI116" s="3">
        <v>4</v>
      </c>
      <c r="BJ116" s="3" t="s">
        <v>2600</v>
      </c>
      <c r="BK116" s="3" t="s">
        <v>208</v>
      </c>
      <c r="BL116" s="3" t="s">
        <v>2601</v>
      </c>
      <c r="BM116" s="3" t="s">
        <v>2602</v>
      </c>
      <c r="BN116" s="3" t="s">
        <v>74</v>
      </c>
      <c r="BO116" s="3" t="s">
        <v>74</v>
      </c>
      <c r="BP116" s="3" t="s">
        <v>74</v>
      </c>
      <c r="BQ116" s="3" t="s">
        <v>74</v>
      </c>
      <c r="BR116" s="3" t="s">
        <v>101</v>
      </c>
      <c r="BS116" s="3" t="s">
        <v>2603</v>
      </c>
      <c r="BT116" s="3" t="str">
        <f>HYPERLINK("https%3A%2F%2Fwww.webofscience.com%2Fwos%2Fwoscc%2Ffull-record%2FWOS:000389903900023","View Full Record in Web of Science")</f>
        <v>View Full Record in Web of Science</v>
      </c>
      <c r="BU116" s="3"/>
      <c r="BV116" s="3"/>
      <c r="BW116" s="1"/>
    </row>
    <row r="117" spans="1:75" x14ac:dyDescent="0.25">
      <c r="A117" s="3" t="s">
        <v>103</v>
      </c>
      <c r="B117" s="3" t="s">
        <v>2604</v>
      </c>
      <c r="C117" s="3" t="s">
        <v>74</v>
      </c>
      <c r="D117" s="3" t="s">
        <v>74</v>
      </c>
      <c r="E117" s="3" t="s">
        <v>2605</v>
      </c>
      <c r="F117" s="3" t="s">
        <v>2606</v>
      </c>
      <c r="G117" s="3" t="s">
        <v>74</v>
      </c>
      <c r="H117" s="3" t="s">
        <v>74</v>
      </c>
      <c r="I117" s="3" t="s">
        <v>2607</v>
      </c>
      <c r="J117" s="3" t="s">
        <v>2608</v>
      </c>
      <c r="K117" s="3" t="s">
        <v>2609</v>
      </c>
      <c r="L117" s="3" t="s">
        <v>74</v>
      </c>
      <c r="M117" s="3" t="s">
        <v>110</v>
      </c>
      <c r="N117" s="3" t="s">
        <v>111</v>
      </c>
      <c r="O117" s="3" t="s">
        <v>2610</v>
      </c>
      <c r="P117" s="3" t="s">
        <v>2611</v>
      </c>
      <c r="Q117" s="3" t="s">
        <v>2612</v>
      </c>
      <c r="R117" s="3" t="s">
        <v>74</v>
      </c>
      <c r="S117" s="3" t="s">
        <v>74</v>
      </c>
      <c r="T117" s="3" t="s">
        <v>2613</v>
      </c>
      <c r="U117" s="3" t="s">
        <v>74</v>
      </c>
      <c r="V117" s="3" t="s">
        <v>2614</v>
      </c>
      <c r="W117" s="3" t="s">
        <v>2615</v>
      </c>
      <c r="X117" s="3" t="s">
        <v>2616</v>
      </c>
      <c r="Y117" s="3" t="s">
        <v>2617</v>
      </c>
      <c r="Z117" s="3" t="s">
        <v>74</v>
      </c>
      <c r="AA117" s="3" t="s">
        <v>74</v>
      </c>
      <c r="AB117" s="3" t="s">
        <v>74</v>
      </c>
      <c r="AC117" s="3" t="s">
        <v>74</v>
      </c>
      <c r="AD117" s="3" t="s">
        <v>74</v>
      </c>
      <c r="AE117" s="3" t="s">
        <v>74</v>
      </c>
      <c r="AF117" s="3" t="s">
        <v>74</v>
      </c>
      <c r="AG117" s="3">
        <v>6</v>
      </c>
      <c r="AH117" s="3">
        <v>0</v>
      </c>
      <c r="AI117" s="3">
        <v>0</v>
      </c>
      <c r="AJ117" s="3">
        <v>0</v>
      </c>
      <c r="AK117" s="3">
        <v>4</v>
      </c>
      <c r="AL117" s="3" t="s">
        <v>2618</v>
      </c>
      <c r="AM117" s="3" t="s">
        <v>2619</v>
      </c>
      <c r="AN117" s="3" t="s">
        <v>2620</v>
      </c>
      <c r="AO117" s="3" t="s">
        <v>2621</v>
      </c>
      <c r="AP117" s="3" t="s">
        <v>74</v>
      </c>
      <c r="AQ117" s="3" t="s">
        <v>2622</v>
      </c>
      <c r="AR117" s="3" t="s">
        <v>2623</v>
      </c>
      <c r="AS117" s="3" t="s">
        <v>74</v>
      </c>
      <c r="AT117" s="3" t="s">
        <v>74</v>
      </c>
      <c r="AU117" s="3">
        <v>2015</v>
      </c>
      <c r="AV117" s="3" t="s">
        <v>74</v>
      </c>
      <c r="AW117" s="3" t="s">
        <v>74</v>
      </c>
      <c r="AX117" s="3" t="s">
        <v>74</v>
      </c>
      <c r="AY117" s="3" t="s">
        <v>74</v>
      </c>
      <c r="AZ117" s="3" t="s">
        <v>74</v>
      </c>
      <c r="BA117" s="3" t="s">
        <v>74</v>
      </c>
      <c r="BB117" s="3">
        <v>883</v>
      </c>
      <c r="BC117" s="3">
        <v>889</v>
      </c>
      <c r="BD117" s="3" t="s">
        <v>74</v>
      </c>
      <c r="BE117" s="3" t="s">
        <v>74</v>
      </c>
      <c r="BF117" s="3" t="s">
        <v>74</v>
      </c>
      <c r="BG117" s="3" t="s">
        <v>74</v>
      </c>
      <c r="BH117" s="3" t="s">
        <v>74</v>
      </c>
      <c r="BI117" s="3">
        <v>7</v>
      </c>
      <c r="BJ117" s="3" t="s">
        <v>2624</v>
      </c>
      <c r="BK117" s="3" t="s">
        <v>208</v>
      </c>
      <c r="BL117" s="3" t="s">
        <v>2625</v>
      </c>
      <c r="BM117" s="3" t="s">
        <v>2626</v>
      </c>
      <c r="BN117" s="3" t="s">
        <v>74</v>
      </c>
      <c r="BO117" s="3" t="s">
        <v>74</v>
      </c>
      <c r="BP117" s="3" t="s">
        <v>74</v>
      </c>
      <c r="BQ117" s="3" t="s">
        <v>74</v>
      </c>
      <c r="BR117" s="3" t="s">
        <v>101</v>
      </c>
      <c r="BS117" s="3" t="s">
        <v>2627</v>
      </c>
      <c r="BT117" s="3" t="str">
        <f>HYPERLINK("https%3A%2F%2Fwww.webofscience.com%2Fwos%2Fwoscc%2Ffull-record%2FWOS:000371599500113","View Full Record in Web of Science")</f>
        <v>View Full Record in Web of Science</v>
      </c>
      <c r="BU117" s="3"/>
      <c r="BV117" s="3"/>
      <c r="BW117" s="1"/>
    </row>
    <row r="118" spans="1:75" x14ac:dyDescent="0.25">
      <c r="A118" s="3" t="s">
        <v>72</v>
      </c>
      <c r="B118" s="3" t="s">
        <v>2628</v>
      </c>
      <c r="C118" s="3" t="s">
        <v>74</v>
      </c>
      <c r="D118" s="3" t="s">
        <v>74</v>
      </c>
      <c r="E118" s="3" t="s">
        <v>74</v>
      </c>
      <c r="F118" s="3" t="s">
        <v>2629</v>
      </c>
      <c r="G118" s="3" t="s">
        <v>74</v>
      </c>
      <c r="H118" s="3" t="s">
        <v>74</v>
      </c>
      <c r="I118" s="3" t="s">
        <v>2630</v>
      </c>
      <c r="J118" s="3" t="s">
        <v>2631</v>
      </c>
      <c r="K118" s="3" t="s">
        <v>74</v>
      </c>
      <c r="L118" s="3" t="s">
        <v>74</v>
      </c>
      <c r="M118" s="3" t="s">
        <v>110</v>
      </c>
      <c r="N118" s="3" t="s">
        <v>79</v>
      </c>
      <c r="O118" s="3" t="s">
        <v>74</v>
      </c>
      <c r="P118" s="3" t="s">
        <v>74</v>
      </c>
      <c r="Q118" s="3" t="s">
        <v>74</v>
      </c>
      <c r="R118" s="3" t="s">
        <v>74</v>
      </c>
      <c r="S118" s="3" t="s">
        <v>74</v>
      </c>
      <c r="T118" s="3" t="s">
        <v>2632</v>
      </c>
      <c r="U118" s="3" t="s">
        <v>2633</v>
      </c>
      <c r="V118" s="3" t="s">
        <v>2634</v>
      </c>
      <c r="W118" s="3" t="s">
        <v>2635</v>
      </c>
      <c r="X118" s="3" t="s">
        <v>2636</v>
      </c>
      <c r="Y118" s="3" t="s">
        <v>2637</v>
      </c>
      <c r="Z118" s="3" t="s">
        <v>2638</v>
      </c>
      <c r="AA118" s="3" t="s">
        <v>2639</v>
      </c>
      <c r="AB118" s="3" t="s">
        <v>2640</v>
      </c>
      <c r="AC118" s="3" t="s">
        <v>74</v>
      </c>
      <c r="AD118" s="3" t="s">
        <v>74</v>
      </c>
      <c r="AE118" s="3" t="s">
        <v>74</v>
      </c>
      <c r="AF118" s="3" t="s">
        <v>74</v>
      </c>
      <c r="AG118" s="3">
        <v>84</v>
      </c>
      <c r="AH118" s="3">
        <v>486</v>
      </c>
      <c r="AI118" s="3">
        <v>546</v>
      </c>
      <c r="AJ118" s="3">
        <v>30</v>
      </c>
      <c r="AK118" s="3">
        <v>485</v>
      </c>
      <c r="AL118" s="3" t="s">
        <v>2641</v>
      </c>
      <c r="AM118" s="3" t="s">
        <v>2642</v>
      </c>
      <c r="AN118" s="3" t="s">
        <v>2643</v>
      </c>
      <c r="AO118" s="3" t="s">
        <v>2644</v>
      </c>
      <c r="AP118" s="3" t="s">
        <v>74</v>
      </c>
      <c r="AQ118" s="3" t="s">
        <v>74</v>
      </c>
      <c r="AR118" s="3" t="s">
        <v>2645</v>
      </c>
      <c r="AS118" s="3" t="s">
        <v>2646</v>
      </c>
      <c r="AT118" s="3" t="s">
        <v>1240</v>
      </c>
      <c r="AU118" s="3">
        <v>2016</v>
      </c>
      <c r="AV118" s="3">
        <v>50</v>
      </c>
      <c r="AW118" s="3">
        <v>2</v>
      </c>
      <c r="AX118" s="3" t="s">
        <v>74</v>
      </c>
      <c r="AY118" s="3" t="s">
        <v>74</v>
      </c>
      <c r="AZ118" s="3" t="s">
        <v>880</v>
      </c>
      <c r="BA118" s="3" t="s">
        <v>74</v>
      </c>
      <c r="BB118" s="3">
        <v>579</v>
      </c>
      <c r="BC118" s="3">
        <v>590</v>
      </c>
      <c r="BD118" s="3" t="s">
        <v>74</v>
      </c>
      <c r="BE118" s="3" t="s">
        <v>2647</v>
      </c>
      <c r="BF118" s="3" t="str">
        <f>HYPERLINK("http://dx.doi.org/10.1287/trsc.2016.0675","http://dx.doi.org/10.1287/trsc.2016.0675")</f>
        <v>http://dx.doi.org/10.1287/trsc.2016.0675</v>
      </c>
      <c r="BG118" s="3" t="s">
        <v>74</v>
      </c>
      <c r="BH118" s="3" t="s">
        <v>74</v>
      </c>
      <c r="BI118" s="3">
        <v>12</v>
      </c>
      <c r="BJ118" s="3" t="s">
        <v>2648</v>
      </c>
      <c r="BK118" s="3" t="s">
        <v>154</v>
      </c>
      <c r="BL118" s="3" t="s">
        <v>2649</v>
      </c>
      <c r="BM118" s="3" t="s">
        <v>2650</v>
      </c>
      <c r="BN118" s="3" t="s">
        <v>74</v>
      </c>
      <c r="BO118" s="3" t="s">
        <v>133</v>
      </c>
      <c r="BP118" s="3" t="s">
        <v>74</v>
      </c>
      <c r="BQ118" s="3" t="s">
        <v>74</v>
      </c>
      <c r="BR118" s="3" t="s">
        <v>101</v>
      </c>
      <c r="BS118" s="3" t="s">
        <v>2651</v>
      </c>
      <c r="BT118" s="3" t="str">
        <f>HYPERLINK("https%3A%2F%2Fwww.webofscience.com%2Fwos%2Fwoscc%2Ffull-record%2FWOS:000375656200013","View Full Record in Web of Science")</f>
        <v>View Full Record in Web of Science</v>
      </c>
      <c r="BU118" s="3"/>
      <c r="BV118" s="3"/>
      <c r="BW118" s="1"/>
    </row>
    <row r="119" spans="1:75" x14ac:dyDescent="0.25">
      <c r="A119" s="3" t="s">
        <v>103</v>
      </c>
      <c r="B119" s="3" t="s">
        <v>2652</v>
      </c>
      <c r="C119" s="3" t="s">
        <v>74</v>
      </c>
      <c r="D119" s="3" t="s">
        <v>74</v>
      </c>
      <c r="E119" s="3" t="s">
        <v>199</v>
      </c>
      <c r="F119" s="3" t="s">
        <v>2653</v>
      </c>
      <c r="G119" s="3" t="s">
        <v>74</v>
      </c>
      <c r="H119" s="3" t="s">
        <v>74</v>
      </c>
      <c r="I119" s="3" t="s">
        <v>2654</v>
      </c>
      <c r="J119" s="3" t="s">
        <v>2655</v>
      </c>
      <c r="K119" s="3" t="s">
        <v>74</v>
      </c>
      <c r="L119" s="3" t="s">
        <v>74</v>
      </c>
      <c r="M119" s="3" t="s">
        <v>110</v>
      </c>
      <c r="N119" s="3" t="s">
        <v>111</v>
      </c>
      <c r="O119" s="3" t="s">
        <v>2656</v>
      </c>
      <c r="P119" s="3" t="s">
        <v>2657</v>
      </c>
      <c r="Q119" s="3" t="s">
        <v>2658</v>
      </c>
      <c r="R119" s="3" t="s">
        <v>74</v>
      </c>
      <c r="S119" s="3" t="s">
        <v>74</v>
      </c>
      <c r="T119" s="3" t="s">
        <v>74</v>
      </c>
      <c r="U119" s="3" t="s">
        <v>74</v>
      </c>
      <c r="V119" s="3" t="s">
        <v>2659</v>
      </c>
      <c r="W119" s="3" t="s">
        <v>2660</v>
      </c>
      <c r="X119" s="3" t="s">
        <v>2661</v>
      </c>
      <c r="Y119" s="3" t="s">
        <v>2662</v>
      </c>
      <c r="Z119" s="3" t="s">
        <v>2663</v>
      </c>
      <c r="AA119" s="3" t="s">
        <v>2664</v>
      </c>
      <c r="AB119" s="3" t="s">
        <v>2665</v>
      </c>
      <c r="AC119" s="3" t="s">
        <v>74</v>
      </c>
      <c r="AD119" s="3" t="s">
        <v>74</v>
      </c>
      <c r="AE119" s="3" t="s">
        <v>74</v>
      </c>
      <c r="AF119" s="3" t="s">
        <v>74</v>
      </c>
      <c r="AG119" s="3">
        <v>12</v>
      </c>
      <c r="AH119" s="3">
        <v>15</v>
      </c>
      <c r="AI119" s="3">
        <v>16</v>
      </c>
      <c r="AJ119" s="3">
        <v>0</v>
      </c>
      <c r="AK119" s="3">
        <v>7</v>
      </c>
      <c r="AL119" s="3" t="s">
        <v>199</v>
      </c>
      <c r="AM119" s="3" t="s">
        <v>200</v>
      </c>
      <c r="AN119" s="3" t="s">
        <v>201</v>
      </c>
      <c r="AO119" s="3" t="s">
        <v>74</v>
      </c>
      <c r="AP119" s="3" t="s">
        <v>74</v>
      </c>
      <c r="AQ119" s="3" t="s">
        <v>74</v>
      </c>
      <c r="AR119" s="3" t="s">
        <v>74</v>
      </c>
      <c r="AS119" s="3" t="s">
        <v>74</v>
      </c>
      <c r="AT119" s="3" t="s">
        <v>74</v>
      </c>
      <c r="AU119" s="3">
        <v>2013</v>
      </c>
      <c r="AV119" s="3" t="s">
        <v>74</v>
      </c>
      <c r="AW119" s="3" t="s">
        <v>74</v>
      </c>
      <c r="AX119" s="3" t="s">
        <v>74</v>
      </c>
      <c r="AY119" s="3" t="s">
        <v>74</v>
      </c>
      <c r="AZ119" s="3" t="s">
        <v>74</v>
      </c>
      <c r="BA119" s="3" t="s">
        <v>74</v>
      </c>
      <c r="BB119" s="3">
        <v>2571</v>
      </c>
      <c r="BC119" s="3">
        <v>2575</v>
      </c>
      <c r="BD119" s="3" t="s">
        <v>74</v>
      </c>
      <c r="BE119" s="3" t="s">
        <v>74</v>
      </c>
      <c r="BF119" s="3" t="s">
        <v>74</v>
      </c>
      <c r="BG119" s="3" t="s">
        <v>74</v>
      </c>
      <c r="BH119" s="3" t="s">
        <v>74</v>
      </c>
      <c r="BI119" s="3">
        <v>5</v>
      </c>
      <c r="BJ119" s="3" t="s">
        <v>1225</v>
      </c>
      <c r="BK119" s="3" t="s">
        <v>208</v>
      </c>
      <c r="BL119" s="3" t="s">
        <v>1226</v>
      </c>
      <c r="BM119" s="3" t="s">
        <v>2666</v>
      </c>
      <c r="BN119" s="3" t="s">
        <v>74</v>
      </c>
      <c r="BO119" s="3" t="s">
        <v>74</v>
      </c>
      <c r="BP119" s="3" t="s">
        <v>74</v>
      </c>
      <c r="BQ119" s="3" t="s">
        <v>74</v>
      </c>
      <c r="BR119" s="3" t="s">
        <v>101</v>
      </c>
      <c r="BS119" s="3" t="s">
        <v>2667</v>
      </c>
      <c r="BT119" s="3" t="str">
        <f>HYPERLINK("https%3A%2F%2Fwww.webofscience.com%2Fwos%2Fwoscc%2Ffull-record%2FWOS:000346481202122","View Full Record in Web of Science")</f>
        <v>View Full Record in Web of Science</v>
      </c>
      <c r="BU119" s="3"/>
      <c r="BV119" s="3"/>
      <c r="BW119" s="1"/>
    </row>
    <row r="120" spans="1:75" x14ac:dyDescent="0.25">
      <c r="A120" s="3" t="s">
        <v>72</v>
      </c>
      <c r="B120" s="3" t="s">
        <v>2668</v>
      </c>
      <c r="C120" s="3" t="s">
        <v>74</v>
      </c>
      <c r="D120" s="3" t="s">
        <v>74</v>
      </c>
      <c r="E120" s="3" t="s">
        <v>74</v>
      </c>
      <c r="F120" s="3" t="s">
        <v>2669</v>
      </c>
      <c r="G120" s="3" t="s">
        <v>74</v>
      </c>
      <c r="H120" s="3" t="s">
        <v>74</v>
      </c>
      <c r="I120" s="3" t="s">
        <v>2670</v>
      </c>
      <c r="J120" s="3" t="s">
        <v>2671</v>
      </c>
      <c r="K120" s="3" t="s">
        <v>74</v>
      </c>
      <c r="L120" s="3" t="s">
        <v>74</v>
      </c>
      <c r="M120" s="3" t="s">
        <v>110</v>
      </c>
      <c r="N120" s="3" t="s">
        <v>79</v>
      </c>
      <c r="O120" s="3" t="s">
        <v>74</v>
      </c>
      <c r="P120" s="3" t="s">
        <v>74</v>
      </c>
      <c r="Q120" s="3" t="s">
        <v>74</v>
      </c>
      <c r="R120" s="3" t="s">
        <v>74</v>
      </c>
      <c r="S120" s="3" t="s">
        <v>74</v>
      </c>
      <c r="T120" s="3" t="s">
        <v>2672</v>
      </c>
      <c r="U120" s="3" t="s">
        <v>2673</v>
      </c>
      <c r="V120" s="3" t="s">
        <v>2674</v>
      </c>
      <c r="W120" s="3" t="s">
        <v>2675</v>
      </c>
      <c r="X120" s="3" t="s">
        <v>2676</v>
      </c>
      <c r="Y120" s="3" t="s">
        <v>2677</v>
      </c>
      <c r="Z120" s="3" t="s">
        <v>2678</v>
      </c>
      <c r="AA120" s="3" t="s">
        <v>2679</v>
      </c>
      <c r="AB120" s="3" t="s">
        <v>2680</v>
      </c>
      <c r="AC120" s="3" t="s">
        <v>74</v>
      </c>
      <c r="AD120" s="3" t="s">
        <v>74</v>
      </c>
      <c r="AE120" s="3" t="s">
        <v>74</v>
      </c>
      <c r="AF120" s="3" t="s">
        <v>74</v>
      </c>
      <c r="AG120" s="3">
        <v>109</v>
      </c>
      <c r="AH120" s="3">
        <v>37</v>
      </c>
      <c r="AI120" s="3">
        <v>42</v>
      </c>
      <c r="AJ120" s="3">
        <v>3</v>
      </c>
      <c r="AK120" s="3">
        <v>30</v>
      </c>
      <c r="AL120" s="3" t="s">
        <v>2681</v>
      </c>
      <c r="AM120" s="3" t="s">
        <v>1009</v>
      </c>
      <c r="AN120" s="3" t="s">
        <v>2682</v>
      </c>
      <c r="AO120" s="3" t="s">
        <v>74</v>
      </c>
      <c r="AP120" s="3" t="s">
        <v>2683</v>
      </c>
      <c r="AQ120" s="3" t="s">
        <v>74</v>
      </c>
      <c r="AR120" s="3" t="s">
        <v>2684</v>
      </c>
      <c r="AS120" s="3" t="s">
        <v>2685</v>
      </c>
      <c r="AT120" s="3" t="s">
        <v>2686</v>
      </c>
      <c r="AU120" s="3">
        <v>2024</v>
      </c>
      <c r="AV120" s="3">
        <v>10</v>
      </c>
      <c r="AW120" s="3" t="s">
        <v>74</v>
      </c>
      <c r="AX120" s="3" t="s">
        <v>74</v>
      </c>
      <c r="AY120" s="3" t="s">
        <v>74</v>
      </c>
      <c r="AZ120" s="3" t="s">
        <v>74</v>
      </c>
      <c r="BA120" s="3" t="s">
        <v>74</v>
      </c>
      <c r="BB120" s="3" t="s">
        <v>74</v>
      </c>
      <c r="BC120" s="3" t="s">
        <v>74</v>
      </c>
      <c r="BD120" s="3">
        <v>1776</v>
      </c>
      <c r="BE120" s="3" t="s">
        <v>2687</v>
      </c>
      <c r="BF120" s="3" t="str">
        <f>HYPERLINK("http://dx.doi.org/10.7717/peerj-cs.1776","http://dx.doi.org/10.7717/peerj-cs.1776")</f>
        <v>http://dx.doi.org/10.7717/peerj-cs.1776</v>
      </c>
      <c r="BG120" s="3" t="s">
        <v>74</v>
      </c>
      <c r="BH120" s="3" t="s">
        <v>74</v>
      </c>
      <c r="BI120" s="3">
        <v>35</v>
      </c>
      <c r="BJ120" s="3" t="s">
        <v>2688</v>
      </c>
      <c r="BK120" s="3" t="s">
        <v>179</v>
      </c>
      <c r="BL120" s="3" t="s">
        <v>486</v>
      </c>
      <c r="BM120" s="3" t="s">
        <v>2689</v>
      </c>
      <c r="BN120" s="3">
        <v>38435609</v>
      </c>
      <c r="BO120" s="3" t="s">
        <v>133</v>
      </c>
      <c r="BP120" s="3" t="s">
        <v>74</v>
      </c>
      <c r="BQ120" s="3" t="s">
        <v>74</v>
      </c>
      <c r="BR120" s="3" t="s">
        <v>101</v>
      </c>
      <c r="BS120" s="3" t="s">
        <v>2690</v>
      </c>
      <c r="BT120" s="3" t="str">
        <f>HYPERLINK("https%3A%2F%2Fwww.webofscience.com%2Fwos%2Fwoscc%2Ffull-record%2FWOS:001158738200004","View Full Record in Web of Science")</f>
        <v>View Full Record in Web of Science</v>
      </c>
      <c r="BU120" s="3"/>
      <c r="BV120" s="3"/>
      <c r="BW120" s="1"/>
    </row>
    <row r="121" spans="1:75" x14ac:dyDescent="0.25">
      <c r="A121" s="3" t="s">
        <v>72</v>
      </c>
      <c r="B121" s="3" t="s">
        <v>2691</v>
      </c>
      <c r="C121" s="3" t="s">
        <v>74</v>
      </c>
      <c r="D121" s="3" t="s">
        <v>74</v>
      </c>
      <c r="E121" s="3" t="s">
        <v>74</v>
      </c>
      <c r="F121" s="3" t="s">
        <v>2692</v>
      </c>
      <c r="G121" s="3" t="s">
        <v>74</v>
      </c>
      <c r="H121" s="3" t="s">
        <v>74</v>
      </c>
      <c r="I121" s="3" t="s">
        <v>2693</v>
      </c>
      <c r="J121" s="3" t="s">
        <v>2694</v>
      </c>
      <c r="K121" s="3" t="s">
        <v>74</v>
      </c>
      <c r="L121" s="3" t="s">
        <v>74</v>
      </c>
      <c r="M121" s="3" t="s">
        <v>110</v>
      </c>
      <c r="N121" s="3" t="s">
        <v>216</v>
      </c>
      <c r="O121" s="3" t="s">
        <v>74</v>
      </c>
      <c r="P121" s="3" t="s">
        <v>74</v>
      </c>
      <c r="Q121" s="3" t="s">
        <v>74</v>
      </c>
      <c r="R121" s="3" t="s">
        <v>74</v>
      </c>
      <c r="S121" s="3" t="s">
        <v>74</v>
      </c>
      <c r="T121" s="3" t="s">
        <v>2695</v>
      </c>
      <c r="U121" s="3" t="s">
        <v>2696</v>
      </c>
      <c r="V121" s="3" t="s">
        <v>2697</v>
      </c>
      <c r="W121" s="3" t="s">
        <v>2698</v>
      </c>
      <c r="X121" s="3" t="s">
        <v>2699</v>
      </c>
      <c r="Y121" s="3" t="s">
        <v>2700</v>
      </c>
      <c r="Z121" s="3" t="s">
        <v>2701</v>
      </c>
      <c r="AA121" s="3" t="s">
        <v>2702</v>
      </c>
      <c r="AB121" s="3" t="s">
        <v>2703</v>
      </c>
      <c r="AC121" s="3" t="s">
        <v>2704</v>
      </c>
      <c r="AD121" s="3" t="s">
        <v>2705</v>
      </c>
      <c r="AE121" s="3" t="s">
        <v>2706</v>
      </c>
      <c r="AF121" s="3" t="s">
        <v>74</v>
      </c>
      <c r="AG121" s="3">
        <v>62</v>
      </c>
      <c r="AH121" s="3">
        <v>20</v>
      </c>
      <c r="AI121" s="3">
        <v>22</v>
      </c>
      <c r="AJ121" s="3">
        <v>31</v>
      </c>
      <c r="AK121" s="3">
        <v>44</v>
      </c>
      <c r="AL121" s="3" t="s">
        <v>671</v>
      </c>
      <c r="AM121" s="3" t="s">
        <v>124</v>
      </c>
      <c r="AN121" s="3" t="s">
        <v>672</v>
      </c>
      <c r="AO121" s="3" t="s">
        <v>2707</v>
      </c>
      <c r="AP121" s="3" t="s">
        <v>2708</v>
      </c>
      <c r="AQ121" s="3" t="s">
        <v>74</v>
      </c>
      <c r="AR121" s="3" t="s">
        <v>2709</v>
      </c>
      <c r="AS121" s="3" t="s">
        <v>2710</v>
      </c>
      <c r="AT121" s="3" t="s">
        <v>949</v>
      </c>
      <c r="AU121" s="3">
        <v>2025</v>
      </c>
      <c r="AV121" s="3">
        <v>116</v>
      </c>
      <c r="AW121" s="3" t="s">
        <v>74</v>
      </c>
      <c r="AX121" s="3" t="s">
        <v>74</v>
      </c>
      <c r="AY121" s="3" t="s">
        <v>74</v>
      </c>
      <c r="AZ121" s="3" t="s">
        <v>74</v>
      </c>
      <c r="BA121" s="3" t="s">
        <v>74</v>
      </c>
      <c r="BB121" s="3">
        <v>512</v>
      </c>
      <c r="BC121" s="3">
        <v>524</v>
      </c>
      <c r="BD121" s="3" t="s">
        <v>74</v>
      </c>
      <c r="BE121" s="3" t="s">
        <v>2711</v>
      </c>
      <c r="BF121" s="3" t="str">
        <f>HYPERLINK("http://dx.doi.org/10.1016/j.aej.2024.12.078","http://dx.doi.org/10.1016/j.aej.2024.12.078")</f>
        <v>http://dx.doi.org/10.1016/j.aej.2024.12.078</v>
      </c>
      <c r="BG121" s="3" t="s">
        <v>74</v>
      </c>
      <c r="BH121" s="3" t="s">
        <v>2712</v>
      </c>
      <c r="BI121" s="3">
        <v>13</v>
      </c>
      <c r="BJ121" s="3" t="s">
        <v>2600</v>
      </c>
      <c r="BK121" s="3" t="s">
        <v>179</v>
      </c>
      <c r="BL121" s="3" t="s">
        <v>2601</v>
      </c>
      <c r="BM121" s="3" t="s">
        <v>2713</v>
      </c>
      <c r="BN121" s="3" t="s">
        <v>74</v>
      </c>
      <c r="BO121" s="3" t="s">
        <v>100</v>
      </c>
      <c r="BP121" s="3" t="s">
        <v>74</v>
      </c>
      <c r="BQ121" s="3" t="s">
        <v>74</v>
      </c>
      <c r="BR121" s="3" t="s">
        <v>101</v>
      </c>
      <c r="BS121" s="3" t="s">
        <v>2714</v>
      </c>
      <c r="BT121" s="3" t="str">
        <f>HYPERLINK("https%3A%2F%2Fwww.webofscience.com%2Fwos%2Fwoscc%2Ffull-record%2FWOS:001407794600001","View Full Record in Web of Science")</f>
        <v>View Full Record in Web of Science</v>
      </c>
      <c r="BU121" s="3"/>
      <c r="BV121" s="3"/>
      <c r="BW121" s="1"/>
    </row>
    <row r="122" spans="1:75" x14ac:dyDescent="0.25">
      <c r="A122" s="3" t="s">
        <v>72</v>
      </c>
      <c r="B122" s="3" t="s">
        <v>2715</v>
      </c>
      <c r="C122" s="3" t="s">
        <v>74</v>
      </c>
      <c r="D122" s="3" t="s">
        <v>74</v>
      </c>
      <c r="E122" s="3" t="s">
        <v>74</v>
      </c>
      <c r="F122" s="3" t="s">
        <v>2716</v>
      </c>
      <c r="G122" s="3" t="s">
        <v>74</v>
      </c>
      <c r="H122" s="3" t="s">
        <v>74</v>
      </c>
      <c r="I122" s="3" t="s">
        <v>2717</v>
      </c>
      <c r="J122" s="3" t="s">
        <v>2718</v>
      </c>
      <c r="K122" s="3" t="s">
        <v>74</v>
      </c>
      <c r="L122" s="3" t="s">
        <v>74</v>
      </c>
      <c r="M122" s="3" t="s">
        <v>110</v>
      </c>
      <c r="N122" s="3" t="s">
        <v>79</v>
      </c>
      <c r="O122" s="3" t="s">
        <v>74</v>
      </c>
      <c r="P122" s="3" t="s">
        <v>74</v>
      </c>
      <c r="Q122" s="3" t="s">
        <v>74</v>
      </c>
      <c r="R122" s="3" t="s">
        <v>74</v>
      </c>
      <c r="S122" s="3" t="s">
        <v>74</v>
      </c>
      <c r="T122" s="3" t="s">
        <v>2719</v>
      </c>
      <c r="U122" s="3" t="s">
        <v>2720</v>
      </c>
      <c r="V122" s="3" t="s">
        <v>2721</v>
      </c>
      <c r="W122" s="3" t="s">
        <v>2722</v>
      </c>
      <c r="X122" s="3" t="s">
        <v>2723</v>
      </c>
      <c r="Y122" s="3" t="s">
        <v>2724</v>
      </c>
      <c r="Z122" s="3" t="s">
        <v>2725</v>
      </c>
      <c r="AA122" s="3" t="s">
        <v>2726</v>
      </c>
      <c r="AB122" s="3" t="s">
        <v>2727</v>
      </c>
      <c r="AC122" s="3" t="s">
        <v>74</v>
      </c>
      <c r="AD122" s="3" t="s">
        <v>74</v>
      </c>
      <c r="AE122" s="3" t="s">
        <v>74</v>
      </c>
      <c r="AF122" s="3" t="s">
        <v>74</v>
      </c>
      <c r="AG122" s="3">
        <v>79</v>
      </c>
      <c r="AH122" s="3">
        <v>20</v>
      </c>
      <c r="AI122" s="3">
        <v>21</v>
      </c>
      <c r="AJ122" s="3">
        <v>19</v>
      </c>
      <c r="AK122" s="3">
        <v>62</v>
      </c>
      <c r="AL122" s="3" t="s">
        <v>304</v>
      </c>
      <c r="AM122" s="3" t="s">
        <v>305</v>
      </c>
      <c r="AN122" s="3" t="s">
        <v>306</v>
      </c>
      <c r="AO122" s="3" t="s">
        <v>2728</v>
      </c>
      <c r="AP122" s="3" t="s">
        <v>2729</v>
      </c>
      <c r="AQ122" s="3" t="s">
        <v>74</v>
      </c>
      <c r="AR122" s="3" t="s">
        <v>2730</v>
      </c>
      <c r="AS122" s="3" t="s">
        <v>2731</v>
      </c>
      <c r="AT122" s="3" t="s">
        <v>608</v>
      </c>
      <c r="AU122" s="3">
        <v>2024</v>
      </c>
      <c r="AV122" s="3">
        <v>161</v>
      </c>
      <c r="AW122" s="3" t="s">
        <v>74</v>
      </c>
      <c r="AX122" s="3" t="s">
        <v>74</v>
      </c>
      <c r="AY122" s="3" t="s">
        <v>74</v>
      </c>
      <c r="AZ122" s="3" t="s">
        <v>74</v>
      </c>
      <c r="BA122" s="3" t="s">
        <v>74</v>
      </c>
      <c r="BB122" s="3" t="s">
        <v>74</v>
      </c>
      <c r="BC122" s="3" t="s">
        <v>74</v>
      </c>
      <c r="BD122" s="3">
        <v>104544</v>
      </c>
      <c r="BE122" s="3" t="s">
        <v>2732</v>
      </c>
      <c r="BF122" s="3" t="str">
        <f>HYPERLINK("http://dx.doi.org/10.1016/j.trc.2024.104544","http://dx.doi.org/10.1016/j.trc.2024.104544")</f>
        <v>http://dx.doi.org/10.1016/j.trc.2024.104544</v>
      </c>
      <c r="BG122" s="3" t="s">
        <v>74</v>
      </c>
      <c r="BH122" s="3" t="s">
        <v>2733</v>
      </c>
      <c r="BI122" s="3">
        <v>22</v>
      </c>
      <c r="BJ122" s="3" t="s">
        <v>2355</v>
      </c>
      <c r="BK122" s="3" t="s">
        <v>179</v>
      </c>
      <c r="BL122" s="3" t="s">
        <v>131</v>
      </c>
      <c r="BM122" s="3" t="s">
        <v>2734</v>
      </c>
      <c r="BN122" s="3" t="s">
        <v>74</v>
      </c>
      <c r="BO122" s="3" t="s">
        <v>74</v>
      </c>
      <c r="BP122" s="3" t="s">
        <v>74</v>
      </c>
      <c r="BQ122" s="3" t="s">
        <v>74</v>
      </c>
      <c r="BR122" s="3" t="s">
        <v>101</v>
      </c>
      <c r="BS122" s="3" t="s">
        <v>2735</v>
      </c>
      <c r="BT122" s="3" t="str">
        <f>HYPERLINK("https%3A%2F%2Fwww.webofscience.com%2Fwos%2Fwoscc%2Ffull-record%2FWOS:001214459900001","View Full Record in Web of Science")</f>
        <v>View Full Record in Web of Science</v>
      </c>
      <c r="BU122" s="3"/>
      <c r="BV122" s="3"/>
      <c r="BW122" s="1"/>
    </row>
    <row r="123" spans="1:75" x14ac:dyDescent="0.25">
      <c r="A123" s="3" t="s">
        <v>72</v>
      </c>
      <c r="B123" s="3" t="s">
        <v>2736</v>
      </c>
      <c r="C123" s="3" t="s">
        <v>74</v>
      </c>
      <c r="D123" s="3" t="s">
        <v>74</v>
      </c>
      <c r="E123" s="3" t="s">
        <v>74</v>
      </c>
      <c r="F123" s="3" t="s">
        <v>2737</v>
      </c>
      <c r="G123" s="3" t="s">
        <v>74</v>
      </c>
      <c r="H123" s="3" t="s">
        <v>74</v>
      </c>
      <c r="I123" s="3" t="s">
        <v>2738</v>
      </c>
      <c r="J123" s="3" t="s">
        <v>661</v>
      </c>
      <c r="K123" s="3" t="s">
        <v>74</v>
      </c>
      <c r="L123" s="3" t="s">
        <v>74</v>
      </c>
      <c r="M123" s="3" t="s">
        <v>110</v>
      </c>
      <c r="N123" s="3" t="s">
        <v>79</v>
      </c>
      <c r="O123" s="3" t="s">
        <v>74</v>
      </c>
      <c r="P123" s="3" t="s">
        <v>74</v>
      </c>
      <c r="Q123" s="3" t="s">
        <v>74</v>
      </c>
      <c r="R123" s="3" t="s">
        <v>74</v>
      </c>
      <c r="S123" s="3" t="s">
        <v>74</v>
      </c>
      <c r="T123" s="3" t="s">
        <v>2739</v>
      </c>
      <c r="U123" s="3" t="s">
        <v>2740</v>
      </c>
      <c r="V123" s="3" t="s">
        <v>2741</v>
      </c>
      <c r="W123" s="3" t="s">
        <v>2742</v>
      </c>
      <c r="X123" s="3" t="s">
        <v>2743</v>
      </c>
      <c r="Y123" s="3" t="s">
        <v>2744</v>
      </c>
      <c r="Z123" s="3" t="s">
        <v>2745</v>
      </c>
      <c r="AA123" s="3" t="s">
        <v>74</v>
      </c>
      <c r="AB123" s="3" t="s">
        <v>74</v>
      </c>
      <c r="AC123" s="3" t="s">
        <v>74</v>
      </c>
      <c r="AD123" s="3" t="s">
        <v>74</v>
      </c>
      <c r="AE123" s="3" t="s">
        <v>74</v>
      </c>
      <c r="AF123" s="3" t="s">
        <v>74</v>
      </c>
      <c r="AG123" s="3">
        <v>24</v>
      </c>
      <c r="AH123" s="3">
        <v>11</v>
      </c>
      <c r="AI123" s="3">
        <v>11</v>
      </c>
      <c r="AJ123" s="3">
        <v>5</v>
      </c>
      <c r="AK123" s="3">
        <v>18</v>
      </c>
      <c r="AL123" s="3" t="s">
        <v>671</v>
      </c>
      <c r="AM123" s="3" t="s">
        <v>124</v>
      </c>
      <c r="AN123" s="3" t="s">
        <v>672</v>
      </c>
      <c r="AO123" s="3" t="s">
        <v>673</v>
      </c>
      <c r="AP123" s="3" t="s">
        <v>674</v>
      </c>
      <c r="AQ123" s="3" t="s">
        <v>74</v>
      </c>
      <c r="AR123" s="3" t="s">
        <v>675</v>
      </c>
      <c r="AS123" s="3" t="s">
        <v>676</v>
      </c>
      <c r="AT123" s="3" t="s">
        <v>2746</v>
      </c>
      <c r="AU123" s="3">
        <v>2024</v>
      </c>
      <c r="AV123" s="3">
        <v>109</v>
      </c>
      <c r="AW123" s="3" t="s">
        <v>74</v>
      </c>
      <c r="AX123" s="3" t="s">
        <v>74</v>
      </c>
      <c r="AY123" s="3" t="s">
        <v>74</v>
      </c>
      <c r="AZ123" s="3" t="s">
        <v>74</v>
      </c>
      <c r="BA123" s="3" t="s">
        <v>74</v>
      </c>
      <c r="BB123" s="3" t="s">
        <v>74</v>
      </c>
      <c r="BC123" s="3" t="s">
        <v>74</v>
      </c>
      <c r="BD123" s="3">
        <v>105510</v>
      </c>
      <c r="BE123" s="3" t="s">
        <v>2747</v>
      </c>
      <c r="BF123" s="3" t="str">
        <f>HYPERLINK("http://dx.doi.org/10.1016/j.scs.2024.105510","http://dx.doi.org/10.1016/j.scs.2024.105510")</f>
        <v>http://dx.doi.org/10.1016/j.scs.2024.105510</v>
      </c>
      <c r="BG123" s="3" t="s">
        <v>74</v>
      </c>
      <c r="BH123" s="3" t="s">
        <v>2748</v>
      </c>
      <c r="BI123" s="3">
        <v>8</v>
      </c>
      <c r="BJ123" s="3" t="s">
        <v>680</v>
      </c>
      <c r="BK123" s="3" t="s">
        <v>179</v>
      </c>
      <c r="BL123" s="3" t="s">
        <v>681</v>
      </c>
      <c r="BM123" s="3" t="s">
        <v>2749</v>
      </c>
      <c r="BN123" s="3" t="s">
        <v>74</v>
      </c>
      <c r="BO123" s="3" t="s">
        <v>74</v>
      </c>
      <c r="BP123" s="3" t="s">
        <v>74</v>
      </c>
      <c r="BQ123" s="3" t="s">
        <v>74</v>
      </c>
      <c r="BR123" s="3" t="s">
        <v>101</v>
      </c>
      <c r="BS123" s="3" t="s">
        <v>2750</v>
      </c>
      <c r="BT123" s="3" t="str">
        <f>HYPERLINK("https%3A%2F%2Fwww.webofscience.com%2Fwos%2Fwoscc%2Ffull-record%2FWOS:001243442000001","View Full Record in Web of Science")</f>
        <v>View Full Record in Web of Science</v>
      </c>
      <c r="BU123" s="3"/>
      <c r="BV123" s="3"/>
      <c r="BW123" s="1"/>
    </row>
    <row r="124" spans="1:75" x14ac:dyDescent="0.25">
      <c r="A124" s="3" t="s">
        <v>103</v>
      </c>
      <c r="B124" s="3" t="s">
        <v>2751</v>
      </c>
      <c r="C124" s="3" t="s">
        <v>74</v>
      </c>
      <c r="D124" s="3" t="s">
        <v>2752</v>
      </c>
      <c r="E124" s="3" t="s">
        <v>74</v>
      </c>
      <c r="F124" s="3" t="s">
        <v>2753</v>
      </c>
      <c r="G124" s="3" t="s">
        <v>74</v>
      </c>
      <c r="H124" s="3" t="s">
        <v>74</v>
      </c>
      <c r="I124" s="3" t="s">
        <v>2754</v>
      </c>
      <c r="J124" s="3" t="s">
        <v>2755</v>
      </c>
      <c r="K124" s="3" t="s">
        <v>2756</v>
      </c>
      <c r="L124" s="3" t="s">
        <v>74</v>
      </c>
      <c r="M124" s="3" t="s">
        <v>110</v>
      </c>
      <c r="N124" s="3" t="s">
        <v>111</v>
      </c>
      <c r="O124" s="3" t="s">
        <v>2757</v>
      </c>
      <c r="P124" s="3">
        <v>2008</v>
      </c>
      <c r="Q124" s="3" t="s">
        <v>2758</v>
      </c>
      <c r="R124" s="3" t="s">
        <v>74</v>
      </c>
      <c r="S124" s="3" t="s">
        <v>74</v>
      </c>
      <c r="T124" s="3" t="s">
        <v>2759</v>
      </c>
      <c r="U124" s="3" t="s">
        <v>74</v>
      </c>
      <c r="V124" s="3" t="s">
        <v>2760</v>
      </c>
      <c r="W124" s="3" t="s">
        <v>2761</v>
      </c>
      <c r="X124" s="3" t="s">
        <v>2762</v>
      </c>
      <c r="Y124" s="3" t="s">
        <v>74</v>
      </c>
      <c r="Z124" s="3" t="s">
        <v>74</v>
      </c>
      <c r="AA124" s="3" t="s">
        <v>2763</v>
      </c>
      <c r="AB124" s="3" t="s">
        <v>2764</v>
      </c>
      <c r="AC124" s="3" t="s">
        <v>74</v>
      </c>
      <c r="AD124" s="3" t="s">
        <v>74</v>
      </c>
      <c r="AE124" s="3" t="s">
        <v>74</v>
      </c>
      <c r="AF124" s="3" t="s">
        <v>74</v>
      </c>
      <c r="AG124" s="3">
        <v>5</v>
      </c>
      <c r="AH124" s="3">
        <v>2</v>
      </c>
      <c r="AI124" s="3">
        <v>3</v>
      </c>
      <c r="AJ124" s="3">
        <v>0</v>
      </c>
      <c r="AK124" s="3">
        <v>10</v>
      </c>
      <c r="AL124" s="3" t="s">
        <v>2765</v>
      </c>
      <c r="AM124" s="3" t="s">
        <v>2766</v>
      </c>
      <c r="AN124" s="3" t="s">
        <v>2767</v>
      </c>
      <c r="AO124" s="3" t="s">
        <v>2768</v>
      </c>
      <c r="AP124" s="3" t="s">
        <v>74</v>
      </c>
      <c r="AQ124" s="3" t="s">
        <v>2769</v>
      </c>
      <c r="AR124" s="3" t="s">
        <v>2770</v>
      </c>
      <c r="AS124" s="3" t="s">
        <v>74</v>
      </c>
      <c r="AT124" s="3" t="s">
        <v>74</v>
      </c>
      <c r="AU124" s="3">
        <v>2008</v>
      </c>
      <c r="AV124" s="3">
        <v>101</v>
      </c>
      <c r="AW124" s="3" t="s">
        <v>74</v>
      </c>
      <c r="AX124" s="3" t="s">
        <v>74</v>
      </c>
      <c r="AY124" s="3" t="s">
        <v>74</v>
      </c>
      <c r="AZ124" s="3" t="s">
        <v>74</v>
      </c>
      <c r="BA124" s="3" t="s">
        <v>74</v>
      </c>
      <c r="BB124" s="3">
        <v>133</v>
      </c>
      <c r="BC124" s="3">
        <v>142</v>
      </c>
      <c r="BD124" s="3" t="s">
        <v>74</v>
      </c>
      <c r="BE124" s="3" t="s">
        <v>74</v>
      </c>
      <c r="BF124" s="3" t="s">
        <v>74</v>
      </c>
      <c r="BG124" s="3" t="s">
        <v>74</v>
      </c>
      <c r="BH124" s="3" t="s">
        <v>74</v>
      </c>
      <c r="BI124" s="3">
        <v>10</v>
      </c>
      <c r="BJ124" s="3" t="s">
        <v>2771</v>
      </c>
      <c r="BK124" s="3" t="s">
        <v>130</v>
      </c>
      <c r="BL124" s="3" t="s">
        <v>2772</v>
      </c>
      <c r="BM124" s="3" t="s">
        <v>2773</v>
      </c>
      <c r="BN124" s="3" t="s">
        <v>74</v>
      </c>
      <c r="BO124" s="3" t="s">
        <v>74</v>
      </c>
      <c r="BP124" s="3" t="s">
        <v>74</v>
      </c>
      <c r="BQ124" s="3" t="s">
        <v>74</v>
      </c>
      <c r="BR124" s="3" t="s">
        <v>101</v>
      </c>
      <c r="BS124" s="3" t="s">
        <v>2774</v>
      </c>
      <c r="BT124" s="3" t="str">
        <f>HYPERLINK("https%3A%2F%2Fwww.webofscience.com%2Fwos%2Fwoscc%2Ffull-record%2FWOS:000260019400014","View Full Record in Web of Science")</f>
        <v>View Full Record in Web of Science</v>
      </c>
      <c r="BU124" s="3"/>
      <c r="BV124" s="3"/>
      <c r="BW124" s="1"/>
    </row>
    <row r="125" spans="1:75" x14ac:dyDescent="0.25">
      <c r="A125" s="3" t="s">
        <v>72</v>
      </c>
      <c r="B125" s="3" t="s">
        <v>2775</v>
      </c>
      <c r="C125" s="3" t="s">
        <v>74</v>
      </c>
      <c r="D125" s="3" t="s">
        <v>74</v>
      </c>
      <c r="E125" s="3" t="s">
        <v>74</v>
      </c>
      <c r="F125" s="3" t="s">
        <v>2776</v>
      </c>
      <c r="G125" s="3" t="s">
        <v>74</v>
      </c>
      <c r="H125" s="3" t="s">
        <v>74</v>
      </c>
      <c r="I125" s="3" t="s">
        <v>2777</v>
      </c>
      <c r="J125" s="3" t="s">
        <v>2778</v>
      </c>
      <c r="K125" s="3" t="s">
        <v>74</v>
      </c>
      <c r="L125" s="3" t="s">
        <v>74</v>
      </c>
      <c r="M125" s="3" t="s">
        <v>110</v>
      </c>
      <c r="N125" s="3" t="s">
        <v>79</v>
      </c>
      <c r="O125" s="3" t="s">
        <v>74</v>
      </c>
      <c r="P125" s="3" t="s">
        <v>74</v>
      </c>
      <c r="Q125" s="3" t="s">
        <v>74</v>
      </c>
      <c r="R125" s="3" t="s">
        <v>74</v>
      </c>
      <c r="S125" s="3" t="s">
        <v>74</v>
      </c>
      <c r="T125" s="3" t="s">
        <v>2779</v>
      </c>
      <c r="U125" s="3" t="s">
        <v>2780</v>
      </c>
      <c r="V125" s="3" t="s">
        <v>2781</v>
      </c>
      <c r="W125" s="3" t="s">
        <v>2782</v>
      </c>
      <c r="X125" s="3" t="s">
        <v>2783</v>
      </c>
      <c r="Y125" s="3" t="s">
        <v>2784</v>
      </c>
      <c r="Z125" s="3" t="s">
        <v>2785</v>
      </c>
      <c r="AA125" s="3" t="s">
        <v>2786</v>
      </c>
      <c r="AB125" s="3" t="s">
        <v>2787</v>
      </c>
      <c r="AC125" s="3" t="s">
        <v>74</v>
      </c>
      <c r="AD125" s="3" t="s">
        <v>74</v>
      </c>
      <c r="AE125" s="3" t="s">
        <v>74</v>
      </c>
      <c r="AF125" s="3" t="s">
        <v>74</v>
      </c>
      <c r="AG125" s="3">
        <v>52</v>
      </c>
      <c r="AH125" s="3">
        <v>4</v>
      </c>
      <c r="AI125" s="3">
        <v>5</v>
      </c>
      <c r="AJ125" s="3">
        <v>3</v>
      </c>
      <c r="AK125" s="3">
        <v>14</v>
      </c>
      <c r="AL125" s="3" t="s">
        <v>2788</v>
      </c>
      <c r="AM125" s="3" t="s">
        <v>2789</v>
      </c>
      <c r="AN125" s="3" t="s">
        <v>2790</v>
      </c>
      <c r="AO125" s="3" t="s">
        <v>2791</v>
      </c>
      <c r="AP125" s="3" t="s">
        <v>2792</v>
      </c>
      <c r="AQ125" s="3" t="s">
        <v>74</v>
      </c>
      <c r="AR125" s="3" t="s">
        <v>2793</v>
      </c>
      <c r="AS125" s="3" t="s">
        <v>2794</v>
      </c>
      <c r="AT125" s="3" t="s">
        <v>333</v>
      </c>
      <c r="AU125" s="3">
        <v>2024</v>
      </c>
      <c r="AV125" s="3">
        <v>42</v>
      </c>
      <c r="AW125" s="3">
        <v>5</v>
      </c>
      <c r="AX125" s="3" t="s">
        <v>74</v>
      </c>
      <c r="AY125" s="3" t="s">
        <v>74</v>
      </c>
      <c r="AZ125" s="3" t="s">
        <v>74</v>
      </c>
      <c r="BA125" s="3" t="s">
        <v>74</v>
      </c>
      <c r="BB125" s="3">
        <v>1799</v>
      </c>
      <c r="BC125" s="3">
        <v>1828</v>
      </c>
      <c r="BD125" s="3" t="s">
        <v>74</v>
      </c>
      <c r="BE125" s="3" t="s">
        <v>2795</v>
      </c>
      <c r="BF125" s="3" t="str">
        <f>HYPERLINK("http://dx.doi.org/10.1177/01445987241257590","http://dx.doi.org/10.1177/01445987241257590")</f>
        <v>http://dx.doi.org/10.1177/01445987241257590</v>
      </c>
      <c r="BG125" s="3" t="s">
        <v>74</v>
      </c>
      <c r="BH125" s="3" t="s">
        <v>2748</v>
      </c>
      <c r="BI125" s="3">
        <v>30</v>
      </c>
      <c r="BJ125" s="3" t="s">
        <v>178</v>
      </c>
      <c r="BK125" s="3" t="s">
        <v>179</v>
      </c>
      <c r="BL125" s="3" t="s">
        <v>178</v>
      </c>
      <c r="BM125" s="3" t="s">
        <v>2796</v>
      </c>
      <c r="BN125" s="3" t="s">
        <v>74</v>
      </c>
      <c r="BO125" s="3" t="s">
        <v>100</v>
      </c>
      <c r="BP125" s="3" t="s">
        <v>74</v>
      </c>
      <c r="BQ125" s="3" t="s">
        <v>74</v>
      </c>
      <c r="BR125" s="3" t="s">
        <v>101</v>
      </c>
      <c r="BS125" s="3" t="s">
        <v>2797</v>
      </c>
      <c r="BT125" s="3" t="str">
        <f>HYPERLINK("https%3A%2F%2Fwww.webofscience.com%2Fwos%2Fwoscc%2Ffull-record%2FWOS:001235918800001","View Full Record in Web of Science")</f>
        <v>View Full Record in Web of Science</v>
      </c>
      <c r="BU125" s="3"/>
      <c r="BV125" s="3"/>
      <c r="BW125" s="1"/>
    </row>
    <row r="126" spans="1:75" x14ac:dyDescent="0.25">
      <c r="A126" s="3" t="s">
        <v>72</v>
      </c>
      <c r="B126" s="3" t="s">
        <v>2798</v>
      </c>
      <c r="C126" s="3" t="s">
        <v>74</v>
      </c>
      <c r="D126" s="3" t="s">
        <v>74</v>
      </c>
      <c r="E126" s="3" t="s">
        <v>74</v>
      </c>
      <c r="F126" s="3" t="s">
        <v>2799</v>
      </c>
      <c r="G126" s="3" t="s">
        <v>74</v>
      </c>
      <c r="H126" s="3" t="s">
        <v>74</v>
      </c>
      <c r="I126" s="3" t="s">
        <v>2800</v>
      </c>
      <c r="J126" s="3" t="s">
        <v>2801</v>
      </c>
      <c r="K126" s="3" t="s">
        <v>74</v>
      </c>
      <c r="L126" s="3" t="s">
        <v>74</v>
      </c>
      <c r="M126" s="3" t="s">
        <v>110</v>
      </c>
      <c r="N126" s="3" t="s">
        <v>2802</v>
      </c>
      <c r="O126" s="3" t="s">
        <v>74</v>
      </c>
      <c r="P126" s="3" t="s">
        <v>74</v>
      </c>
      <c r="Q126" s="3" t="s">
        <v>74</v>
      </c>
      <c r="R126" s="3" t="s">
        <v>74</v>
      </c>
      <c r="S126" s="3" t="s">
        <v>74</v>
      </c>
      <c r="T126" s="3" t="s">
        <v>2803</v>
      </c>
      <c r="U126" s="3" t="s">
        <v>2804</v>
      </c>
      <c r="V126" s="3" t="s">
        <v>2805</v>
      </c>
      <c r="W126" s="3" t="s">
        <v>2806</v>
      </c>
      <c r="X126" s="3" t="s">
        <v>2807</v>
      </c>
      <c r="Y126" s="3" t="s">
        <v>2808</v>
      </c>
      <c r="Z126" s="3" t="s">
        <v>2809</v>
      </c>
      <c r="AA126" s="3" t="s">
        <v>2810</v>
      </c>
      <c r="AB126" s="3" t="s">
        <v>2811</v>
      </c>
      <c r="AC126" s="3" t="s">
        <v>74</v>
      </c>
      <c r="AD126" s="3" t="s">
        <v>74</v>
      </c>
      <c r="AE126" s="3" t="s">
        <v>74</v>
      </c>
      <c r="AF126" s="3" t="s">
        <v>74</v>
      </c>
      <c r="AG126" s="3">
        <v>52</v>
      </c>
      <c r="AH126" s="3">
        <v>13</v>
      </c>
      <c r="AI126" s="3">
        <v>15</v>
      </c>
      <c r="AJ126" s="3">
        <v>6</v>
      </c>
      <c r="AK126" s="3">
        <v>96</v>
      </c>
      <c r="AL126" s="3" t="s">
        <v>1051</v>
      </c>
      <c r="AM126" s="3" t="s">
        <v>1052</v>
      </c>
      <c r="AN126" s="3" t="s">
        <v>1053</v>
      </c>
      <c r="AO126" s="3" t="s">
        <v>2812</v>
      </c>
      <c r="AP126" s="3" t="s">
        <v>2813</v>
      </c>
      <c r="AQ126" s="3" t="s">
        <v>74</v>
      </c>
      <c r="AR126" s="3" t="s">
        <v>2814</v>
      </c>
      <c r="AS126" s="3" t="s">
        <v>2815</v>
      </c>
      <c r="AT126" s="3" t="s">
        <v>2816</v>
      </c>
      <c r="AU126" s="3">
        <v>2019</v>
      </c>
      <c r="AV126" s="3" t="s">
        <v>74</v>
      </c>
      <c r="AW126" s="3" t="s">
        <v>74</v>
      </c>
      <c r="AX126" s="3" t="s">
        <v>74</v>
      </c>
      <c r="AY126" s="3" t="s">
        <v>74</v>
      </c>
      <c r="AZ126" s="3" t="s">
        <v>74</v>
      </c>
      <c r="BA126" s="3" t="s">
        <v>74</v>
      </c>
      <c r="BB126" s="3" t="s">
        <v>74</v>
      </c>
      <c r="BC126" s="3" t="s">
        <v>74</v>
      </c>
      <c r="BD126" s="3" t="s">
        <v>74</v>
      </c>
      <c r="BE126" s="3" t="s">
        <v>2817</v>
      </c>
      <c r="BF126" s="3" t="str">
        <f>HYPERLINK("http://dx.doi.org/10.1007/s12652-019-01577-8","http://dx.doi.org/10.1007/s12652-019-01577-8")</f>
        <v>http://dx.doi.org/10.1007/s12652-019-01577-8</v>
      </c>
      <c r="BG126" s="3" t="s">
        <v>74</v>
      </c>
      <c r="BH126" s="3" t="s">
        <v>2818</v>
      </c>
      <c r="BI126" s="3">
        <v>14</v>
      </c>
      <c r="BJ126" s="3" t="s">
        <v>2819</v>
      </c>
      <c r="BK126" s="3" t="s">
        <v>179</v>
      </c>
      <c r="BL126" s="3" t="s">
        <v>1826</v>
      </c>
      <c r="BM126" s="3" t="s">
        <v>2820</v>
      </c>
      <c r="BN126" s="3" t="s">
        <v>74</v>
      </c>
      <c r="BO126" s="3" t="s">
        <v>74</v>
      </c>
      <c r="BP126" s="3" t="s">
        <v>74</v>
      </c>
      <c r="BQ126" s="3" t="s">
        <v>74</v>
      </c>
      <c r="BR126" s="3" t="s">
        <v>101</v>
      </c>
      <c r="BS126" s="3" t="s">
        <v>2821</v>
      </c>
      <c r="BT126" s="3" t="str">
        <f>HYPERLINK("https%3A%2F%2Fwww.webofscience.com%2Fwos%2Fwoscc%2Ffull-record%2FWOS:000574444900002","View Full Record in Web of Science")</f>
        <v>View Full Record in Web of Science</v>
      </c>
      <c r="BU126" s="3"/>
      <c r="BV126" s="3"/>
      <c r="BW126" s="1"/>
    </row>
    <row r="127" spans="1:75" x14ac:dyDescent="0.25">
      <c r="A127" s="3" t="s">
        <v>72</v>
      </c>
      <c r="B127" s="3" t="s">
        <v>2822</v>
      </c>
      <c r="C127" s="3" t="s">
        <v>74</v>
      </c>
      <c r="D127" s="3" t="s">
        <v>74</v>
      </c>
      <c r="E127" s="3" t="s">
        <v>74</v>
      </c>
      <c r="F127" s="3" t="s">
        <v>2823</v>
      </c>
      <c r="G127" s="3" t="s">
        <v>74</v>
      </c>
      <c r="H127" s="3" t="s">
        <v>74</v>
      </c>
      <c r="I127" s="3" t="s">
        <v>2824</v>
      </c>
      <c r="J127" s="3" t="s">
        <v>2825</v>
      </c>
      <c r="K127" s="3" t="s">
        <v>74</v>
      </c>
      <c r="L127" s="3" t="s">
        <v>74</v>
      </c>
      <c r="M127" s="3" t="s">
        <v>110</v>
      </c>
      <c r="N127" s="3" t="s">
        <v>216</v>
      </c>
      <c r="O127" s="3" t="s">
        <v>74</v>
      </c>
      <c r="P127" s="3" t="s">
        <v>74</v>
      </c>
      <c r="Q127" s="3" t="s">
        <v>74</v>
      </c>
      <c r="R127" s="3" t="s">
        <v>74</v>
      </c>
      <c r="S127" s="3" t="s">
        <v>74</v>
      </c>
      <c r="T127" s="3" t="s">
        <v>2826</v>
      </c>
      <c r="U127" s="3" t="s">
        <v>2827</v>
      </c>
      <c r="V127" s="3" t="s">
        <v>2828</v>
      </c>
      <c r="W127" s="3" t="s">
        <v>2829</v>
      </c>
      <c r="X127" s="3" t="s">
        <v>2830</v>
      </c>
      <c r="Y127" s="3" t="s">
        <v>2831</v>
      </c>
      <c r="Z127" s="3" t="s">
        <v>2832</v>
      </c>
      <c r="AA127" s="3" t="s">
        <v>2833</v>
      </c>
      <c r="AB127" s="3" t="s">
        <v>74</v>
      </c>
      <c r="AC127" s="3" t="s">
        <v>74</v>
      </c>
      <c r="AD127" s="3" t="s">
        <v>74</v>
      </c>
      <c r="AE127" s="3" t="s">
        <v>74</v>
      </c>
      <c r="AF127" s="3" t="s">
        <v>74</v>
      </c>
      <c r="AG127" s="3">
        <v>65</v>
      </c>
      <c r="AH127" s="3">
        <v>4</v>
      </c>
      <c r="AI127" s="3">
        <v>4</v>
      </c>
      <c r="AJ127" s="3">
        <v>9</v>
      </c>
      <c r="AK127" s="3">
        <v>17</v>
      </c>
      <c r="AL127" s="3" t="s">
        <v>2834</v>
      </c>
      <c r="AM127" s="3" t="s">
        <v>2835</v>
      </c>
      <c r="AN127" s="3" t="s">
        <v>2836</v>
      </c>
      <c r="AO127" s="3" t="s">
        <v>74</v>
      </c>
      <c r="AP127" s="3" t="s">
        <v>2837</v>
      </c>
      <c r="AQ127" s="3" t="s">
        <v>74</v>
      </c>
      <c r="AR127" s="3" t="s">
        <v>2838</v>
      </c>
      <c r="AS127" s="3" t="s">
        <v>2839</v>
      </c>
      <c r="AT127" s="3" t="s">
        <v>2840</v>
      </c>
      <c r="AU127" s="3">
        <v>2024</v>
      </c>
      <c r="AV127" s="3">
        <v>6</v>
      </c>
      <c r="AW127" s="3" t="s">
        <v>74</v>
      </c>
      <c r="AX127" s="3" t="s">
        <v>74</v>
      </c>
      <c r="AY127" s="3" t="s">
        <v>74</v>
      </c>
      <c r="AZ127" s="3" t="s">
        <v>74</v>
      </c>
      <c r="BA127" s="3" t="s">
        <v>74</v>
      </c>
      <c r="BB127" s="3" t="s">
        <v>74</v>
      </c>
      <c r="BC127" s="3" t="s">
        <v>74</v>
      </c>
      <c r="BD127" s="3">
        <v>1449983</v>
      </c>
      <c r="BE127" s="3" t="s">
        <v>2841</v>
      </c>
      <c r="BF127" s="3" t="str">
        <f>HYPERLINK("http://dx.doi.org/10.3389/frsc.2024.1449983","http://dx.doi.org/10.3389/frsc.2024.1449983")</f>
        <v>http://dx.doi.org/10.3389/frsc.2024.1449983</v>
      </c>
      <c r="BG127" s="3" t="s">
        <v>74</v>
      </c>
      <c r="BH127" s="3" t="s">
        <v>74</v>
      </c>
      <c r="BI127" s="3">
        <v>15</v>
      </c>
      <c r="BJ127" s="3" t="s">
        <v>2842</v>
      </c>
      <c r="BK127" s="3" t="s">
        <v>97</v>
      </c>
      <c r="BL127" s="3" t="s">
        <v>2843</v>
      </c>
      <c r="BM127" s="3" t="s">
        <v>2844</v>
      </c>
      <c r="BN127" s="3" t="s">
        <v>74</v>
      </c>
      <c r="BO127" s="3" t="s">
        <v>100</v>
      </c>
      <c r="BP127" s="3" t="s">
        <v>74</v>
      </c>
      <c r="BQ127" s="3" t="s">
        <v>74</v>
      </c>
      <c r="BR127" s="3" t="s">
        <v>101</v>
      </c>
      <c r="BS127" s="3" t="s">
        <v>2845</v>
      </c>
      <c r="BT127" s="3" t="str">
        <f>HYPERLINK("https%3A%2F%2Fwww.webofscience.com%2Fwos%2Fwoscc%2Ffull-record%2FWOS:001383007000001","View Full Record in Web of Science")</f>
        <v>View Full Record in Web of Science</v>
      </c>
      <c r="BU127" s="3"/>
      <c r="BV127" s="3"/>
      <c r="BW127" s="1"/>
    </row>
    <row r="128" spans="1:75" x14ac:dyDescent="0.25">
      <c r="A128" s="3" t="s">
        <v>72</v>
      </c>
      <c r="B128" s="3" t="s">
        <v>2846</v>
      </c>
      <c r="C128" s="3" t="s">
        <v>74</v>
      </c>
      <c r="D128" s="3" t="s">
        <v>74</v>
      </c>
      <c r="E128" s="3" t="s">
        <v>74</v>
      </c>
      <c r="F128" s="3" t="s">
        <v>2847</v>
      </c>
      <c r="G128" s="3" t="s">
        <v>74</v>
      </c>
      <c r="H128" s="3" t="s">
        <v>74</v>
      </c>
      <c r="I128" s="3" t="s">
        <v>2848</v>
      </c>
      <c r="J128" s="3" t="s">
        <v>2849</v>
      </c>
      <c r="K128" s="3" t="s">
        <v>74</v>
      </c>
      <c r="L128" s="3" t="s">
        <v>74</v>
      </c>
      <c r="M128" s="3" t="s">
        <v>110</v>
      </c>
      <c r="N128" s="3" t="s">
        <v>79</v>
      </c>
      <c r="O128" s="3" t="s">
        <v>74</v>
      </c>
      <c r="P128" s="3" t="s">
        <v>74</v>
      </c>
      <c r="Q128" s="3" t="s">
        <v>74</v>
      </c>
      <c r="R128" s="3" t="s">
        <v>74</v>
      </c>
      <c r="S128" s="3" t="s">
        <v>74</v>
      </c>
      <c r="T128" s="3" t="s">
        <v>2850</v>
      </c>
      <c r="U128" s="3" t="s">
        <v>2851</v>
      </c>
      <c r="V128" s="3" t="s">
        <v>2852</v>
      </c>
      <c r="W128" s="3" t="s">
        <v>2853</v>
      </c>
      <c r="X128" s="3" t="s">
        <v>2854</v>
      </c>
      <c r="Y128" s="3" t="s">
        <v>2855</v>
      </c>
      <c r="Z128" s="3" t="s">
        <v>2856</v>
      </c>
      <c r="AA128" s="3" t="s">
        <v>2857</v>
      </c>
      <c r="AB128" s="3" t="s">
        <v>2858</v>
      </c>
      <c r="AC128" s="3" t="s">
        <v>74</v>
      </c>
      <c r="AD128" s="3" t="s">
        <v>74</v>
      </c>
      <c r="AE128" s="3" t="s">
        <v>74</v>
      </c>
      <c r="AF128" s="3" t="s">
        <v>74</v>
      </c>
      <c r="AG128" s="3">
        <v>82</v>
      </c>
      <c r="AH128" s="3">
        <v>4</v>
      </c>
      <c r="AI128" s="3">
        <v>5</v>
      </c>
      <c r="AJ128" s="3">
        <v>16</v>
      </c>
      <c r="AK128" s="3">
        <v>33</v>
      </c>
      <c r="AL128" s="3" t="s">
        <v>304</v>
      </c>
      <c r="AM128" s="3" t="s">
        <v>305</v>
      </c>
      <c r="AN128" s="3" t="s">
        <v>306</v>
      </c>
      <c r="AO128" s="3" t="s">
        <v>2859</v>
      </c>
      <c r="AP128" s="3" t="s">
        <v>2860</v>
      </c>
      <c r="AQ128" s="3" t="s">
        <v>74</v>
      </c>
      <c r="AR128" s="3" t="s">
        <v>2861</v>
      </c>
      <c r="AS128" s="3" t="s">
        <v>2862</v>
      </c>
      <c r="AT128" s="3" t="s">
        <v>592</v>
      </c>
      <c r="AU128" s="3">
        <v>2024</v>
      </c>
      <c r="AV128" s="3">
        <v>197</v>
      </c>
      <c r="AW128" s="3" t="s">
        <v>74</v>
      </c>
      <c r="AX128" s="3" t="s">
        <v>74</v>
      </c>
      <c r="AY128" s="3" t="s">
        <v>74</v>
      </c>
      <c r="AZ128" s="3" t="s">
        <v>74</v>
      </c>
      <c r="BA128" s="3" t="s">
        <v>74</v>
      </c>
      <c r="BB128" s="3" t="s">
        <v>74</v>
      </c>
      <c r="BC128" s="3" t="s">
        <v>74</v>
      </c>
      <c r="BD128" s="3">
        <v>110613</v>
      </c>
      <c r="BE128" s="3" t="s">
        <v>2863</v>
      </c>
      <c r="BF128" s="3" t="str">
        <f>HYPERLINK("http://dx.doi.org/10.1016/j.cie.2024.110613","http://dx.doi.org/10.1016/j.cie.2024.110613")</f>
        <v>http://dx.doi.org/10.1016/j.cie.2024.110613</v>
      </c>
      <c r="BG128" s="3" t="s">
        <v>74</v>
      </c>
      <c r="BH128" s="3" t="s">
        <v>262</v>
      </c>
      <c r="BI128" s="3">
        <v>25</v>
      </c>
      <c r="BJ128" s="3" t="s">
        <v>2864</v>
      </c>
      <c r="BK128" s="3" t="s">
        <v>179</v>
      </c>
      <c r="BL128" s="3" t="s">
        <v>383</v>
      </c>
      <c r="BM128" s="3" t="s">
        <v>2865</v>
      </c>
      <c r="BN128" s="3" t="s">
        <v>74</v>
      </c>
      <c r="BO128" s="3" t="s">
        <v>74</v>
      </c>
      <c r="BP128" s="3" t="s">
        <v>74</v>
      </c>
      <c r="BQ128" s="3" t="s">
        <v>74</v>
      </c>
      <c r="BR128" s="3" t="s">
        <v>101</v>
      </c>
      <c r="BS128" s="3" t="s">
        <v>2866</v>
      </c>
      <c r="BT128" s="3" t="str">
        <f>HYPERLINK("https%3A%2F%2Fwww.webofscience.com%2Fwos%2Fwoscc%2Ffull-record%2FWOS:001333961000001","View Full Record in Web of Science")</f>
        <v>View Full Record in Web of Science</v>
      </c>
      <c r="BU128" s="3"/>
      <c r="BV128" s="3"/>
      <c r="BW128" s="1"/>
    </row>
    <row r="129" spans="1:75" x14ac:dyDescent="0.25">
      <c r="A129" s="3" t="s">
        <v>72</v>
      </c>
      <c r="B129" s="3" t="s">
        <v>2867</v>
      </c>
      <c r="C129" s="3" t="s">
        <v>74</v>
      </c>
      <c r="D129" s="3" t="s">
        <v>74</v>
      </c>
      <c r="E129" s="3" t="s">
        <v>74</v>
      </c>
      <c r="F129" s="3" t="s">
        <v>2868</v>
      </c>
      <c r="G129" s="3" t="s">
        <v>74</v>
      </c>
      <c r="H129" s="3" t="s">
        <v>74</v>
      </c>
      <c r="I129" s="3" t="s">
        <v>2869</v>
      </c>
      <c r="J129" s="3" t="s">
        <v>1743</v>
      </c>
      <c r="K129" s="3" t="s">
        <v>74</v>
      </c>
      <c r="L129" s="3" t="s">
        <v>74</v>
      </c>
      <c r="M129" s="3" t="s">
        <v>110</v>
      </c>
      <c r="N129" s="3" t="s">
        <v>79</v>
      </c>
      <c r="O129" s="3" t="s">
        <v>74</v>
      </c>
      <c r="P129" s="3" t="s">
        <v>74</v>
      </c>
      <c r="Q129" s="3" t="s">
        <v>74</v>
      </c>
      <c r="R129" s="3" t="s">
        <v>74</v>
      </c>
      <c r="S129" s="3" t="s">
        <v>74</v>
      </c>
      <c r="T129" s="3" t="s">
        <v>2870</v>
      </c>
      <c r="U129" s="3" t="s">
        <v>2871</v>
      </c>
      <c r="V129" s="3" t="s">
        <v>2872</v>
      </c>
      <c r="W129" s="3" t="s">
        <v>2873</v>
      </c>
      <c r="X129" s="3" t="s">
        <v>74</v>
      </c>
      <c r="Y129" s="3" t="s">
        <v>2874</v>
      </c>
      <c r="Z129" s="3" t="s">
        <v>2875</v>
      </c>
      <c r="AA129" s="3" t="s">
        <v>2876</v>
      </c>
      <c r="AB129" s="3" t="s">
        <v>74</v>
      </c>
      <c r="AC129" s="3" t="s">
        <v>74</v>
      </c>
      <c r="AD129" s="3" t="s">
        <v>74</v>
      </c>
      <c r="AE129" s="3" t="s">
        <v>2877</v>
      </c>
      <c r="AF129" s="3" t="s">
        <v>74</v>
      </c>
      <c r="AG129" s="3">
        <v>41</v>
      </c>
      <c r="AH129" s="3">
        <v>4</v>
      </c>
      <c r="AI129" s="3">
        <v>5</v>
      </c>
      <c r="AJ129" s="3">
        <v>4</v>
      </c>
      <c r="AK129" s="3">
        <v>9</v>
      </c>
      <c r="AL129" s="3" t="s">
        <v>401</v>
      </c>
      <c r="AM129" s="3" t="s">
        <v>402</v>
      </c>
      <c r="AN129" s="3" t="s">
        <v>403</v>
      </c>
      <c r="AO129" s="3" t="s">
        <v>74</v>
      </c>
      <c r="AP129" s="3" t="s">
        <v>1754</v>
      </c>
      <c r="AQ129" s="3" t="s">
        <v>74</v>
      </c>
      <c r="AR129" s="3" t="s">
        <v>1743</v>
      </c>
      <c r="AS129" s="3" t="s">
        <v>1755</v>
      </c>
      <c r="AT129" s="3" t="s">
        <v>151</v>
      </c>
      <c r="AU129" s="3">
        <v>2024</v>
      </c>
      <c r="AV129" s="3">
        <v>6</v>
      </c>
      <c r="AW129" s="3">
        <v>4</v>
      </c>
      <c r="AX129" s="3" t="s">
        <v>74</v>
      </c>
      <c r="AY129" s="3" t="s">
        <v>74</v>
      </c>
      <c r="AZ129" s="3" t="s">
        <v>74</v>
      </c>
      <c r="BA129" s="3" t="s">
        <v>74</v>
      </c>
      <c r="BB129" s="3">
        <v>387</v>
      </c>
      <c r="BC129" s="3">
        <v>421</v>
      </c>
      <c r="BD129" s="3" t="s">
        <v>74</v>
      </c>
      <c r="BE129" s="3" t="s">
        <v>2878</v>
      </c>
      <c r="BF129" s="3" t="str">
        <f>HYPERLINK("http://dx.doi.org/10.1049/smc2.12090","http://dx.doi.org/10.1049/smc2.12090")</f>
        <v>http://dx.doi.org/10.1049/smc2.12090</v>
      </c>
      <c r="BG129" s="3" t="s">
        <v>74</v>
      </c>
      <c r="BH129" s="3" t="s">
        <v>2879</v>
      </c>
      <c r="BI129" s="3">
        <v>35</v>
      </c>
      <c r="BJ129" s="3" t="s">
        <v>852</v>
      </c>
      <c r="BK129" s="3" t="s">
        <v>97</v>
      </c>
      <c r="BL129" s="3" t="s">
        <v>853</v>
      </c>
      <c r="BM129" s="3" t="s">
        <v>2880</v>
      </c>
      <c r="BN129" s="3" t="s">
        <v>74</v>
      </c>
      <c r="BO129" s="3" t="s">
        <v>100</v>
      </c>
      <c r="BP129" s="3" t="s">
        <v>74</v>
      </c>
      <c r="BQ129" s="3" t="s">
        <v>74</v>
      </c>
      <c r="BR129" s="3" t="s">
        <v>101</v>
      </c>
      <c r="BS129" s="3" t="s">
        <v>2881</v>
      </c>
      <c r="BT129" s="3" t="str">
        <f>HYPERLINK("https%3A%2F%2Fwww.webofscience.com%2Fwos%2Fwoscc%2Ffull-record%2FWOS:001296439800001","View Full Record in Web of Science")</f>
        <v>View Full Record in Web of Science</v>
      </c>
      <c r="BU129" s="3"/>
      <c r="BV129" s="3"/>
      <c r="BW129" s="1"/>
    </row>
    <row r="130" spans="1:75" x14ac:dyDescent="0.25">
      <c r="A130" s="3" t="s">
        <v>72</v>
      </c>
      <c r="B130" s="3" t="s">
        <v>2882</v>
      </c>
      <c r="C130" s="3" t="s">
        <v>74</v>
      </c>
      <c r="D130" s="3" t="s">
        <v>74</v>
      </c>
      <c r="E130" s="3" t="s">
        <v>74</v>
      </c>
      <c r="F130" s="3" t="s">
        <v>2883</v>
      </c>
      <c r="G130" s="3" t="s">
        <v>74</v>
      </c>
      <c r="H130" s="3" t="s">
        <v>74</v>
      </c>
      <c r="I130" s="3" t="s">
        <v>2884</v>
      </c>
      <c r="J130" s="3" t="s">
        <v>270</v>
      </c>
      <c r="K130" s="3" t="s">
        <v>74</v>
      </c>
      <c r="L130" s="3" t="s">
        <v>74</v>
      </c>
      <c r="M130" s="3" t="s">
        <v>110</v>
      </c>
      <c r="N130" s="3" t="s">
        <v>79</v>
      </c>
      <c r="O130" s="3" t="s">
        <v>74</v>
      </c>
      <c r="P130" s="3" t="s">
        <v>74</v>
      </c>
      <c r="Q130" s="3" t="s">
        <v>74</v>
      </c>
      <c r="R130" s="3" t="s">
        <v>74</v>
      </c>
      <c r="S130" s="3" t="s">
        <v>74</v>
      </c>
      <c r="T130" s="3" t="s">
        <v>2885</v>
      </c>
      <c r="U130" s="3" t="s">
        <v>2886</v>
      </c>
      <c r="V130" s="3" t="s">
        <v>2887</v>
      </c>
      <c r="W130" s="3" t="s">
        <v>2888</v>
      </c>
      <c r="X130" s="3" t="s">
        <v>2889</v>
      </c>
      <c r="Y130" s="3" t="s">
        <v>2890</v>
      </c>
      <c r="Z130" s="3" t="s">
        <v>2891</v>
      </c>
      <c r="AA130" s="3" t="s">
        <v>2892</v>
      </c>
      <c r="AB130" s="3" t="s">
        <v>2893</v>
      </c>
      <c r="AC130" s="3" t="s">
        <v>2889</v>
      </c>
      <c r="AD130" s="3" t="s">
        <v>2889</v>
      </c>
      <c r="AE130" s="3" t="s">
        <v>2894</v>
      </c>
      <c r="AF130" s="3" t="s">
        <v>74</v>
      </c>
      <c r="AG130" s="3">
        <v>118</v>
      </c>
      <c r="AH130" s="3">
        <v>3</v>
      </c>
      <c r="AI130" s="3">
        <v>4</v>
      </c>
      <c r="AJ130" s="3">
        <v>5</v>
      </c>
      <c r="AK130" s="3">
        <v>17</v>
      </c>
      <c r="AL130" s="3" t="s">
        <v>145</v>
      </c>
      <c r="AM130" s="3" t="s">
        <v>146</v>
      </c>
      <c r="AN130" s="3" t="s">
        <v>279</v>
      </c>
      <c r="AO130" s="3" t="s">
        <v>74</v>
      </c>
      <c r="AP130" s="3" t="s">
        <v>280</v>
      </c>
      <c r="AQ130" s="3" t="s">
        <v>74</v>
      </c>
      <c r="AR130" s="3" t="s">
        <v>281</v>
      </c>
      <c r="AS130" s="3" t="s">
        <v>282</v>
      </c>
      <c r="AT130" s="3" t="s">
        <v>807</v>
      </c>
      <c r="AU130" s="3">
        <v>2024</v>
      </c>
      <c r="AV130" s="3">
        <v>7</v>
      </c>
      <c r="AW130" s="3">
        <v>1</v>
      </c>
      <c r="AX130" s="3" t="s">
        <v>74</v>
      </c>
      <c r="AY130" s="3" t="s">
        <v>74</v>
      </c>
      <c r="AZ130" s="3" t="s">
        <v>74</v>
      </c>
      <c r="BA130" s="3" t="s">
        <v>74</v>
      </c>
      <c r="BB130" s="3">
        <v>633</v>
      </c>
      <c r="BC130" s="3">
        <v>661</v>
      </c>
      <c r="BD130" s="3" t="s">
        <v>74</v>
      </c>
      <c r="BE130" s="3" t="s">
        <v>2895</v>
      </c>
      <c r="BF130" s="3" t="str">
        <f>HYPERLINK("http://dx.doi.org/10.3390/smartcities7010026","http://dx.doi.org/10.3390/smartcities7010026")</f>
        <v>http://dx.doi.org/10.3390/smartcities7010026</v>
      </c>
      <c r="BG130" s="3" t="s">
        <v>74</v>
      </c>
      <c r="BH130" s="3" t="s">
        <v>74</v>
      </c>
      <c r="BI130" s="3">
        <v>29</v>
      </c>
      <c r="BJ130" s="3" t="s">
        <v>285</v>
      </c>
      <c r="BK130" s="3" t="s">
        <v>97</v>
      </c>
      <c r="BL130" s="3" t="s">
        <v>286</v>
      </c>
      <c r="BM130" s="3" t="s">
        <v>2896</v>
      </c>
      <c r="BN130" s="3" t="s">
        <v>74</v>
      </c>
      <c r="BO130" s="3" t="s">
        <v>100</v>
      </c>
      <c r="BP130" s="3" t="s">
        <v>74</v>
      </c>
      <c r="BQ130" s="3" t="s">
        <v>74</v>
      </c>
      <c r="BR130" s="3" t="s">
        <v>101</v>
      </c>
      <c r="BS130" s="3" t="s">
        <v>2897</v>
      </c>
      <c r="BT130" s="3" t="str">
        <f>HYPERLINK("https%3A%2F%2Fwww.webofscience.com%2Fwos%2Fwoscc%2Ffull-record%2FWOS:001172531200001","View Full Record in Web of Science")</f>
        <v>View Full Record in Web of Science</v>
      </c>
      <c r="BU130" s="3"/>
      <c r="BV130" s="3"/>
      <c r="BW130" s="1"/>
    </row>
    <row r="131" spans="1:75" x14ac:dyDescent="0.25">
      <c r="A131" s="3" t="s">
        <v>72</v>
      </c>
      <c r="B131" s="3" t="s">
        <v>2898</v>
      </c>
      <c r="C131" s="3" t="s">
        <v>74</v>
      </c>
      <c r="D131" s="3" t="s">
        <v>74</v>
      </c>
      <c r="E131" s="3" t="s">
        <v>74</v>
      </c>
      <c r="F131" s="3" t="s">
        <v>2899</v>
      </c>
      <c r="G131" s="3" t="s">
        <v>74</v>
      </c>
      <c r="H131" s="3" t="s">
        <v>74</v>
      </c>
      <c r="I131" s="3" t="s">
        <v>2900</v>
      </c>
      <c r="J131" s="3" t="s">
        <v>661</v>
      </c>
      <c r="K131" s="3" t="s">
        <v>74</v>
      </c>
      <c r="L131" s="3" t="s">
        <v>74</v>
      </c>
      <c r="M131" s="3" t="s">
        <v>110</v>
      </c>
      <c r="N131" s="3" t="s">
        <v>79</v>
      </c>
      <c r="O131" s="3" t="s">
        <v>74</v>
      </c>
      <c r="P131" s="3" t="s">
        <v>74</v>
      </c>
      <c r="Q131" s="3" t="s">
        <v>74</v>
      </c>
      <c r="R131" s="3" t="s">
        <v>74</v>
      </c>
      <c r="S131" s="3" t="s">
        <v>74</v>
      </c>
      <c r="T131" s="3" t="s">
        <v>2901</v>
      </c>
      <c r="U131" s="3" t="s">
        <v>2902</v>
      </c>
      <c r="V131" s="3" t="s">
        <v>2903</v>
      </c>
      <c r="W131" s="3" t="s">
        <v>2904</v>
      </c>
      <c r="X131" s="3" t="s">
        <v>2905</v>
      </c>
      <c r="Y131" s="3" t="s">
        <v>2906</v>
      </c>
      <c r="Z131" s="3" t="s">
        <v>2907</v>
      </c>
      <c r="AA131" s="3" t="s">
        <v>2908</v>
      </c>
      <c r="AB131" s="3" t="s">
        <v>2909</v>
      </c>
      <c r="AC131" s="3" t="s">
        <v>74</v>
      </c>
      <c r="AD131" s="3" t="s">
        <v>74</v>
      </c>
      <c r="AE131" s="3" t="s">
        <v>74</v>
      </c>
      <c r="AF131" s="3" t="s">
        <v>74</v>
      </c>
      <c r="AG131" s="3">
        <v>30</v>
      </c>
      <c r="AH131" s="3">
        <v>3</v>
      </c>
      <c r="AI131" s="3">
        <v>4</v>
      </c>
      <c r="AJ131" s="3">
        <v>1</v>
      </c>
      <c r="AK131" s="3">
        <v>7</v>
      </c>
      <c r="AL131" s="3" t="s">
        <v>671</v>
      </c>
      <c r="AM131" s="3" t="s">
        <v>124</v>
      </c>
      <c r="AN131" s="3" t="s">
        <v>672</v>
      </c>
      <c r="AO131" s="3" t="s">
        <v>673</v>
      </c>
      <c r="AP131" s="3" t="s">
        <v>674</v>
      </c>
      <c r="AQ131" s="3" t="s">
        <v>74</v>
      </c>
      <c r="AR131" s="3" t="s">
        <v>675</v>
      </c>
      <c r="AS131" s="3" t="s">
        <v>676</v>
      </c>
      <c r="AT131" s="3" t="s">
        <v>2910</v>
      </c>
      <c r="AU131" s="3">
        <v>2024</v>
      </c>
      <c r="AV131" s="3">
        <v>114</v>
      </c>
      <c r="AW131" s="3" t="s">
        <v>74</v>
      </c>
      <c r="AX131" s="3" t="s">
        <v>74</v>
      </c>
      <c r="AY131" s="3" t="s">
        <v>74</v>
      </c>
      <c r="AZ131" s="3" t="s">
        <v>74</v>
      </c>
      <c r="BA131" s="3" t="s">
        <v>74</v>
      </c>
      <c r="BB131" s="3" t="s">
        <v>74</v>
      </c>
      <c r="BC131" s="3" t="s">
        <v>74</v>
      </c>
      <c r="BD131" s="3">
        <v>105759</v>
      </c>
      <c r="BE131" s="3" t="s">
        <v>2911</v>
      </c>
      <c r="BF131" s="3" t="str">
        <f>HYPERLINK("http://dx.doi.org/10.1016/j.scs.2024.105759","http://dx.doi.org/10.1016/j.scs.2024.105759")</f>
        <v>http://dx.doi.org/10.1016/j.scs.2024.105759</v>
      </c>
      <c r="BG131" s="3" t="s">
        <v>74</v>
      </c>
      <c r="BH131" s="3" t="s">
        <v>313</v>
      </c>
      <c r="BI131" s="3">
        <v>12</v>
      </c>
      <c r="BJ131" s="3" t="s">
        <v>680</v>
      </c>
      <c r="BK131" s="3" t="s">
        <v>179</v>
      </c>
      <c r="BL131" s="3" t="s">
        <v>681</v>
      </c>
      <c r="BM131" s="3" t="s">
        <v>2912</v>
      </c>
      <c r="BN131" s="3" t="s">
        <v>74</v>
      </c>
      <c r="BO131" s="3" t="s">
        <v>74</v>
      </c>
      <c r="BP131" s="3" t="s">
        <v>74</v>
      </c>
      <c r="BQ131" s="3" t="s">
        <v>74</v>
      </c>
      <c r="BR131" s="3" t="s">
        <v>101</v>
      </c>
      <c r="BS131" s="3" t="s">
        <v>2913</v>
      </c>
      <c r="BT131" s="3" t="str">
        <f>HYPERLINK("https%3A%2F%2Fwww.webofscience.com%2Fwos%2Fwoscc%2Ffull-record%2FWOS:001334502200001","View Full Record in Web of Science")</f>
        <v>View Full Record in Web of Science</v>
      </c>
      <c r="BU131" s="3"/>
      <c r="BV131" s="3"/>
      <c r="BW131" s="1"/>
    </row>
    <row r="132" spans="1:75" x14ac:dyDescent="0.25">
      <c r="A132" s="3" t="s">
        <v>72</v>
      </c>
      <c r="B132" s="3" t="s">
        <v>2914</v>
      </c>
      <c r="C132" s="3" t="s">
        <v>74</v>
      </c>
      <c r="D132" s="3" t="s">
        <v>74</v>
      </c>
      <c r="E132" s="3" t="s">
        <v>74</v>
      </c>
      <c r="F132" s="3" t="s">
        <v>2915</v>
      </c>
      <c r="G132" s="3" t="s">
        <v>74</v>
      </c>
      <c r="H132" s="3" t="s">
        <v>74</v>
      </c>
      <c r="I132" s="3" t="s">
        <v>2916</v>
      </c>
      <c r="J132" s="3" t="s">
        <v>2917</v>
      </c>
      <c r="K132" s="3" t="s">
        <v>74</v>
      </c>
      <c r="L132" s="3" t="s">
        <v>74</v>
      </c>
      <c r="M132" s="3" t="s">
        <v>110</v>
      </c>
      <c r="N132" s="3" t="s">
        <v>79</v>
      </c>
      <c r="O132" s="3" t="s">
        <v>74</v>
      </c>
      <c r="P132" s="3" t="s">
        <v>74</v>
      </c>
      <c r="Q132" s="3" t="s">
        <v>74</v>
      </c>
      <c r="R132" s="3" t="s">
        <v>74</v>
      </c>
      <c r="S132" s="3" t="s">
        <v>74</v>
      </c>
      <c r="T132" s="3" t="s">
        <v>2918</v>
      </c>
      <c r="U132" s="3" t="s">
        <v>2919</v>
      </c>
      <c r="V132" s="3" t="s">
        <v>2920</v>
      </c>
      <c r="W132" s="3" t="s">
        <v>2921</v>
      </c>
      <c r="X132" s="3" t="s">
        <v>2922</v>
      </c>
      <c r="Y132" s="3" t="s">
        <v>2923</v>
      </c>
      <c r="Z132" s="3" t="s">
        <v>2924</v>
      </c>
      <c r="AA132" s="3" t="s">
        <v>2925</v>
      </c>
      <c r="AB132" s="3" t="s">
        <v>2926</v>
      </c>
      <c r="AC132" s="3" t="s">
        <v>74</v>
      </c>
      <c r="AD132" s="3" t="s">
        <v>74</v>
      </c>
      <c r="AE132" s="3" t="s">
        <v>74</v>
      </c>
      <c r="AF132" s="3" t="s">
        <v>74</v>
      </c>
      <c r="AG132" s="3">
        <v>268</v>
      </c>
      <c r="AH132" s="3">
        <v>2</v>
      </c>
      <c r="AI132" s="3">
        <v>3</v>
      </c>
      <c r="AJ132" s="3">
        <v>25</v>
      </c>
      <c r="AK132" s="3">
        <v>46</v>
      </c>
      <c r="AL132" s="3" t="s">
        <v>506</v>
      </c>
      <c r="AM132" s="3" t="s">
        <v>200</v>
      </c>
      <c r="AN132" s="3" t="s">
        <v>2927</v>
      </c>
      <c r="AO132" s="3" t="s">
        <v>2928</v>
      </c>
      <c r="AP132" s="3" t="s">
        <v>2929</v>
      </c>
      <c r="AQ132" s="3" t="s">
        <v>74</v>
      </c>
      <c r="AR132" s="3" t="s">
        <v>2930</v>
      </c>
      <c r="AS132" s="3" t="s">
        <v>2931</v>
      </c>
      <c r="AT132" s="3" t="s">
        <v>608</v>
      </c>
      <c r="AU132" s="3">
        <v>2025</v>
      </c>
      <c r="AV132" s="3">
        <v>57</v>
      </c>
      <c r="AW132" s="3">
        <v>4</v>
      </c>
      <c r="AX132" s="3" t="s">
        <v>74</v>
      </c>
      <c r="AY132" s="3" t="s">
        <v>74</v>
      </c>
      <c r="AZ132" s="3" t="s">
        <v>74</v>
      </c>
      <c r="BA132" s="3" t="s">
        <v>74</v>
      </c>
      <c r="BB132" s="3" t="s">
        <v>74</v>
      </c>
      <c r="BC132" s="3" t="s">
        <v>74</v>
      </c>
      <c r="BD132" s="3">
        <v>99</v>
      </c>
      <c r="BE132" s="3" t="s">
        <v>2932</v>
      </c>
      <c r="BF132" s="3" t="str">
        <f>HYPERLINK("http://dx.doi.org/10.1145/3695986","http://dx.doi.org/10.1145/3695986")</f>
        <v>http://dx.doi.org/10.1145/3695986</v>
      </c>
      <c r="BG132" s="3" t="s">
        <v>74</v>
      </c>
      <c r="BH132" s="3" t="s">
        <v>74</v>
      </c>
      <c r="BI132" s="3">
        <v>41</v>
      </c>
      <c r="BJ132" s="3" t="s">
        <v>2933</v>
      </c>
      <c r="BK132" s="3" t="s">
        <v>179</v>
      </c>
      <c r="BL132" s="3" t="s">
        <v>486</v>
      </c>
      <c r="BM132" s="3" t="s">
        <v>2934</v>
      </c>
      <c r="BN132" s="3" t="s">
        <v>74</v>
      </c>
      <c r="BO132" s="3" t="s">
        <v>884</v>
      </c>
      <c r="BP132" s="3" t="s">
        <v>74</v>
      </c>
      <c r="BQ132" s="3" t="s">
        <v>74</v>
      </c>
      <c r="BR132" s="3" t="s">
        <v>101</v>
      </c>
      <c r="BS132" s="3" t="s">
        <v>2935</v>
      </c>
      <c r="BT132" s="3" t="str">
        <f>HYPERLINK("https%3A%2F%2Fwww.webofscience.com%2Fwos%2Fwoscc%2Ffull-record%2FWOS:001401218200013","View Full Record in Web of Science")</f>
        <v>View Full Record in Web of Science</v>
      </c>
      <c r="BU132" s="3"/>
      <c r="BV132" s="3"/>
      <c r="BW132" s="1"/>
    </row>
    <row r="133" spans="1:75" x14ac:dyDescent="0.25">
      <c r="A133" s="3" t="s">
        <v>72</v>
      </c>
      <c r="B133" s="3" t="s">
        <v>2936</v>
      </c>
      <c r="C133" s="3" t="s">
        <v>74</v>
      </c>
      <c r="D133" s="3" t="s">
        <v>74</v>
      </c>
      <c r="E133" s="3" t="s">
        <v>74</v>
      </c>
      <c r="F133" s="3" t="s">
        <v>2937</v>
      </c>
      <c r="G133" s="3" t="s">
        <v>74</v>
      </c>
      <c r="H133" s="3" t="s">
        <v>74</v>
      </c>
      <c r="I133" s="3" t="s">
        <v>2938</v>
      </c>
      <c r="J133" s="3" t="s">
        <v>1413</v>
      </c>
      <c r="K133" s="3" t="s">
        <v>74</v>
      </c>
      <c r="L133" s="3" t="s">
        <v>74</v>
      </c>
      <c r="M133" s="3" t="s">
        <v>110</v>
      </c>
      <c r="N133" s="3" t="s">
        <v>79</v>
      </c>
      <c r="O133" s="3" t="s">
        <v>74</v>
      </c>
      <c r="P133" s="3" t="s">
        <v>74</v>
      </c>
      <c r="Q133" s="3" t="s">
        <v>74</v>
      </c>
      <c r="R133" s="3" t="s">
        <v>74</v>
      </c>
      <c r="S133" s="3" t="s">
        <v>74</v>
      </c>
      <c r="T133" s="3" t="s">
        <v>2939</v>
      </c>
      <c r="U133" s="3" t="s">
        <v>242</v>
      </c>
      <c r="V133" s="3" t="s">
        <v>2940</v>
      </c>
      <c r="W133" s="3" t="s">
        <v>2941</v>
      </c>
      <c r="X133" s="3" t="s">
        <v>2942</v>
      </c>
      <c r="Y133" s="3" t="s">
        <v>2943</v>
      </c>
      <c r="Z133" s="3" t="s">
        <v>2944</v>
      </c>
      <c r="AA133" s="3" t="s">
        <v>2945</v>
      </c>
      <c r="AB133" s="3" t="s">
        <v>74</v>
      </c>
      <c r="AC133" s="3" t="s">
        <v>74</v>
      </c>
      <c r="AD133" s="3" t="s">
        <v>74</v>
      </c>
      <c r="AE133" s="3" t="s">
        <v>74</v>
      </c>
      <c r="AF133" s="3" t="s">
        <v>74</v>
      </c>
      <c r="AG133" s="3">
        <v>33</v>
      </c>
      <c r="AH133" s="3">
        <v>2</v>
      </c>
      <c r="AI133" s="3">
        <v>2</v>
      </c>
      <c r="AJ133" s="3">
        <v>2</v>
      </c>
      <c r="AK133" s="3">
        <v>2</v>
      </c>
      <c r="AL133" s="3" t="s">
        <v>671</v>
      </c>
      <c r="AM133" s="3" t="s">
        <v>124</v>
      </c>
      <c r="AN133" s="3" t="s">
        <v>672</v>
      </c>
      <c r="AO133" s="3" t="s">
        <v>1424</v>
      </c>
      <c r="AP133" s="3" t="s">
        <v>1425</v>
      </c>
      <c r="AQ133" s="3" t="s">
        <v>74</v>
      </c>
      <c r="AR133" s="3" t="s">
        <v>1426</v>
      </c>
      <c r="AS133" s="3" t="s">
        <v>1427</v>
      </c>
      <c r="AT133" s="3" t="s">
        <v>333</v>
      </c>
      <c r="AU133" s="3">
        <v>2025</v>
      </c>
      <c r="AV133" s="3">
        <v>14</v>
      </c>
      <c r="AW133" s="3">
        <v>3</v>
      </c>
      <c r="AX133" s="3" t="s">
        <v>74</v>
      </c>
      <c r="AY133" s="3" t="s">
        <v>74</v>
      </c>
      <c r="AZ133" s="3" t="s">
        <v>74</v>
      </c>
      <c r="BA133" s="3" t="s">
        <v>74</v>
      </c>
      <c r="BB133" s="3">
        <v>877</v>
      </c>
      <c r="BC133" s="3">
        <v>895</v>
      </c>
      <c r="BD133" s="3" t="s">
        <v>74</v>
      </c>
      <c r="BE133" s="3" t="s">
        <v>2946</v>
      </c>
      <c r="BF133" s="3" t="str">
        <f>HYPERLINK("http://dx.doi.org/10.1016/j.jum.2025.03.001","http://dx.doi.org/10.1016/j.jum.2025.03.001")</f>
        <v>http://dx.doi.org/10.1016/j.jum.2025.03.001</v>
      </c>
      <c r="BG133" s="3" t="s">
        <v>74</v>
      </c>
      <c r="BH133" s="3" t="s">
        <v>2947</v>
      </c>
      <c r="BI133" s="3">
        <v>19</v>
      </c>
      <c r="BJ133" s="3" t="s">
        <v>263</v>
      </c>
      <c r="BK133" s="3" t="s">
        <v>97</v>
      </c>
      <c r="BL133" s="3" t="s">
        <v>263</v>
      </c>
      <c r="BM133" s="3" t="s">
        <v>2948</v>
      </c>
      <c r="BN133" s="3" t="s">
        <v>74</v>
      </c>
      <c r="BO133" s="3" t="s">
        <v>100</v>
      </c>
      <c r="BP133" s="3" t="s">
        <v>74</v>
      </c>
      <c r="BQ133" s="3" t="s">
        <v>74</v>
      </c>
      <c r="BR133" s="3" t="s">
        <v>101</v>
      </c>
      <c r="BS133" s="3" t="s">
        <v>2949</v>
      </c>
      <c r="BT133" s="3" t="str">
        <f>HYPERLINK("https%3A%2F%2Fwww.webofscience.com%2Fwos%2Fwoscc%2Ffull-record%2FWOS:001595341700016","View Full Record in Web of Science")</f>
        <v>View Full Record in Web of Science</v>
      </c>
      <c r="BU133" s="3"/>
      <c r="BV133" s="3"/>
      <c r="BW133" s="1"/>
    </row>
    <row r="134" spans="1:75" x14ac:dyDescent="0.25">
      <c r="A134" s="3" t="s">
        <v>72</v>
      </c>
      <c r="B134" s="3" t="s">
        <v>2950</v>
      </c>
      <c r="C134" s="3" t="s">
        <v>74</v>
      </c>
      <c r="D134" s="3" t="s">
        <v>74</v>
      </c>
      <c r="E134" s="3" t="s">
        <v>74</v>
      </c>
      <c r="F134" s="3" t="s">
        <v>2951</v>
      </c>
      <c r="G134" s="3" t="s">
        <v>74</v>
      </c>
      <c r="H134" s="3" t="s">
        <v>74</v>
      </c>
      <c r="I134" s="3" t="s">
        <v>2952</v>
      </c>
      <c r="J134" s="3" t="s">
        <v>270</v>
      </c>
      <c r="K134" s="3" t="s">
        <v>74</v>
      </c>
      <c r="L134" s="3" t="s">
        <v>74</v>
      </c>
      <c r="M134" s="3" t="s">
        <v>110</v>
      </c>
      <c r="N134" s="3" t="s">
        <v>79</v>
      </c>
      <c r="O134" s="3" t="s">
        <v>74</v>
      </c>
      <c r="P134" s="3" t="s">
        <v>74</v>
      </c>
      <c r="Q134" s="3" t="s">
        <v>74</v>
      </c>
      <c r="R134" s="3" t="s">
        <v>74</v>
      </c>
      <c r="S134" s="3" t="s">
        <v>74</v>
      </c>
      <c r="T134" s="3" t="s">
        <v>2953</v>
      </c>
      <c r="U134" s="3" t="s">
        <v>2954</v>
      </c>
      <c r="V134" s="3" t="s">
        <v>2955</v>
      </c>
      <c r="W134" s="3" t="s">
        <v>2956</v>
      </c>
      <c r="X134" s="3" t="s">
        <v>2957</v>
      </c>
      <c r="Y134" s="3" t="s">
        <v>2958</v>
      </c>
      <c r="Z134" s="3" t="s">
        <v>2959</v>
      </c>
      <c r="AA134" s="3" t="s">
        <v>2960</v>
      </c>
      <c r="AB134" s="3" t="s">
        <v>2961</v>
      </c>
      <c r="AC134" s="3" t="s">
        <v>2962</v>
      </c>
      <c r="AD134" s="3" t="s">
        <v>2963</v>
      </c>
      <c r="AE134" s="3" t="s">
        <v>2964</v>
      </c>
      <c r="AF134" s="3" t="s">
        <v>74</v>
      </c>
      <c r="AG134" s="3">
        <v>54</v>
      </c>
      <c r="AH134" s="3">
        <v>3</v>
      </c>
      <c r="AI134" s="3">
        <v>5</v>
      </c>
      <c r="AJ134" s="3">
        <v>2</v>
      </c>
      <c r="AK134" s="3">
        <v>8</v>
      </c>
      <c r="AL134" s="3" t="s">
        <v>145</v>
      </c>
      <c r="AM134" s="3" t="s">
        <v>146</v>
      </c>
      <c r="AN134" s="3" t="s">
        <v>279</v>
      </c>
      <c r="AO134" s="3" t="s">
        <v>74</v>
      </c>
      <c r="AP134" s="3" t="s">
        <v>280</v>
      </c>
      <c r="AQ134" s="3" t="s">
        <v>74</v>
      </c>
      <c r="AR134" s="3" t="s">
        <v>281</v>
      </c>
      <c r="AS134" s="3" t="s">
        <v>282</v>
      </c>
      <c r="AT134" s="3" t="s">
        <v>283</v>
      </c>
      <c r="AU134" s="3">
        <v>2024</v>
      </c>
      <c r="AV134" s="3">
        <v>7</v>
      </c>
      <c r="AW134" s="3">
        <v>4</v>
      </c>
      <c r="AX134" s="3" t="s">
        <v>74</v>
      </c>
      <c r="AY134" s="3" t="s">
        <v>74</v>
      </c>
      <c r="AZ134" s="3" t="s">
        <v>74</v>
      </c>
      <c r="BA134" s="3" t="s">
        <v>74</v>
      </c>
      <c r="BB134" s="3">
        <v>1950</v>
      </c>
      <c r="BC134" s="3">
        <v>1970</v>
      </c>
      <c r="BD134" s="3" t="s">
        <v>74</v>
      </c>
      <c r="BE134" s="3" t="s">
        <v>2965</v>
      </c>
      <c r="BF134" s="3" t="str">
        <f>HYPERLINK("http://dx.doi.org/10.3390/smartcities7040077","http://dx.doi.org/10.3390/smartcities7040077")</f>
        <v>http://dx.doi.org/10.3390/smartcities7040077</v>
      </c>
      <c r="BG134" s="3" t="s">
        <v>74</v>
      </c>
      <c r="BH134" s="3" t="s">
        <v>74</v>
      </c>
      <c r="BI134" s="3">
        <v>21</v>
      </c>
      <c r="BJ134" s="3" t="s">
        <v>285</v>
      </c>
      <c r="BK134" s="3" t="s">
        <v>97</v>
      </c>
      <c r="BL134" s="3" t="s">
        <v>286</v>
      </c>
      <c r="BM134" s="3" t="s">
        <v>2966</v>
      </c>
      <c r="BN134" s="3" t="s">
        <v>74</v>
      </c>
      <c r="BO134" s="3" t="s">
        <v>100</v>
      </c>
      <c r="BP134" s="3" t="s">
        <v>74</v>
      </c>
      <c r="BQ134" s="3" t="s">
        <v>74</v>
      </c>
      <c r="BR134" s="3" t="s">
        <v>101</v>
      </c>
      <c r="BS134" s="3" t="s">
        <v>2967</v>
      </c>
      <c r="BT134" s="3" t="str">
        <f>HYPERLINK("https%3A%2F%2Fwww.webofscience.com%2Fwos%2Fwoscc%2Ffull-record%2FWOS:001307550400001","View Full Record in Web of Science")</f>
        <v>View Full Record in Web of Science</v>
      </c>
      <c r="BU134" s="3"/>
      <c r="BV134" s="3"/>
      <c r="BW134" s="1"/>
    </row>
    <row r="135" spans="1:75" x14ac:dyDescent="0.25">
      <c r="A135" s="3" t="s">
        <v>72</v>
      </c>
      <c r="B135" s="3" t="s">
        <v>2968</v>
      </c>
      <c r="C135" s="3" t="s">
        <v>74</v>
      </c>
      <c r="D135" s="3" t="s">
        <v>74</v>
      </c>
      <c r="E135" s="3" t="s">
        <v>74</v>
      </c>
      <c r="F135" s="3" t="s">
        <v>2969</v>
      </c>
      <c r="G135" s="3" t="s">
        <v>74</v>
      </c>
      <c r="H135" s="3" t="s">
        <v>74</v>
      </c>
      <c r="I135" s="3" t="s">
        <v>2970</v>
      </c>
      <c r="J135" s="3" t="s">
        <v>270</v>
      </c>
      <c r="K135" s="3" t="s">
        <v>74</v>
      </c>
      <c r="L135" s="3" t="s">
        <v>74</v>
      </c>
      <c r="M135" s="3" t="s">
        <v>110</v>
      </c>
      <c r="N135" s="3" t="s">
        <v>216</v>
      </c>
      <c r="O135" s="3" t="s">
        <v>74</v>
      </c>
      <c r="P135" s="3" t="s">
        <v>74</v>
      </c>
      <c r="Q135" s="3" t="s">
        <v>74</v>
      </c>
      <c r="R135" s="3" t="s">
        <v>74</v>
      </c>
      <c r="S135" s="3" t="s">
        <v>74</v>
      </c>
      <c r="T135" s="3" t="s">
        <v>2971</v>
      </c>
      <c r="U135" s="3" t="s">
        <v>2972</v>
      </c>
      <c r="V135" s="3" t="s">
        <v>2973</v>
      </c>
      <c r="W135" s="3" t="s">
        <v>2974</v>
      </c>
      <c r="X135" s="3" t="s">
        <v>2975</v>
      </c>
      <c r="Y135" s="3" t="s">
        <v>2976</v>
      </c>
      <c r="Z135" s="3" t="s">
        <v>2977</v>
      </c>
      <c r="AA135" s="3" t="s">
        <v>277</v>
      </c>
      <c r="AB135" s="3" t="s">
        <v>2978</v>
      </c>
      <c r="AC135" s="3" t="s">
        <v>74</v>
      </c>
      <c r="AD135" s="3" t="s">
        <v>74</v>
      </c>
      <c r="AE135" s="3" t="s">
        <v>74</v>
      </c>
      <c r="AF135" s="3" t="s">
        <v>74</v>
      </c>
      <c r="AG135" s="3">
        <v>86</v>
      </c>
      <c r="AH135" s="3">
        <v>2</v>
      </c>
      <c r="AI135" s="3">
        <v>2</v>
      </c>
      <c r="AJ135" s="3">
        <v>6</v>
      </c>
      <c r="AK135" s="3">
        <v>13</v>
      </c>
      <c r="AL135" s="3" t="s">
        <v>145</v>
      </c>
      <c r="AM135" s="3" t="s">
        <v>146</v>
      </c>
      <c r="AN135" s="3" t="s">
        <v>147</v>
      </c>
      <c r="AO135" s="3" t="s">
        <v>74</v>
      </c>
      <c r="AP135" s="3" t="s">
        <v>280</v>
      </c>
      <c r="AQ135" s="3" t="s">
        <v>74</v>
      </c>
      <c r="AR135" s="3" t="s">
        <v>281</v>
      </c>
      <c r="AS135" s="3" t="s">
        <v>282</v>
      </c>
      <c r="AT135" s="3" t="s">
        <v>151</v>
      </c>
      <c r="AU135" s="3">
        <v>2024</v>
      </c>
      <c r="AV135" s="3">
        <v>7</v>
      </c>
      <c r="AW135" s="3">
        <v>6</v>
      </c>
      <c r="AX135" s="3" t="s">
        <v>74</v>
      </c>
      <c r="AY135" s="3" t="s">
        <v>74</v>
      </c>
      <c r="AZ135" s="3" t="s">
        <v>74</v>
      </c>
      <c r="BA135" s="3" t="s">
        <v>74</v>
      </c>
      <c r="BB135" s="3">
        <v>3547</v>
      </c>
      <c r="BC135" s="3">
        <v>3586</v>
      </c>
      <c r="BD135" s="3" t="s">
        <v>74</v>
      </c>
      <c r="BE135" s="3" t="s">
        <v>2979</v>
      </c>
      <c r="BF135" s="3" t="str">
        <f>HYPERLINK("http://dx.doi.org/10.3390/smartcities7060138","http://dx.doi.org/10.3390/smartcities7060138")</f>
        <v>http://dx.doi.org/10.3390/smartcities7060138</v>
      </c>
      <c r="BG135" s="3" t="s">
        <v>74</v>
      </c>
      <c r="BH135" s="3" t="s">
        <v>74</v>
      </c>
      <c r="BI135" s="3">
        <v>40</v>
      </c>
      <c r="BJ135" s="3" t="s">
        <v>285</v>
      </c>
      <c r="BK135" s="3" t="s">
        <v>97</v>
      </c>
      <c r="BL135" s="3" t="s">
        <v>286</v>
      </c>
      <c r="BM135" s="3" t="s">
        <v>2980</v>
      </c>
      <c r="BN135" s="3" t="s">
        <v>74</v>
      </c>
      <c r="BO135" s="3" t="s">
        <v>100</v>
      </c>
      <c r="BP135" s="3" t="s">
        <v>74</v>
      </c>
      <c r="BQ135" s="3" t="s">
        <v>74</v>
      </c>
      <c r="BR135" s="3" t="s">
        <v>101</v>
      </c>
      <c r="BS135" s="3" t="s">
        <v>2981</v>
      </c>
      <c r="BT135" s="3" t="str">
        <f>HYPERLINK("https%3A%2F%2Fwww.webofscience.com%2Fwos%2Fwoscc%2Ffull-record%2FWOS:001387011500001","View Full Record in Web of Science")</f>
        <v>View Full Record in Web of Science</v>
      </c>
      <c r="BU135" s="3"/>
      <c r="BV135" s="3"/>
      <c r="BW135" s="1"/>
    </row>
    <row r="136" spans="1:75" x14ac:dyDescent="0.25">
      <c r="A136" s="3" t="s">
        <v>103</v>
      </c>
      <c r="B136" s="3" t="s">
        <v>2982</v>
      </c>
      <c r="C136" s="3" t="s">
        <v>74</v>
      </c>
      <c r="D136" s="3" t="s">
        <v>2983</v>
      </c>
      <c r="E136" s="3" t="s">
        <v>74</v>
      </c>
      <c r="F136" s="3" t="s">
        <v>2984</v>
      </c>
      <c r="G136" s="3" t="s">
        <v>74</v>
      </c>
      <c r="H136" s="3" t="s">
        <v>74</v>
      </c>
      <c r="I136" s="3" t="s">
        <v>2985</v>
      </c>
      <c r="J136" s="3" t="s">
        <v>2986</v>
      </c>
      <c r="K136" s="3" t="s">
        <v>2987</v>
      </c>
      <c r="L136" s="3" t="s">
        <v>74</v>
      </c>
      <c r="M136" s="3" t="s">
        <v>110</v>
      </c>
      <c r="N136" s="3" t="s">
        <v>111</v>
      </c>
      <c r="O136" s="3" t="s">
        <v>2988</v>
      </c>
      <c r="P136" s="3" t="s">
        <v>2989</v>
      </c>
      <c r="Q136" s="3" t="s">
        <v>2990</v>
      </c>
      <c r="R136" s="3" t="s">
        <v>74</v>
      </c>
      <c r="S136" s="3" t="s">
        <v>74</v>
      </c>
      <c r="T136" s="3" t="s">
        <v>2991</v>
      </c>
      <c r="U136" s="3" t="s">
        <v>74</v>
      </c>
      <c r="V136" s="3" t="s">
        <v>2992</v>
      </c>
      <c r="W136" s="3" t="s">
        <v>2993</v>
      </c>
      <c r="X136" s="3" t="s">
        <v>2994</v>
      </c>
      <c r="Y136" s="3" t="s">
        <v>2995</v>
      </c>
      <c r="Z136" s="3" t="s">
        <v>74</v>
      </c>
      <c r="AA136" s="3" t="s">
        <v>2996</v>
      </c>
      <c r="AB136" s="3" t="s">
        <v>74</v>
      </c>
      <c r="AC136" s="3" t="s">
        <v>74</v>
      </c>
      <c r="AD136" s="3" t="s">
        <v>74</v>
      </c>
      <c r="AE136" s="3" t="s">
        <v>74</v>
      </c>
      <c r="AF136" s="3" t="s">
        <v>74</v>
      </c>
      <c r="AG136" s="3">
        <v>7</v>
      </c>
      <c r="AH136" s="3">
        <v>16</v>
      </c>
      <c r="AI136" s="3">
        <v>20</v>
      </c>
      <c r="AJ136" s="3">
        <v>2</v>
      </c>
      <c r="AK136" s="3">
        <v>32</v>
      </c>
      <c r="AL136" s="3" t="s">
        <v>2997</v>
      </c>
      <c r="AM136" s="3" t="s">
        <v>2998</v>
      </c>
      <c r="AN136" s="3" t="s">
        <v>2999</v>
      </c>
      <c r="AO136" s="3" t="s">
        <v>3000</v>
      </c>
      <c r="AP136" s="3" t="s">
        <v>74</v>
      </c>
      <c r="AQ136" s="3" t="s">
        <v>74</v>
      </c>
      <c r="AR136" s="3" t="s">
        <v>3001</v>
      </c>
      <c r="AS136" s="3" t="s">
        <v>74</v>
      </c>
      <c r="AT136" s="3" t="s">
        <v>74</v>
      </c>
      <c r="AU136" s="3">
        <v>2018</v>
      </c>
      <c r="AV136" s="3" t="s">
        <v>74</v>
      </c>
      <c r="AW136" s="3" t="s">
        <v>74</v>
      </c>
      <c r="AX136" s="3" t="s">
        <v>74</v>
      </c>
      <c r="AY136" s="3" t="s">
        <v>74</v>
      </c>
      <c r="AZ136" s="3" t="s">
        <v>74</v>
      </c>
      <c r="BA136" s="3" t="s">
        <v>74</v>
      </c>
      <c r="BB136" s="3">
        <v>1601</v>
      </c>
      <c r="BC136" s="3">
        <v>1606</v>
      </c>
      <c r="BD136" s="3" t="s">
        <v>74</v>
      </c>
      <c r="BE136" s="3" t="s">
        <v>3002</v>
      </c>
      <c r="BF136" s="3" t="str">
        <f>HYPERLINK("http://dx.doi.org/10.5592/CO/CETRA.2018.812","http://dx.doi.org/10.5592/CO/CETRA.2018.812")</f>
        <v>http://dx.doi.org/10.5592/CO/CETRA.2018.812</v>
      </c>
      <c r="BG136" s="3" t="s">
        <v>74</v>
      </c>
      <c r="BH136" s="3" t="s">
        <v>74</v>
      </c>
      <c r="BI136" s="3">
        <v>6</v>
      </c>
      <c r="BJ136" s="3" t="s">
        <v>410</v>
      </c>
      <c r="BK136" s="3" t="s">
        <v>208</v>
      </c>
      <c r="BL136" s="3" t="s">
        <v>411</v>
      </c>
      <c r="BM136" s="3" t="s">
        <v>3003</v>
      </c>
      <c r="BN136" s="3" t="s">
        <v>74</v>
      </c>
      <c r="BO136" s="3" t="s">
        <v>884</v>
      </c>
      <c r="BP136" s="3" t="s">
        <v>74</v>
      </c>
      <c r="BQ136" s="3" t="s">
        <v>74</v>
      </c>
      <c r="BR136" s="3" t="s">
        <v>101</v>
      </c>
      <c r="BS136" s="3" t="s">
        <v>3004</v>
      </c>
      <c r="BT136" s="3" t="str">
        <f>HYPERLINK("https%3A%2F%2Fwww.webofscience.com%2Fwos%2Fwoscc%2Ffull-record%2FWOS:000518218300202","View Full Record in Web of Science")</f>
        <v>View Full Record in Web of Science</v>
      </c>
      <c r="BU136" s="3"/>
      <c r="BV136" s="3"/>
      <c r="BW136" s="1"/>
    </row>
    <row r="137" spans="1:75" x14ac:dyDescent="0.25">
      <c r="A137" s="3" t="s">
        <v>72</v>
      </c>
      <c r="B137" s="3" t="s">
        <v>3005</v>
      </c>
      <c r="C137" s="3" t="s">
        <v>74</v>
      </c>
      <c r="D137" s="3" t="s">
        <v>74</v>
      </c>
      <c r="E137" s="3" t="s">
        <v>74</v>
      </c>
      <c r="F137" s="3" t="s">
        <v>3006</v>
      </c>
      <c r="G137" s="3" t="s">
        <v>74</v>
      </c>
      <c r="H137" s="3" t="s">
        <v>74</v>
      </c>
      <c r="I137" s="3" t="s">
        <v>3007</v>
      </c>
      <c r="J137" s="3" t="s">
        <v>615</v>
      </c>
      <c r="K137" s="3" t="s">
        <v>74</v>
      </c>
      <c r="L137" s="3" t="s">
        <v>74</v>
      </c>
      <c r="M137" s="3" t="s">
        <v>110</v>
      </c>
      <c r="N137" s="3" t="s">
        <v>79</v>
      </c>
      <c r="O137" s="3" t="s">
        <v>74</v>
      </c>
      <c r="P137" s="3" t="s">
        <v>74</v>
      </c>
      <c r="Q137" s="3" t="s">
        <v>74</v>
      </c>
      <c r="R137" s="3" t="s">
        <v>74</v>
      </c>
      <c r="S137" s="3" t="s">
        <v>74</v>
      </c>
      <c r="T137" s="3" t="s">
        <v>3008</v>
      </c>
      <c r="U137" s="3" t="s">
        <v>3009</v>
      </c>
      <c r="V137" s="3" t="s">
        <v>3010</v>
      </c>
      <c r="W137" s="3" t="s">
        <v>3011</v>
      </c>
      <c r="X137" s="3" t="s">
        <v>3012</v>
      </c>
      <c r="Y137" s="3" t="s">
        <v>3013</v>
      </c>
      <c r="Z137" s="3" t="s">
        <v>3014</v>
      </c>
      <c r="AA137" s="3" t="s">
        <v>3015</v>
      </c>
      <c r="AB137" s="3" t="s">
        <v>74</v>
      </c>
      <c r="AC137" s="3" t="s">
        <v>74</v>
      </c>
      <c r="AD137" s="3" t="s">
        <v>74</v>
      </c>
      <c r="AE137" s="3" t="s">
        <v>74</v>
      </c>
      <c r="AF137" s="3" t="s">
        <v>74</v>
      </c>
      <c r="AG137" s="3">
        <v>47</v>
      </c>
      <c r="AH137" s="3">
        <v>1</v>
      </c>
      <c r="AI137" s="3">
        <v>1</v>
      </c>
      <c r="AJ137" s="3">
        <v>0</v>
      </c>
      <c r="AK137" s="3">
        <v>0</v>
      </c>
      <c r="AL137" s="3" t="s">
        <v>145</v>
      </c>
      <c r="AM137" s="3" t="s">
        <v>146</v>
      </c>
      <c r="AN137" s="3" t="s">
        <v>147</v>
      </c>
      <c r="AO137" s="3" t="s">
        <v>74</v>
      </c>
      <c r="AP137" s="3" t="s">
        <v>626</v>
      </c>
      <c r="AQ137" s="3" t="s">
        <v>74</v>
      </c>
      <c r="AR137" s="3" t="s">
        <v>627</v>
      </c>
      <c r="AS137" s="3" t="s">
        <v>628</v>
      </c>
      <c r="AT137" s="3" t="s">
        <v>3016</v>
      </c>
      <c r="AU137" s="3">
        <v>2025</v>
      </c>
      <c r="AV137" s="3">
        <v>10</v>
      </c>
      <c r="AW137" s="3">
        <v>9</v>
      </c>
      <c r="AX137" s="3" t="s">
        <v>74</v>
      </c>
      <c r="AY137" s="3" t="s">
        <v>74</v>
      </c>
      <c r="AZ137" s="3" t="s">
        <v>74</v>
      </c>
      <c r="BA137" s="3" t="s">
        <v>74</v>
      </c>
      <c r="BB137" s="3" t="s">
        <v>74</v>
      </c>
      <c r="BC137" s="3" t="s">
        <v>74</v>
      </c>
      <c r="BD137" s="3">
        <v>249</v>
      </c>
      <c r="BE137" s="3" t="s">
        <v>3017</v>
      </c>
      <c r="BF137" s="3" t="str">
        <f>HYPERLINK("http://dx.doi.org/10.3390/infrastructures10090249","http://dx.doi.org/10.3390/infrastructures10090249")</f>
        <v>http://dx.doi.org/10.3390/infrastructures10090249</v>
      </c>
      <c r="BG137" s="3" t="s">
        <v>74</v>
      </c>
      <c r="BH137" s="3" t="s">
        <v>74</v>
      </c>
      <c r="BI137" s="3">
        <v>23</v>
      </c>
      <c r="BJ137" s="3" t="s">
        <v>630</v>
      </c>
      <c r="BK137" s="3" t="s">
        <v>97</v>
      </c>
      <c r="BL137" s="3" t="s">
        <v>631</v>
      </c>
      <c r="BM137" s="3" t="s">
        <v>3018</v>
      </c>
      <c r="BN137" s="3" t="s">
        <v>74</v>
      </c>
      <c r="BO137" s="3" t="s">
        <v>100</v>
      </c>
      <c r="BP137" s="3" t="s">
        <v>74</v>
      </c>
      <c r="BQ137" s="3" t="s">
        <v>74</v>
      </c>
      <c r="BR137" s="3" t="s">
        <v>101</v>
      </c>
      <c r="BS137" s="3" t="s">
        <v>3019</v>
      </c>
      <c r="BT137" s="3" t="str">
        <f>HYPERLINK("https%3A%2F%2Fwww.webofscience.com%2Fwos%2Fwoscc%2Ffull-record%2FWOS:001580086800001","View Full Record in Web of Science")</f>
        <v>View Full Record in Web of Science</v>
      </c>
      <c r="BU137" s="3"/>
      <c r="BV137" s="3"/>
      <c r="BW137" s="1"/>
    </row>
    <row r="138" spans="1:75" x14ac:dyDescent="0.25">
      <c r="A138" s="3" t="s">
        <v>72</v>
      </c>
      <c r="B138" s="3" t="s">
        <v>3020</v>
      </c>
      <c r="C138" s="3" t="s">
        <v>74</v>
      </c>
      <c r="D138" s="3" t="s">
        <v>74</v>
      </c>
      <c r="E138" s="3" t="s">
        <v>74</v>
      </c>
      <c r="F138" s="3" t="s">
        <v>3021</v>
      </c>
      <c r="G138" s="3" t="s">
        <v>74</v>
      </c>
      <c r="H138" s="3" t="s">
        <v>74</v>
      </c>
      <c r="I138" s="3" t="s">
        <v>3022</v>
      </c>
      <c r="J138" s="3" t="s">
        <v>3023</v>
      </c>
      <c r="K138" s="3" t="s">
        <v>74</v>
      </c>
      <c r="L138" s="3" t="s">
        <v>74</v>
      </c>
      <c r="M138" s="3" t="s">
        <v>110</v>
      </c>
      <c r="N138" s="3" t="s">
        <v>79</v>
      </c>
      <c r="O138" s="3" t="s">
        <v>74</v>
      </c>
      <c r="P138" s="3" t="s">
        <v>74</v>
      </c>
      <c r="Q138" s="3" t="s">
        <v>74</v>
      </c>
      <c r="R138" s="3" t="s">
        <v>74</v>
      </c>
      <c r="S138" s="3" t="s">
        <v>74</v>
      </c>
      <c r="T138" s="3" t="s">
        <v>3024</v>
      </c>
      <c r="U138" s="3" t="s">
        <v>3025</v>
      </c>
      <c r="V138" s="3" t="s">
        <v>3026</v>
      </c>
      <c r="W138" s="3" t="s">
        <v>3027</v>
      </c>
      <c r="X138" s="3" t="s">
        <v>3028</v>
      </c>
      <c r="Y138" s="3" t="s">
        <v>3029</v>
      </c>
      <c r="Z138" s="3" t="s">
        <v>3030</v>
      </c>
      <c r="AA138" s="3" t="s">
        <v>3031</v>
      </c>
      <c r="AB138" s="3" t="s">
        <v>3032</v>
      </c>
      <c r="AC138" s="3" t="s">
        <v>74</v>
      </c>
      <c r="AD138" s="3" t="s">
        <v>74</v>
      </c>
      <c r="AE138" s="3" t="s">
        <v>74</v>
      </c>
      <c r="AF138" s="3" t="s">
        <v>74</v>
      </c>
      <c r="AG138" s="3">
        <v>30</v>
      </c>
      <c r="AH138" s="3">
        <v>1</v>
      </c>
      <c r="AI138" s="3">
        <v>1</v>
      </c>
      <c r="AJ138" s="3">
        <v>0</v>
      </c>
      <c r="AK138" s="3">
        <v>1</v>
      </c>
      <c r="AL138" s="3" t="s">
        <v>3033</v>
      </c>
      <c r="AM138" s="3" t="s">
        <v>3034</v>
      </c>
      <c r="AN138" s="3" t="s">
        <v>3035</v>
      </c>
      <c r="AO138" s="3" t="s">
        <v>3036</v>
      </c>
      <c r="AP138" s="3" t="s">
        <v>3037</v>
      </c>
      <c r="AQ138" s="3" t="s">
        <v>74</v>
      </c>
      <c r="AR138" s="3" t="s">
        <v>3038</v>
      </c>
      <c r="AS138" s="3" t="s">
        <v>3039</v>
      </c>
      <c r="AT138" s="3" t="s">
        <v>74</v>
      </c>
      <c r="AU138" s="3">
        <v>2025</v>
      </c>
      <c r="AV138" s="3">
        <v>20</v>
      </c>
      <c r="AW138" s="3">
        <v>1</v>
      </c>
      <c r="AX138" s="3" t="s">
        <v>74</v>
      </c>
      <c r="AY138" s="3" t="s">
        <v>74</v>
      </c>
      <c r="AZ138" s="3" t="s">
        <v>74</v>
      </c>
      <c r="BA138" s="3" t="s">
        <v>74</v>
      </c>
      <c r="BB138" s="3">
        <v>1</v>
      </c>
      <c r="BC138" s="3">
        <v>19</v>
      </c>
      <c r="BD138" s="3" t="s">
        <v>74</v>
      </c>
      <c r="BE138" s="3" t="s">
        <v>3040</v>
      </c>
      <c r="BF138" s="3" t="str">
        <f>HYPERLINK("http://dx.doi.org/10.4018/IJBDCN.368561","http://dx.doi.org/10.4018/IJBDCN.368561")</f>
        <v>http://dx.doi.org/10.4018/IJBDCN.368561</v>
      </c>
      <c r="BG138" s="3" t="s">
        <v>74</v>
      </c>
      <c r="BH138" s="3" t="s">
        <v>74</v>
      </c>
      <c r="BI138" s="3">
        <v>19</v>
      </c>
      <c r="BJ138" s="3" t="s">
        <v>3041</v>
      </c>
      <c r="BK138" s="3" t="s">
        <v>97</v>
      </c>
      <c r="BL138" s="3" t="s">
        <v>486</v>
      </c>
      <c r="BM138" s="3" t="s">
        <v>3042</v>
      </c>
      <c r="BN138" s="3" t="s">
        <v>74</v>
      </c>
      <c r="BO138" s="3" t="s">
        <v>884</v>
      </c>
      <c r="BP138" s="3" t="s">
        <v>74</v>
      </c>
      <c r="BQ138" s="3" t="s">
        <v>74</v>
      </c>
      <c r="BR138" s="3" t="s">
        <v>101</v>
      </c>
      <c r="BS138" s="3" t="s">
        <v>3043</v>
      </c>
      <c r="BT138" s="3" t="str">
        <f>HYPERLINK("https%3A%2F%2Fwww.webofscience.com%2Fwos%2Fwoscc%2Ffull-record%2FWOS:001427475900001","View Full Record in Web of Science")</f>
        <v>View Full Record in Web of Science</v>
      </c>
      <c r="BU138" s="3"/>
      <c r="BV138" s="3"/>
      <c r="BW138" s="1"/>
    </row>
    <row r="139" spans="1:75" x14ac:dyDescent="0.25">
      <c r="A139" s="3" t="s">
        <v>103</v>
      </c>
      <c r="B139" s="3" t="s">
        <v>3044</v>
      </c>
      <c r="C139" s="3" t="s">
        <v>74</v>
      </c>
      <c r="D139" s="3" t="s">
        <v>3045</v>
      </c>
      <c r="E139" s="3" t="s">
        <v>74</v>
      </c>
      <c r="F139" s="3" t="s">
        <v>3046</v>
      </c>
      <c r="G139" s="3" t="s">
        <v>74</v>
      </c>
      <c r="H139" s="3" t="s">
        <v>74</v>
      </c>
      <c r="I139" s="3" t="s">
        <v>3047</v>
      </c>
      <c r="J139" s="3" t="s">
        <v>3048</v>
      </c>
      <c r="K139" s="3" t="s">
        <v>3049</v>
      </c>
      <c r="L139" s="3" t="s">
        <v>74</v>
      </c>
      <c r="M139" s="3" t="s">
        <v>110</v>
      </c>
      <c r="N139" s="3" t="s">
        <v>111</v>
      </c>
      <c r="O139" s="3" t="s">
        <v>3050</v>
      </c>
      <c r="P139" s="3" t="s">
        <v>3051</v>
      </c>
      <c r="Q139" s="3" t="s">
        <v>3052</v>
      </c>
      <c r="R139" s="3" t="s">
        <v>74</v>
      </c>
      <c r="S139" s="3" t="s">
        <v>74</v>
      </c>
      <c r="T139" s="3" t="s">
        <v>3053</v>
      </c>
      <c r="U139" s="3" t="s">
        <v>1974</v>
      </c>
      <c r="V139" s="3" t="s">
        <v>3054</v>
      </c>
      <c r="W139" s="3" t="s">
        <v>3055</v>
      </c>
      <c r="X139" s="3" t="s">
        <v>1046</v>
      </c>
      <c r="Y139" s="3" t="s">
        <v>3056</v>
      </c>
      <c r="Z139" s="3" t="s">
        <v>3057</v>
      </c>
      <c r="AA139" s="3" t="s">
        <v>74</v>
      </c>
      <c r="AB139" s="3" t="s">
        <v>74</v>
      </c>
      <c r="AC139" s="3" t="s">
        <v>74</v>
      </c>
      <c r="AD139" s="3" t="s">
        <v>74</v>
      </c>
      <c r="AE139" s="3" t="s">
        <v>74</v>
      </c>
      <c r="AF139" s="3" t="s">
        <v>74</v>
      </c>
      <c r="AG139" s="3">
        <v>20</v>
      </c>
      <c r="AH139" s="3">
        <v>1</v>
      </c>
      <c r="AI139" s="3">
        <v>1</v>
      </c>
      <c r="AJ139" s="3">
        <v>0</v>
      </c>
      <c r="AK139" s="3">
        <v>5</v>
      </c>
      <c r="AL139" s="3" t="s">
        <v>374</v>
      </c>
      <c r="AM139" s="3" t="s">
        <v>375</v>
      </c>
      <c r="AN139" s="3" t="s">
        <v>376</v>
      </c>
      <c r="AO139" s="3" t="s">
        <v>3058</v>
      </c>
      <c r="AP139" s="3" t="s">
        <v>3059</v>
      </c>
      <c r="AQ139" s="3" t="s">
        <v>3060</v>
      </c>
      <c r="AR139" s="3" t="s">
        <v>3061</v>
      </c>
      <c r="AS139" s="3" t="s">
        <v>74</v>
      </c>
      <c r="AT139" s="3" t="s">
        <v>74</v>
      </c>
      <c r="AU139" s="3">
        <v>2024</v>
      </c>
      <c r="AV139" s="3" t="s">
        <v>74</v>
      </c>
      <c r="AW139" s="3" t="s">
        <v>74</v>
      </c>
      <c r="AX139" s="3" t="s">
        <v>74</v>
      </c>
      <c r="AY139" s="3" t="s">
        <v>74</v>
      </c>
      <c r="AZ139" s="3" t="s">
        <v>74</v>
      </c>
      <c r="BA139" s="3" t="s">
        <v>74</v>
      </c>
      <c r="BB139" s="3">
        <v>211</v>
      </c>
      <c r="BC139" s="3">
        <v>232</v>
      </c>
      <c r="BD139" s="3" t="s">
        <v>74</v>
      </c>
      <c r="BE139" s="3" t="s">
        <v>3062</v>
      </c>
      <c r="BF139" s="3" t="str">
        <f>HYPERLINK("http://dx.doi.org/10.1007/978-3-031-43699-4_13","http://dx.doi.org/10.1007/978-3-031-43699-4_13")</f>
        <v>http://dx.doi.org/10.1007/978-3-031-43699-4_13</v>
      </c>
      <c r="BG139" s="3" t="s">
        <v>74</v>
      </c>
      <c r="BH139" s="3" t="s">
        <v>74</v>
      </c>
      <c r="BI139" s="3">
        <v>22</v>
      </c>
      <c r="BJ139" s="3" t="s">
        <v>3063</v>
      </c>
      <c r="BK139" s="3" t="s">
        <v>130</v>
      </c>
      <c r="BL139" s="3" t="s">
        <v>511</v>
      </c>
      <c r="BM139" s="3" t="s">
        <v>3064</v>
      </c>
      <c r="BN139" s="3" t="s">
        <v>74</v>
      </c>
      <c r="BO139" s="3" t="s">
        <v>74</v>
      </c>
      <c r="BP139" s="3" t="s">
        <v>74</v>
      </c>
      <c r="BQ139" s="3" t="s">
        <v>74</v>
      </c>
      <c r="BR139" s="3" t="s">
        <v>101</v>
      </c>
      <c r="BS139" s="3" t="s">
        <v>3065</v>
      </c>
      <c r="BT139" s="3" t="str">
        <f>HYPERLINK("https%3A%2F%2Fwww.webofscience.com%2Fwos%2Fwoscc%2Ffull-record%2FWOS:001264764900013","View Full Record in Web of Science")</f>
        <v>View Full Record in Web of Science</v>
      </c>
      <c r="BU139" s="3"/>
      <c r="BV139" s="3"/>
      <c r="BW139" s="1"/>
    </row>
    <row r="140" spans="1:75" x14ac:dyDescent="0.25">
      <c r="A140" s="3" t="s">
        <v>72</v>
      </c>
      <c r="B140" s="3" t="s">
        <v>3066</v>
      </c>
      <c r="C140" s="3" t="s">
        <v>74</v>
      </c>
      <c r="D140" s="3" t="s">
        <v>74</v>
      </c>
      <c r="E140" s="3" t="s">
        <v>74</v>
      </c>
      <c r="F140" s="3" t="s">
        <v>3067</v>
      </c>
      <c r="G140" s="3" t="s">
        <v>74</v>
      </c>
      <c r="H140" s="3" t="s">
        <v>74</v>
      </c>
      <c r="I140" s="3" t="s">
        <v>3068</v>
      </c>
      <c r="J140" s="3" t="s">
        <v>3069</v>
      </c>
      <c r="K140" s="3" t="s">
        <v>74</v>
      </c>
      <c r="L140" s="3" t="s">
        <v>74</v>
      </c>
      <c r="M140" s="3" t="s">
        <v>110</v>
      </c>
      <c r="N140" s="3" t="s">
        <v>79</v>
      </c>
      <c r="O140" s="3" t="s">
        <v>74</v>
      </c>
      <c r="P140" s="3" t="s">
        <v>74</v>
      </c>
      <c r="Q140" s="3" t="s">
        <v>74</v>
      </c>
      <c r="R140" s="3" t="s">
        <v>74</v>
      </c>
      <c r="S140" s="3" t="s">
        <v>74</v>
      </c>
      <c r="T140" s="3" t="s">
        <v>3070</v>
      </c>
      <c r="U140" s="3" t="s">
        <v>3071</v>
      </c>
      <c r="V140" s="3" t="s">
        <v>3072</v>
      </c>
      <c r="W140" s="3" t="s">
        <v>3073</v>
      </c>
      <c r="X140" s="3" t="s">
        <v>3074</v>
      </c>
      <c r="Y140" s="3" t="s">
        <v>3075</v>
      </c>
      <c r="Z140" s="3" t="s">
        <v>3076</v>
      </c>
      <c r="AA140" s="3" t="s">
        <v>3077</v>
      </c>
      <c r="AB140" s="3" t="s">
        <v>3078</v>
      </c>
      <c r="AC140" s="3" t="s">
        <v>74</v>
      </c>
      <c r="AD140" s="3" t="s">
        <v>74</v>
      </c>
      <c r="AE140" s="3" t="s">
        <v>74</v>
      </c>
      <c r="AF140" s="3" t="s">
        <v>74</v>
      </c>
      <c r="AG140" s="3">
        <v>25</v>
      </c>
      <c r="AH140" s="3">
        <v>1</v>
      </c>
      <c r="AI140" s="3">
        <v>1</v>
      </c>
      <c r="AJ140" s="3">
        <v>0</v>
      </c>
      <c r="AK140" s="3">
        <v>4</v>
      </c>
      <c r="AL140" s="3" t="s">
        <v>3079</v>
      </c>
      <c r="AM140" s="3" t="s">
        <v>3080</v>
      </c>
      <c r="AN140" s="3" t="s">
        <v>3081</v>
      </c>
      <c r="AO140" s="3" t="s">
        <v>3082</v>
      </c>
      <c r="AP140" s="3" t="s">
        <v>74</v>
      </c>
      <c r="AQ140" s="3" t="s">
        <v>74</v>
      </c>
      <c r="AR140" s="3" t="s">
        <v>3083</v>
      </c>
      <c r="AS140" s="3" t="s">
        <v>3084</v>
      </c>
      <c r="AT140" s="3" t="s">
        <v>74</v>
      </c>
      <c r="AU140" s="3">
        <v>2024</v>
      </c>
      <c r="AV140" s="3">
        <v>18</v>
      </c>
      <c r="AW140" s="3">
        <v>2</v>
      </c>
      <c r="AX140" s="3" t="s">
        <v>74</v>
      </c>
      <c r="AY140" s="3" t="s">
        <v>74</v>
      </c>
      <c r="AZ140" s="3" t="s">
        <v>74</v>
      </c>
      <c r="BA140" s="3" t="s">
        <v>74</v>
      </c>
      <c r="BB140" s="3">
        <v>48</v>
      </c>
      <c r="BC140" s="3">
        <v>66</v>
      </c>
      <c r="BD140" s="3" t="s">
        <v>74</v>
      </c>
      <c r="BE140" s="3" t="s">
        <v>3085</v>
      </c>
      <c r="BF140" s="3" t="str">
        <f>HYPERLINK("http://dx.doi.org/10.17323/2587-814X.2024.2.48.66","http://dx.doi.org/10.17323/2587-814X.2024.2.48.66")</f>
        <v>http://dx.doi.org/10.17323/2587-814X.2024.2.48.66</v>
      </c>
      <c r="BG140" s="3" t="s">
        <v>74</v>
      </c>
      <c r="BH140" s="3" t="s">
        <v>74</v>
      </c>
      <c r="BI140" s="3">
        <v>19</v>
      </c>
      <c r="BJ140" s="3" t="s">
        <v>2056</v>
      </c>
      <c r="BK140" s="3" t="s">
        <v>97</v>
      </c>
      <c r="BL140" s="3" t="s">
        <v>98</v>
      </c>
      <c r="BM140" s="3" t="s">
        <v>3086</v>
      </c>
      <c r="BN140" s="3" t="s">
        <v>74</v>
      </c>
      <c r="BO140" s="3" t="s">
        <v>100</v>
      </c>
      <c r="BP140" s="3" t="s">
        <v>74</v>
      </c>
      <c r="BQ140" s="3" t="s">
        <v>74</v>
      </c>
      <c r="BR140" s="3" t="s">
        <v>101</v>
      </c>
      <c r="BS140" s="3" t="s">
        <v>3087</v>
      </c>
      <c r="BT140" s="3" t="str">
        <f>HYPERLINK("https%3A%2F%2Fwww.webofscience.com%2Fwos%2Fwoscc%2Ffull-record%2FWOS:001260072100004","View Full Record in Web of Science")</f>
        <v>View Full Record in Web of Science</v>
      </c>
      <c r="BU140" s="3"/>
      <c r="BV140" s="3"/>
      <c r="BW140" s="1"/>
    </row>
    <row r="141" spans="1:75" x14ac:dyDescent="0.25">
      <c r="A141" s="3" t="s">
        <v>103</v>
      </c>
      <c r="B141" s="3" t="s">
        <v>3088</v>
      </c>
      <c r="C141" s="3" t="s">
        <v>74</v>
      </c>
      <c r="D141" s="3" t="s">
        <v>74</v>
      </c>
      <c r="E141" s="3" t="s">
        <v>199</v>
      </c>
      <c r="F141" s="3" t="s">
        <v>3089</v>
      </c>
      <c r="G141" s="3" t="s">
        <v>74</v>
      </c>
      <c r="H141" s="3" t="s">
        <v>74</v>
      </c>
      <c r="I141" s="3" t="s">
        <v>3090</v>
      </c>
      <c r="J141" s="3" t="s">
        <v>3091</v>
      </c>
      <c r="K141" s="3" t="s">
        <v>3092</v>
      </c>
      <c r="L141" s="3" t="s">
        <v>74</v>
      </c>
      <c r="M141" s="3" t="s">
        <v>110</v>
      </c>
      <c r="N141" s="3" t="s">
        <v>111</v>
      </c>
      <c r="O141" s="3" t="s">
        <v>3093</v>
      </c>
      <c r="P141" s="3" t="s">
        <v>3094</v>
      </c>
      <c r="Q141" s="3" t="s">
        <v>3095</v>
      </c>
      <c r="R141" s="3" t="s">
        <v>74</v>
      </c>
      <c r="S141" s="3" t="s">
        <v>74</v>
      </c>
      <c r="T141" s="3" t="s">
        <v>3096</v>
      </c>
      <c r="U141" s="3" t="s">
        <v>74</v>
      </c>
      <c r="V141" s="3" t="s">
        <v>3097</v>
      </c>
      <c r="W141" s="3" t="s">
        <v>3098</v>
      </c>
      <c r="X141" s="3" t="s">
        <v>3099</v>
      </c>
      <c r="Y141" s="3" t="s">
        <v>3100</v>
      </c>
      <c r="Z141" s="3" t="s">
        <v>74</v>
      </c>
      <c r="AA141" s="3" t="s">
        <v>3101</v>
      </c>
      <c r="AB141" s="3" t="s">
        <v>3102</v>
      </c>
      <c r="AC141" s="3" t="s">
        <v>74</v>
      </c>
      <c r="AD141" s="3" t="s">
        <v>74</v>
      </c>
      <c r="AE141" s="3" t="s">
        <v>74</v>
      </c>
      <c r="AF141" s="3" t="s">
        <v>74</v>
      </c>
      <c r="AG141" s="3">
        <v>78</v>
      </c>
      <c r="AH141" s="3">
        <v>0</v>
      </c>
      <c r="AI141" s="3">
        <v>0</v>
      </c>
      <c r="AJ141" s="3">
        <v>2</v>
      </c>
      <c r="AK141" s="3">
        <v>3</v>
      </c>
      <c r="AL141" s="3" t="s">
        <v>199</v>
      </c>
      <c r="AM141" s="3" t="s">
        <v>200</v>
      </c>
      <c r="AN141" s="3" t="s">
        <v>201</v>
      </c>
      <c r="AO141" s="3" t="s">
        <v>3103</v>
      </c>
      <c r="AP141" s="3" t="s">
        <v>74</v>
      </c>
      <c r="AQ141" s="3" t="s">
        <v>3104</v>
      </c>
      <c r="AR141" s="3" t="s">
        <v>3105</v>
      </c>
      <c r="AS141" s="3" t="s">
        <v>74</v>
      </c>
      <c r="AT141" s="3" t="s">
        <v>74</v>
      </c>
      <c r="AU141" s="3">
        <v>2024</v>
      </c>
      <c r="AV141" s="3" t="s">
        <v>74</v>
      </c>
      <c r="AW141" s="3" t="s">
        <v>74</v>
      </c>
      <c r="AX141" s="3" t="s">
        <v>74</v>
      </c>
      <c r="AY141" s="3" t="s">
        <v>74</v>
      </c>
      <c r="AZ141" s="3" t="s">
        <v>74</v>
      </c>
      <c r="BA141" s="3" t="s">
        <v>74</v>
      </c>
      <c r="BB141" s="3" t="s">
        <v>74</v>
      </c>
      <c r="BC141" s="3" t="s">
        <v>74</v>
      </c>
      <c r="BD141" s="3" t="s">
        <v>74</v>
      </c>
      <c r="BE141" s="3" t="s">
        <v>3106</v>
      </c>
      <c r="BF141" s="3" t="str">
        <f>HYPERLINK("http://dx.doi.org/10.1109/FNWF58287.2023.10520468","http://dx.doi.org/10.1109/FNWF58287.2023.10520468")</f>
        <v>http://dx.doi.org/10.1109/FNWF58287.2023.10520468</v>
      </c>
      <c r="BG141" s="3" t="s">
        <v>74</v>
      </c>
      <c r="BH141" s="3" t="s">
        <v>74</v>
      </c>
      <c r="BI141" s="3">
        <v>181</v>
      </c>
      <c r="BJ141" s="3" t="s">
        <v>852</v>
      </c>
      <c r="BK141" s="3" t="s">
        <v>208</v>
      </c>
      <c r="BL141" s="3" t="s">
        <v>853</v>
      </c>
      <c r="BM141" s="3" t="s">
        <v>3107</v>
      </c>
      <c r="BN141" s="3" t="s">
        <v>74</v>
      </c>
      <c r="BO141" s="3" t="s">
        <v>74</v>
      </c>
      <c r="BP141" s="3" t="s">
        <v>74</v>
      </c>
      <c r="BQ141" s="3" t="s">
        <v>74</v>
      </c>
      <c r="BR141" s="3" t="s">
        <v>101</v>
      </c>
      <c r="BS141" s="3" t="s">
        <v>3108</v>
      </c>
      <c r="BT141" s="3" t="str">
        <f>HYPERLINK("https%3A%2F%2Fwww.webofscience.com%2Fwos%2Fwoscc%2Ffull-record%2FWOS:001229556600059","View Full Record in Web of Science")</f>
        <v>View Full Record in Web of Science</v>
      </c>
      <c r="BU141" s="3"/>
      <c r="BV141" s="3"/>
      <c r="BW141" s="1"/>
    </row>
    <row r="142" spans="1:75" x14ac:dyDescent="0.25">
      <c r="A142" s="3" t="s">
        <v>103</v>
      </c>
      <c r="B142" s="3" t="s">
        <v>3109</v>
      </c>
      <c r="C142" s="3" t="s">
        <v>74</v>
      </c>
      <c r="D142" s="3" t="s">
        <v>3110</v>
      </c>
      <c r="E142" s="3" t="s">
        <v>74</v>
      </c>
      <c r="F142" s="3" t="s">
        <v>3111</v>
      </c>
      <c r="G142" s="3" t="s">
        <v>74</v>
      </c>
      <c r="H142" s="3" t="s">
        <v>74</v>
      </c>
      <c r="I142" s="3" t="s">
        <v>3112</v>
      </c>
      <c r="J142" s="3" t="s">
        <v>3113</v>
      </c>
      <c r="K142" s="3" t="s">
        <v>3114</v>
      </c>
      <c r="L142" s="3" t="s">
        <v>74</v>
      </c>
      <c r="M142" s="3" t="s">
        <v>110</v>
      </c>
      <c r="N142" s="3" t="s">
        <v>111</v>
      </c>
      <c r="O142" s="3" t="s">
        <v>3115</v>
      </c>
      <c r="P142" s="3" t="s">
        <v>3116</v>
      </c>
      <c r="Q142" s="3" t="s">
        <v>471</v>
      </c>
      <c r="R142" s="3" t="s">
        <v>74</v>
      </c>
      <c r="S142" s="3" t="s">
        <v>74</v>
      </c>
      <c r="T142" s="3" t="s">
        <v>3117</v>
      </c>
      <c r="U142" s="3" t="s">
        <v>3118</v>
      </c>
      <c r="V142" s="3" t="s">
        <v>3119</v>
      </c>
      <c r="W142" s="3" t="s">
        <v>3120</v>
      </c>
      <c r="X142" s="3" t="s">
        <v>475</v>
      </c>
      <c r="Y142" s="3" t="s">
        <v>3121</v>
      </c>
      <c r="Z142" s="3" t="s">
        <v>3122</v>
      </c>
      <c r="AA142" s="3" t="s">
        <v>3123</v>
      </c>
      <c r="AB142" s="3" t="s">
        <v>3124</v>
      </c>
      <c r="AC142" s="3" t="s">
        <v>74</v>
      </c>
      <c r="AD142" s="3" t="s">
        <v>74</v>
      </c>
      <c r="AE142" s="3" t="s">
        <v>74</v>
      </c>
      <c r="AF142" s="3" t="s">
        <v>74</v>
      </c>
      <c r="AG142" s="3">
        <v>51</v>
      </c>
      <c r="AH142" s="3">
        <v>0</v>
      </c>
      <c r="AI142" s="3">
        <v>0</v>
      </c>
      <c r="AJ142" s="3">
        <v>0</v>
      </c>
      <c r="AK142" s="3">
        <v>0</v>
      </c>
      <c r="AL142" s="3" t="s">
        <v>374</v>
      </c>
      <c r="AM142" s="3" t="s">
        <v>375</v>
      </c>
      <c r="AN142" s="3" t="s">
        <v>376</v>
      </c>
      <c r="AO142" s="3" t="s">
        <v>3125</v>
      </c>
      <c r="AP142" s="3" t="s">
        <v>3126</v>
      </c>
      <c r="AQ142" s="3" t="s">
        <v>3127</v>
      </c>
      <c r="AR142" s="3" t="s">
        <v>3128</v>
      </c>
      <c r="AS142" s="3" t="s">
        <v>74</v>
      </c>
      <c r="AT142" s="3" t="s">
        <v>74</v>
      </c>
      <c r="AU142" s="3">
        <v>2024</v>
      </c>
      <c r="AV142" s="3">
        <v>693</v>
      </c>
      <c r="AW142" s="3" t="s">
        <v>74</v>
      </c>
      <c r="AX142" s="3" t="s">
        <v>74</v>
      </c>
      <c r="AY142" s="3" t="s">
        <v>74</v>
      </c>
      <c r="AZ142" s="3" t="s">
        <v>74</v>
      </c>
      <c r="BA142" s="3" t="s">
        <v>74</v>
      </c>
      <c r="BB142" s="3">
        <v>204</v>
      </c>
      <c r="BC142" s="3">
        <v>219</v>
      </c>
      <c r="BD142" s="3" t="s">
        <v>74</v>
      </c>
      <c r="BE142" s="3" t="s">
        <v>3129</v>
      </c>
      <c r="BF142" s="3" t="str">
        <f>HYPERLINK("http://dx.doi.org/10.1007/978-3-031-61069-1_15","http://dx.doi.org/10.1007/978-3-031-61069-1_15")</f>
        <v>http://dx.doi.org/10.1007/978-3-031-61069-1_15</v>
      </c>
      <c r="BG142" s="3" t="s">
        <v>74</v>
      </c>
      <c r="BH142" s="3" t="s">
        <v>74</v>
      </c>
      <c r="BI142" s="3">
        <v>16</v>
      </c>
      <c r="BJ142" s="3" t="s">
        <v>3130</v>
      </c>
      <c r="BK142" s="3" t="s">
        <v>208</v>
      </c>
      <c r="BL142" s="3" t="s">
        <v>1346</v>
      </c>
      <c r="BM142" s="3" t="s">
        <v>3131</v>
      </c>
      <c r="BN142" s="3" t="s">
        <v>74</v>
      </c>
      <c r="BO142" s="3" t="s">
        <v>683</v>
      </c>
      <c r="BP142" s="3" t="s">
        <v>74</v>
      </c>
      <c r="BQ142" s="3" t="s">
        <v>74</v>
      </c>
      <c r="BR142" s="3" t="s">
        <v>101</v>
      </c>
      <c r="BS142" s="3" t="s">
        <v>3132</v>
      </c>
      <c r="BT142" s="3" t="str">
        <f>HYPERLINK("https%3A%2F%2Fwww.webofscience.com%2Fwos%2Fwoscc%2Ffull-record%2FWOS:001506380500015","View Full Record in Web of Science")</f>
        <v>View Full Record in Web of Science</v>
      </c>
      <c r="BU142" s="3"/>
      <c r="BV142" s="3"/>
      <c r="BW142" s="1"/>
    </row>
    <row r="143" spans="1:75" x14ac:dyDescent="0.25">
      <c r="A143" s="3" t="s">
        <v>103</v>
      </c>
      <c r="B143" s="3" t="s">
        <v>3133</v>
      </c>
      <c r="C143" s="3" t="s">
        <v>74</v>
      </c>
      <c r="D143" s="3" t="s">
        <v>74</v>
      </c>
      <c r="E143" s="3" t="s">
        <v>199</v>
      </c>
      <c r="F143" s="3" t="s">
        <v>3134</v>
      </c>
      <c r="G143" s="3" t="s">
        <v>74</v>
      </c>
      <c r="H143" s="3" t="s">
        <v>74</v>
      </c>
      <c r="I143" s="3" t="s">
        <v>3135</v>
      </c>
      <c r="J143" s="3" t="s">
        <v>3136</v>
      </c>
      <c r="K143" s="3" t="s">
        <v>3137</v>
      </c>
      <c r="L143" s="3" t="s">
        <v>74</v>
      </c>
      <c r="M143" s="3" t="s">
        <v>110</v>
      </c>
      <c r="N143" s="3" t="s">
        <v>111</v>
      </c>
      <c r="O143" s="3" t="s">
        <v>3138</v>
      </c>
      <c r="P143" s="3" t="s">
        <v>3139</v>
      </c>
      <c r="Q143" s="3" t="s">
        <v>3140</v>
      </c>
      <c r="R143" s="3" t="s">
        <v>74</v>
      </c>
      <c r="S143" s="3" t="s">
        <v>74</v>
      </c>
      <c r="T143" s="3" t="s">
        <v>74</v>
      </c>
      <c r="U143" s="3" t="s">
        <v>74</v>
      </c>
      <c r="V143" s="3" t="s">
        <v>3141</v>
      </c>
      <c r="W143" s="3" t="s">
        <v>3142</v>
      </c>
      <c r="X143" s="3" t="s">
        <v>3143</v>
      </c>
      <c r="Y143" s="3" t="s">
        <v>3144</v>
      </c>
      <c r="Z143" s="3" t="s">
        <v>3145</v>
      </c>
      <c r="AA143" s="3" t="s">
        <v>74</v>
      </c>
      <c r="AB143" s="3" t="s">
        <v>74</v>
      </c>
      <c r="AC143" s="3" t="s">
        <v>3146</v>
      </c>
      <c r="AD143" s="3" t="s">
        <v>3147</v>
      </c>
      <c r="AE143" s="3" t="s">
        <v>3148</v>
      </c>
      <c r="AF143" s="3" t="s">
        <v>74</v>
      </c>
      <c r="AG143" s="3">
        <v>10</v>
      </c>
      <c r="AH143" s="3">
        <v>0</v>
      </c>
      <c r="AI143" s="3">
        <v>1</v>
      </c>
      <c r="AJ143" s="3">
        <v>0</v>
      </c>
      <c r="AK143" s="3">
        <v>1</v>
      </c>
      <c r="AL143" s="3" t="s">
        <v>199</v>
      </c>
      <c r="AM143" s="3" t="s">
        <v>200</v>
      </c>
      <c r="AN143" s="3" t="s">
        <v>201</v>
      </c>
      <c r="AO143" s="3" t="s">
        <v>3149</v>
      </c>
      <c r="AP143" s="3" t="s">
        <v>74</v>
      </c>
      <c r="AQ143" s="3" t="s">
        <v>3150</v>
      </c>
      <c r="AR143" s="3" t="s">
        <v>3151</v>
      </c>
      <c r="AS143" s="3" t="s">
        <v>74</v>
      </c>
      <c r="AT143" s="3" t="s">
        <v>74</v>
      </c>
      <c r="AU143" s="3">
        <v>2024</v>
      </c>
      <c r="AV143" s="3" t="s">
        <v>74</v>
      </c>
      <c r="AW143" s="3" t="s">
        <v>74</v>
      </c>
      <c r="AX143" s="3" t="s">
        <v>74</v>
      </c>
      <c r="AY143" s="3" t="s">
        <v>74</v>
      </c>
      <c r="AZ143" s="3" t="s">
        <v>74</v>
      </c>
      <c r="BA143" s="3" t="s">
        <v>74</v>
      </c>
      <c r="BB143" s="3" t="s">
        <v>74</v>
      </c>
      <c r="BC143" s="3" t="s">
        <v>74</v>
      </c>
      <c r="BD143" s="3" t="s">
        <v>74</v>
      </c>
      <c r="BE143" s="3" t="s">
        <v>3152</v>
      </c>
      <c r="BF143" s="3" t="str">
        <f>HYPERLINK("http://dx.doi.org/10.1109/HSI61632.2024.10613584","http://dx.doi.org/10.1109/HSI61632.2024.10613584")</f>
        <v>http://dx.doi.org/10.1109/HSI61632.2024.10613584</v>
      </c>
      <c r="BG143" s="3" t="s">
        <v>74</v>
      </c>
      <c r="BH143" s="3" t="s">
        <v>74</v>
      </c>
      <c r="BI143" s="3">
        <v>4</v>
      </c>
      <c r="BJ143" s="3" t="s">
        <v>3153</v>
      </c>
      <c r="BK143" s="3" t="s">
        <v>208</v>
      </c>
      <c r="BL143" s="3" t="s">
        <v>486</v>
      </c>
      <c r="BM143" s="3" t="s">
        <v>3154</v>
      </c>
      <c r="BN143" s="3" t="s">
        <v>74</v>
      </c>
      <c r="BO143" s="3" t="s">
        <v>74</v>
      </c>
      <c r="BP143" s="3" t="s">
        <v>74</v>
      </c>
      <c r="BQ143" s="3" t="s">
        <v>74</v>
      </c>
      <c r="BR143" s="3" t="s">
        <v>101</v>
      </c>
      <c r="BS143" s="3" t="s">
        <v>3155</v>
      </c>
      <c r="BT143" s="3" t="str">
        <f>HYPERLINK("https%3A%2F%2Fwww.webofscience.com%2Fwos%2Fwoscc%2Ffull-record%2FWOS:001294372700061","View Full Record in Web of Science")</f>
        <v>View Full Record in Web of Science</v>
      </c>
      <c r="BU143" s="3"/>
      <c r="BV143" s="3"/>
      <c r="BW143" s="1"/>
    </row>
    <row r="144" spans="1:75" x14ac:dyDescent="0.25">
      <c r="A144" s="3" t="s">
        <v>103</v>
      </c>
      <c r="B144" s="3" t="s">
        <v>3156</v>
      </c>
      <c r="C144" s="3" t="s">
        <v>74</v>
      </c>
      <c r="D144" s="3" t="s">
        <v>3157</v>
      </c>
      <c r="E144" s="3" t="s">
        <v>74</v>
      </c>
      <c r="F144" s="3" t="s">
        <v>3158</v>
      </c>
      <c r="G144" s="3" t="s">
        <v>74</v>
      </c>
      <c r="H144" s="3" t="s">
        <v>74</v>
      </c>
      <c r="I144" s="3" t="s">
        <v>3159</v>
      </c>
      <c r="J144" s="3" t="s">
        <v>3160</v>
      </c>
      <c r="K144" s="3" t="s">
        <v>3161</v>
      </c>
      <c r="L144" s="3" t="s">
        <v>74</v>
      </c>
      <c r="M144" s="3" t="s">
        <v>110</v>
      </c>
      <c r="N144" s="3" t="s">
        <v>111</v>
      </c>
      <c r="O144" s="3" t="s">
        <v>3162</v>
      </c>
      <c r="P144" s="3" t="s">
        <v>3163</v>
      </c>
      <c r="Q144" s="3" t="s">
        <v>3164</v>
      </c>
      <c r="R144" s="3" t="s">
        <v>74</v>
      </c>
      <c r="S144" s="3" t="s">
        <v>3165</v>
      </c>
      <c r="T144" s="3" t="s">
        <v>3166</v>
      </c>
      <c r="U144" s="3" t="s">
        <v>74</v>
      </c>
      <c r="V144" s="3" t="s">
        <v>3167</v>
      </c>
      <c r="W144" s="3" t="s">
        <v>3168</v>
      </c>
      <c r="X144" s="3" t="s">
        <v>3169</v>
      </c>
      <c r="Y144" s="3" t="s">
        <v>3170</v>
      </c>
      <c r="Z144" s="3" t="s">
        <v>3171</v>
      </c>
      <c r="AA144" s="3" t="s">
        <v>74</v>
      </c>
      <c r="AB144" s="3" t="s">
        <v>3172</v>
      </c>
      <c r="AC144" s="3" t="s">
        <v>74</v>
      </c>
      <c r="AD144" s="3" t="s">
        <v>74</v>
      </c>
      <c r="AE144" s="3" t="s">
        <v>74</v>
      </c>
      <c r="AF144" s="3" t="s">
        <v>74</v>
      </c>
      <c r="AG144" s="3">
        <v>67</v>
      </c>
      <c r="AH144" s="3">
        <v>0</v>
      </c>
      <c r="AI144" s="3">
        <v>0</v>
      </c>
      <c r="AJ144" s="3">
        <v>0</v>
      </c>
      <c r="AK144" s="3">
        <v>1</v>
      </c>
      <c r="AL144" s="3" t="s">
        <v>199</v>
      </c>
      <c r="AM144" s="3" t="s">
        <v>200</v>
      </c>
      <c r="AN144" s="3" t="s">
        <v>201</v>
      </c>
      <c r="AO144" s="3" t="s">
        <v>3173</v>
      </c>
      <c r="AP144" s="3" t="s">
        <v>74</v>
      </c>
      <c r="AQ144" s="3" t="s">
        <v>3174</v>
      </c>
      <c r="AR144" s="3" t="s">
        <v>3175</v>
      </c>
      <c r="AS144" s="3" t="s">
        <v>74</v>
      </c>
      <c r="AT144" s="3" t="s">
        <v>74</v>
      </c>
      <c r="AU144" s="3">
        <v>2024</v>
      </c>
      <c r="AV144" s="3" t="s">
        <v>74</v>
      </c>
      <c r="AW144" s="3" t="s">
        <v>74</v>
      </c>
      <c r="AX144" s="3" t="s">
        <v>74</v>
      </c>
      <c r="AY144" s="3" t="s">
        <v>74</v>
      </c>
      <c r="AZ144" s="3" t="s">
        <v>74</v>
      </c>
      <c r="BA144" s="3" t="s">
        <v>74</v>
      </c>
      <c r="BB144" s="3">
        <v>29</v>
      </c>
      <c r="BC144" s="3">
        <v>34</v>
      </c>
      <c r="BD144" s="3" t="s">
        <v>74</v>
      </c>
      <c r="BE144" s="3" t="s">
        <v>3176</v>
      </c>
      <c r="BF144" s="3" t="str">
        <f>HYPERLINK("http://dx.doi.org/10.1109/REM63063.2024.10735617","http://dx.doi.org/10.1109/REM63063.2024.10735617")</f>
        <v>http://dx.doi.org/10.1109/REM63063.2024.10735617</v>
      </c>
      <c r="BG144" s="3" t="s">
        <v>74</v>
      </c>
      <c r="BH144" s="3" t="s">
        <v>74</v>
      </c>
      <c r="BI144" s="3">
        <v>6</v>
      </c>
      <c r="BJ144" s="3" t="s">
        <v>3177</v>
      </c>
      <c r="BK144" s="3" t="s">
        <v>208</v>
      </c>
      <c r="BL144" s="3" t="s">
        <v>3178</v>
      </c>
      <c r="BM144" s="3" t="s">
        <v>3179</v>
      </c>
      <c r="BN144" s="3" t="s">
        <v>74</v>
      </c>
      <c r="BO144" s="3" t="s">
        <v>74</v>
      </c>
      <c r="BP144" s="3" t="s">
        <v>74</v>
      </c>
      <c r="BQ144" s="3" t="s">
        <v>74</v>
      </c>
      <c r="BR144" s="3" t="s">
        <v>101</v>
      </c>
      <c r="BS144" s="3" t="s">
        <v>3180</v>
      </c>
      <c r="BT144" s="3" t="str">
        <f>HYPERLINK("https%3A%2F%2Fwww.webofscience.com%2Fwos%2Fwoscc%2Ffull-record%2FWOS:001412795600006","View Full Record in Web of Science")</f>
        <v>View Full Record in Web of Science</v>
      </c>
      <c r="BU144" s="3"/>
      <c r="BV144" s="3"/>
      <c r="BW144" s="1"/>
    </row>
    <row r="145" spans="1:75" x14ac:dyDescent="0.25">
      <c r="A145" s="3" t="s">
        <v>72</v>
      </c>
      <c r="B145" s="3" t="s">
        <v>3181</v>
      </c>
      <c r="C145" s="3" t="s">
        <v>74</v>
      </c>
      <c r="D145" s="3" t="s">
        <v>74</v>
      </c>
      <c r="E145" s="3" t="s">
        <v>74</v>
      </c>
      <c r="F145" s="3" t="s">
        <v>3182</v>
      </c>
      <c r="G145" s="3" t="s">
        <v>74</v>
      </c>
      <c r="H145" s="3" t="s">
        <v>74</v>
      </c>
      <c r="I145" s="3" t="s">
        <v>3183</v>
      </c>
      <c r="J145" s="3" t="s">
        <v>3184</v>
      </c>
      <c r="K145" s="3" t="s">
        <v>74</v>
      </c>
      <c r="L145" s="3" t="s">
        <v>74</v>
      </c>
      <c r="M145" s="3" t="s">
        <v>110</v>
      </c>
      <c r="N145" s="3" t="s">
        <v>79</v>
      </c>
      <c r="O145" s="3" t="s">
        <v>74</v>
      </c>
      <c r="P145" s="3" t="s">
        <v>74</v>
      </c>
      <c r="Q145" s="3" t="s">
        <v>74</v>
      </c>
      <c r="R145" s="3" t="s">
        <v>74</v>
      </c>
      <c r="S145" s="3" t="s">
        <v>74</v>
      </c>
      <c r="T145" s="3" t="s">
        <v>3185</v>
      </c>
      <c r="U145" s="3" t="s">
        <v>3186</v>
      </c>
      <c r="V145" s="3" t="s">
        <v>3187</v>
      </c>
      <c r="W145" s="3" t="s">
        <v>3188</v>
      </c>
      <c r="X145" s="3" t="s">
        <v>3189</v>
      </c>
      <c r="Y145" s="3" t="s">
        <v>3190</v>
      </c>
      <c r="Z145" s="3" t="s">
        <v>3191</v>
      </c>
      <c r="AA145" s="3" t="s">
        <v>3192</v>
      </c>
      <c r="AB145" s="3" t="s">
        <v>3193</v>
      </c>
      <c r="AC145" s="3" t="s">
        <v>3194</v>
      </c>
      <c r="AD145" s="3" t="s">
        <v>3195</v>
      </c>
      <c r="AE145" s="3" t="s">
        <v>3196</v>
      </c>
      <c r="AF145" s="3" t="s">
        <v>74</v>
      </c>
      <c r="AG145" s="3">
        <v>34</v>
      </c>
      <c r="AH145" s="3">
        <v>0</v>
      </c>
      <c r="AI145" s="3">
        <v>0</v>
      </c>
      <c r="AJ145" s="3">
        <v>0</v>
      </c>
      <c r="AK145" s="3">
        <v>5</v>
      </c>
      <c r="AL145" s="3" t="s">
        <v>3197</v>
      </c>
      <c r="AM145" s="3" t="s">
        <v>3198</v>
      </c>
      <c r="AN145" s="3" t="s">
        <v>3199</v>
      </c>
      <c r="AO145" s="3" t="s">
        <v>3200</v>
      </c>
      <c r="AP145" s="3" t="s">
        <v>3201</v>
      </c>
      <c r="AQ145" s="3" t="s">
        <v>74</v>
      </c>
      <c r="AR145" s="3" t="s">
        <v>3202</v>
      </c>
      <c r="AS145" s="3" t="s">
        <v>3203</v>
      </c>
      <c r="AT145" s="3" t="s">
        <v>74</v>
      </c>
      <c r="AU145" s="3">
        <v>2024</v>
      </c>
      <c r="AV145" s="3">
        <v>8</v>
      </c>
      <c r="AW145" s="3">
        <v>4</v>
      </c>
      <c r="AX145" s="3" t="s">
        <v>74</v>
      </c>
      <c r="AY145" s="3" t="s">
        <v>74</v>
      </c>
      <c r="AZ145" s="3" t="s">
        <v>74</v>
      </c>
      <c r="BA145" s="3" t="s">
        <v>74</v>
      </c>
      <c r="BB145" s="3" t="s">
        <v>74</v>
      </c>
      <c r="BC145" s="3" t="s">
        <v>74</v>
      </c>
      <c r="BD145" s="3">
        <v>3106</v>
      </c>
      <c r="BE145" s="3" t="s">
        <v>3204</v>
      </c>
      <c r="BF145" s="3" t="str">
        <f>HYPERLINK("http://dx.doi.org/10.24294/jipd.v8i4.3106","http://dx.doi.org/10.24294/jipd.v8i4.3106")</f>
        <v>http://dx.doi.org/10.24294/jipd.v8i4.3106</v>
      </c>
      <c r="BG145" s="3" t="s">
        <v>74</v>
      </c>
      <c r="BH145" s="3" t="s">
        <v>74</v>
      </c>
      <c r="BI145" s="3">
        <v>21</v>
      </c>
      <c r="BJ145" s="3" t="s">
        <v>96</v>
      </c>
      <c r="BK145" s="3" t="s">
        <v>97</v>
      </c>
      <c r="BL145" s="3" t="s">
        <v>98</v>
      </c>
      <c r="BM145" s="3" t="s">
        <v>3205</v>
      </c>
      <c r="BN145" s="3" t="s">
        <v>74</v>
      </c>
      <c r="BO145" s="3" t="s">
        <v>100</v>
      </c>
      <c r="BP145" s="3" t="s">
        <v>74</v>
      </c>
      <c r="BQ145" s="3" t="s">
        <v>74</v>
      </c>
      <c r="BR145" s="3" t="s">
        <v>101</v>
      </c>
      <c r="BS145" s="3" t="s">
        <v>3206</v>
      </c>
      <c r="BT145" s="3" t="str">
        <f>HYPERLINK("https%3A%2F%2Fwww.webofscience.com%2Fwos%2Fwoscc%2Ffull-record%2FWOS:001209446700020","View Full Record in Web of Science")</f>
        <v>View Full Record in Web of Science</v>
      </c>
      <c r="BU145" s="3"/>
      <c r="BV145" s="3"/>
      <c r="BW145" s="1"/>
    </row>
    <row r="146" spans="1:75" x14ac:dyDescent="0.25">
      <c r="A146" s="3" t="s">
        <v>72</v>
      </c>
      <c r="B146" s="3" t="s">
        <v>3207</v>
      </c>
      <c r="C146" s="3" t="s">
        <v>74</v>
      </c>
      <c r="D146" s="3" t="s">
        <v>74</v>
      </c>
      <c r="E146" s="3" t="s">
        <v>74</v>
      </c>
      <c r="F146" s="3" t="s">
        <v>3208</v>
      </c>
      <c r="G146" s="3" t="s">
        <v>74</v>
      </c>
      <c r="H146" s="3" t="s">
        <v>74</v>
      </c>
      <c r="I146" s="3" t="s">
        <v>3209</v>
      </c>
      <c r="J146" s="3" t="s">
        <v>3210</v>
      </c>
      <c r="K146" s="3" t="s">
        <v>74</v>
      </c>
      <c r="L146" s="3" t="s">
        <v>74</v>
      </c>
      <c r="M146" s="3" t="s">
        <v>110</v>
      </c>
      <c r="N146" s="3" t="s">
        <v>79</v>
      </c>
      <c r="O146" s="3" t="s">
        <v>74</v>
      </c>
      <c r="P146" s="3" t="s">
        <v>74</v>
      </c>
      <c r="Q146" s="3" t="s">
        <v>74</v>
      </c>
      <c r="R146" s="3" t="s">
        <v>74</v>
      </c>
      <c r="S146" s="3" t="s">
        <v>74</v>
      </c>
      <c r="T146" s="3" t="s">
        <v>3211</v>
      </c>
      <c r="U146" s="3" t="s">
        <v>74</v>
      </c>
      <c r="V146" s="3" t="s">
        <v>3212</v>
      </c>
      <c r="W146" s="3" t="s">
        <v>3213</v>
      </c>
      <c r="X146" s="3" t="s">
        <v>3214</v>
      </c>
      <c r="Y146" s="3" t="s">
        <v>3215</v>
      </c>
      <c r="Z146" s="3" t="s">
        <v>3216</v>
      </c>
      <c r="AA146" s="3" t="s">
        <v>3217</v>
      </c>
      <c r="AB146" s="3" t="s">
        <v>74</v>
      </c>
      <c r="AC146" s="3" t="s">
        <v>3218</v>
      </c>
      <c r="AD146" s="3" t="s">
        <v>3219</v>
      </c>
      <c r="AE146" s="3" t="s">
        <v>3220</v>
      </c>
      <c r="AF146" s="3" t="s">
        <v>74</v>
      </c>
      <c r="AG146" s="3">
        <v>24</v>
      </c>
      <c r="AH146" s="3">
        <v>0</v>
      </c>
      <c r="AI146" s="3">
        <v>0</v>
      </c>
      <c r="AJ146" s="3">
        <v>18</v>
      </c>
      <c r="AK146" s="3">
        <v>18</v>
      </c>
      <c r="AL146" s="3" t="s">
        <v>2161</v>
      </c>
      <c r="AM146" s="3" t="s">
        <v>2162</v>
      </c>
      <c r="AN146" s="3" t="s">
        <v>3221</v>
      </c>
      <c r="AO146" s="3" t="s">
        <v>3222</v>
      </c>
      <c r="AP146" s="3" t="s">
        <v>3223</v>
      </c>
      <c r="AQ146" s="3" t="s">
        <v>74</v>
      </c>
      <c r="AR146" s="3" t="s">
        <v>3224</v>
      </c>
      <c r="AS146" s="3" t="s">
        <v>3225</v>
      </c>
      <c r="AT146" s="3" t="s">
        <v>1164</v>
      </c>
      <c r="AU146" s="3">
        <v>2025</v>
      </c>
      <c r="AV146" s="3">
        <v>14</v>
      </c>
      <c r="AW146" s="3">
        <v>5</v>
      </c>
      <c r="AX146" s="3" t="s">
        <v>74</v>
      </c>
      <c r="AY146" s="3" t="s">
        <v>74</v>
      </c>
      <c r="AZ146" s="3" t="s">
        <v>74</v>
      </c>
      <c r="BA146" s="3" t="s">
        <v>74</v>
      </c>
      <c r="BB146" s="3">
        <v>1364</v>
      </c>
      <c r="BC146" s="3">
        <v>1379</v>
      </c>
      <c r="BD146" s="3" t="s">
        <v>74</v>
      </c>
      <c r="BE146" s="3" t="s">
        <v>3226</v>
      </c>
      <c r="BF146" s="3" t="str">
        <f>HYPERLINK("http://dx.doi.org/10.1016/j.foar.2025.01.001","http://dx.doi.org/10.1016/j.foar.2025.01.001")</f>
        <v>http://dx.doi.org/10.1016/j.foar.2025.01.001</v>
      </c>
      <c r="BG146" s="3" t="s">
        <v>74</v>
      </c>
      <c r="BH146" s="3" t="s">
        <v>74</v>
      </c>
      <c r="BI146" s="3">
        <v>16</v>
      </c>
      <c r="BJ146" s="3" t="s">
        <v>1017</v>
      </c>
      <c r="BK146" s="3" t="s">
        <v>3227</v>
      </c>
      <c r="BL146" s="3" t="s">
        <v>1017</v>
      </c>
      <c r="BM146" s="3" t="s">
        <v>3228</v>
      </c>
      <c r="BN146" s="3" t="s">
        <v>74</v>
      </c>
      <c r="BO146" s="3" t="s">
        <v>100</v>
      </c>
      <c r="BP146" s="3" t="s">
        <v>74</v>
      </c>
      <c r="BQ146" s="3" t="s">
        <v>74</v>
      </c>
      <c r="BR146" s="3" t="s">
        <v>101</v>
      </c>
      <c r="BS146" s="3" t="s">
        <v>3229</v>
      </c>
      <c r="BT146" s="3" t="str">
        <f>HYPERLINK("https%3A%2F%2Fwww.webofscience.com%2Fwos%2Fwoscc%2Ffull-record%2FWOS:001551753000001","View Full Record in Web of Science")</f>
        <v>View Full Record in Web of Science</v>
      </c>
      <c r="BU146" s="3"/>
      <c r="BV146" s="3"/>
      <c r="BW146" s="1"/>
    </row>
    <row r="147" spans="1:75" x14ac:dyDescent="0.25">
      <c r="A147" s="3" t="s">
        <v>72</v>
      </c>
      <c r="B147" s="3" t="s">
        <v>3230</v>
      </c>
      <c r="C147" s="3" t="s">
        <v>74</v>
      </c>
      <c r="D147" s="3" t="s">
        <v>74</v>
      </c>
      <c r="E147" s="3" t="s">
        <v>74</v>
      </c>
      <c r="F147" s="3" t="s">
        <v>3231</v>
      </c>
      <c r="G147" s="3" t="s">
        <v>74</v>
      </c>
      <c r="H147" s="3" t="s">
        <v>74</v>
      </c>
      <c r="I147" s="3" t="s">
        <v>3232</v>
      </c>
      <c r="J147" s="3" t="s">
        <v>3233</v>
      </c>
      <c r="K147" s="3" t="s">
        <v>74</v>
      </c>
      <c r="L147" s="3" t="s">
        <v>74</v>
      </c>
      <c r="M147" s="3" t="s">
        <v>110</v>
      </c>
      <c r="N147" s="3" t="s">
        <v>2802</v>
      </c>
      <c r="O147" s="3" t="s">
        <v>74</v>
      </c>
      <c r="P147" s="3" t="s">
        <v>74</v>
      </c>
      <c r="Q147" s="3" t="s">
        <v>74</v>
      </c>
      <c r="R147" s="3" t="s">
        <v>74</v>
      </c>
      <c r="S147" s="3" t="s">
        <v>74</v>
      </c>
      <c r="T147" s="3" t="s">
        <v>3234</v>
      </c>
      <c r="U147" s="3" t="s">
        <v>3235</v>
      </c>
      <c r="V147" s="3" t="s">
        <v>3236</v>
      </c>
      <c r="W147" s="3" t="s">
        <v>3237</v>
      </c>
      <c r="X147" s="3" t="s">
        <v>3238</v>
      </c>
      <c r="Y147" s="3" t="s">
        <v>3239</v>
      </c>
      <c r="Z147" s="3" t="s">
        <v>3240</v>
      </c>
      <c r="AA147" s="3" t="s">
        <v>74</v>
      </c>
      <c r="AB147" s="3" t="s">
        <v>3241</v>
      </c>
      <c r="AC147" s="3" t="s">
        <v>3242</v>
      </c>
      <c r="AD147" s="3" t="s">
        <v>3242</v>
      </c>
      <c r="AE147" s="3" t="s">
        <v>3243</v>
      </c>
      <c r="AF147" s="3" t="s">
        <v>74</v>
      </c>
      <c r="AG147" s="3">
        <v>117</v>
      </c>
      <c r="AH147" s="3">
        <v>0</v>
      </c>
      <c r="AI147" s="3">
        <v>0</v>
      </c>
      <c r="AJ147" s="3">
        <v>13</v>
      </c>
      <c r="AK147" s="3">
        <v>13</v>
      </c>
      <c r="AL147" s="3" t="s">
        <v>3244</v>
      </c>
      <c r="AM147" s="3" t="s">
        <v>873</v>
      </c>
      <c r="AN147" s="3" t="s">
        <v>3245</v>
      </c>
      <c r="AO147" s="3" t="s">
        <v>3246</v>
      </c>
      <c r="AP147" s="3" t="s">
        <v>3247</v>
      </c>
      <c r="AQ147" s="3" t="s">
        <v>74</v>
      </c>
      <c r="AR147" s="3" t="s">
        <v>3248</v>
      </c>
      <c r="AS147" s="3" t="s">
        <v>3249</v>
      </c>
      <c r="AT147" s="3" t="s">
        <v>3250</v>
      </c>
      <c r="AU147" s="3">
        <v>2025</v>
      </c>
      <c r="AV147" s="3" t="s">
        <v>74</v>
      </c>
      <c r="AW147" s="3" t="s">
        <v>74</v>
      </c>
      <c r="AX147" s="3" t="s">
        <v>74</v>
      </c>
      <c r="AY147" s="3" t="s">
        <v>74</v>
      </c>
      <c r="AZ147" s="3" t="s">
        <v>74</v>
      </c>
      <c r="BA147" s="3" t="s">
        <v>74</v>
      </c>
      <c r="BB147" s="3" t="s">
        <v>74</v>
      </c>
      <c r="BC147" s="3" t="s">
        <v>74</v>
      </c>
      <c r="BD147" s="3" t="s">
        <v>74</v>
      </c>
      <c r="BE147" s="3" t="s">
        <v>3251</v>
      </c>
      <c r="BF147" s="3" t="str">
        <f>HYPERLINK("http://dx.doi.org/10.1080/07352166.2025.2502116","http://dx.doi.org/10.1080/07352166.2025.2502116")</f>
        <v>http://dx.doi.org/10.1080/07352166.2025.2502116</v>
      </c>
      <c r="BG147" s="3" t="s">
        <v>74</v>
      </c>
      <c r="BH147" s="3" t="s">
        <v>1643</v>
      </c>
      <c r="BI147" s="3">
        <v>24</v>
      </c>
      <c r="BJ147" s="3" t="s">
        <v>263</v>
      </c>
      <c r="BK147" s="3" t="s">
        <v>264</v>
      </c>
      <c r="BL147" s="3" t="s">
        <v>263</v>
      </c>
      <c r="BM147" s="3" t="s">
        <v>3252</v>
      </c>
      <c r="BN147" s="3" t="s">
        <v>74</v>
      </c>
      <c r="BO147" s="3" t="s">
        <v>74</v>
      </c>
      <c r="BP147" s="3" t="s">
        <v>74</v>
      </c>
      <c r="BQ147" s="3" t="s">
        <v>74</v>
      </c>
      <c r="BR147" s="3" t="s">
        <v>101</v>
      </c>
      <c r="BS147" s="3" t="s">
        <v>3253</v>
      </c>
      <c r="BT147" s="3" t="str">
        <f>HYPERLINK("https%3A%2F%2Fwww.webofscience.com%2Fwos%2Fwoscc%2Ffull-record%2FWOS:001499686800001","View Full Record in Web of Science")</f>
        <v>View Full Record in Web of Science</v>
      </c>
      <c r="BU147" s="3"/>
      <c r="BV147" s="3"/>
      <c r="BW147" s="1"/>
    </row>
    <row r="148" spans="1:75" x14ac:dyDescent="0.25">
      <c r="A148" s="3" t="s">
        <v>72</v>
      </c>
      <c r="B148" s="3" t="s">
        <v>3254</v>
      </c>
      <c r="C148" s="3" t="s">
        <v>74</v>
      </c>
      <c r="D148" s="3" t="s">
        <v>74</v>
      </c>
      <c r="E148" s="3" t="s">
        <v>74</v>
      </c>
      <c r="F148" s="3" t="s">
        <v>3255</v>
      </c>
      <c r="G148" s="3" t="s">
        <v>74</v>
      </c>
      <c r="H148" s="3" t="s">
        <v>74</v>
      </c>
      <c r="I148" s="3" t="s">
        <v>3256</v>
      </c>
      <c r="J148" s="3" t="s">
        <v>661</v>
      </c>
      <c r="K148" s="3" t="s">
        <v>74</v>
      </c>
      <c r="L148" s="3" t="s">
        <v>74</v>
      </c>
      <c r="M148" s="3" t="s">
        <v>110</v>
      </c>
      <c r="N148" s="3" t="s">
        <v>79</v>
      </c>
      <c r="O148" s="3" t="s">
        <v>74</v>
      </c>
      <c r="P148" s="3" t="s">
        <v>74</v>
      </c>
      <c r="Q148" s="3" t="s">
        <v>74</v>
      </c>
      <c r="R148" s="3" t="s">
        <v>74</v>
      </c>
      <c r="S148" s="3" t="s">
        <v>74</v>
      </c>
      <c r="T148" s="3" t="s">
        <v>3257</v>
      </c>
      <c r="U148" s="3" t="s">
        <v>3258</v>
      </c>
      <c r="V148" s="3" t="s">
        <v>3259</v>
      </c>
      <c r="W148" s="3" t="s">
        <v>3260</v>
      </c>
      <c r="X148" s="3" t="s">
        <v>3261</v>
      </c>
      <c r="Y148" s="3" t="s">
        <v>3262</v>
      </c>
      <c r="Z148" s="3" t="s">
        <v>3263</v>
      </c>
      <c r="AA148" s="3" t="s">
        <v>3264</v>
      </c>
      <c r="AB148" s="3" t="s">
        <v>3265</v>
      </c>
      <c r="AC148" s="3" t="s">
        <v>3266</v>
      </c>
      <c r="AD148" s="3" t="s">
        <v>3267</v>
      </c>
      <c r="AE148" s="3" t="s">
        <v>3268</v>
      </c>
      <c r="AF148" s="3" t="s">
        <v>74</v>
      </c>
      <c r="AG148" s="3">
        <v>94</v>
      </c>
      <c r="AH148" s="3">
        <v>0</v>
      </c>
      <c r="AI148" s="3">
        <v>0</v>
      </c>
      <c r="AJ148" s="3">
        <v>7</v>
      </c>
      <c r="AK148" s="3">
        <v>7</v>
      </c>
      <c r="AL148" s="3" t="s">
        <v>671</v>
      </c>
      <c r="AM148" s="3" t="s">
        <v>124</v>
      </c>
      <c r="AN148" s="3" t="s">
        <v>672</v>
      </c>
      <c r="AO148" s="3" t="s">
        <v>673</v>
      </c>
      <c r="AP148" s="3" t="s">
        <v>674</v>
      </c>
      <c r="AQ148" s="3" t="s">
        <v>74</v>
      </c>
      <c r="AR148" s="3" t="s">
        <v>675</v>
      </c>
      <c r="AS148" s="3" t="s">
        <v>676</v>
      </c>
      <c r="AT148" s="3" t="s">
        <v>3269</v>
      </c>
      <c r="AU148" s="3">
        <v>2025</v>
      </c>
      <c r="AV148" s="3">
        <v>130</v>
      </c>
      <c r="AW148" s="3" t="s">
        <v>74</v>
      </c>
      <c r="AX148" s="3" t="s">
        <v>74</v>
      </c>
      <c r="AY148" s="3" t="s">
        <v>74</v>
      </c>
      <c r="AZ148" s="3" t="s">
        <v>74</v>
      </c>
      <c r="BA148" s="3" t="s">
        <v>74</v>
      </c>
      <c r="BB148" s="3" t="s">
        <v>74</v>
      </c>
      <c r="BC148" s="3" t="s">
        <v>74</v>
      </c>
      <c r="BD148" s="3">
        <v>106638</v>
      </c>
      <c r="BE148" s="3" t="s">
        <v>3270</v>
      </c>
      <c r="BF148" s="3" t="str">
        <f>HYPERLINK("http://dx.doi.org/10.1016/j.scs.2025.106638","http://dx.doi.org/10.1016/j.scs.2025.106638")</f>
        <v>http://dx.doi.org/10.1016/j.scs.2025.106638</v>
      </c>
      <c r="BG148" s="3" t="s">
        <v>74</v>
      </c>
      <c r="BH148" s="3" t="s">
        <v>1016</v>
      </c>
      <c r="BI148" s="3">
        <v>19</v>
      </c>
      <c r="BJ148" s="3" t="s">
        <v>680</v>
      </c>
      <c r="BK148" s="3" t="s">
        <v>179</v>
      </c>
      <c r="BL148" s="3" t="s">
        <v>681</v>
      </c>
      <c r="BM148" s="3" t="s">
        <v>3271</v>
      </c>
      <c r="BN148" s="3" t="s">
        <v>74</v>
      </c>
      <c r="BO148" s="3" t="s">
        <v>884</v>
      </c>
      <c r="BP148" s="3" t="s">
        <v>74</v>
      </c>
      <c r="BQ148" s="3" t="s">
        <v>74</v>
      </c>
      <c r="BR148" s="3" t="s">
        <v>101</v>
      </c>
      <c r="BS148" s="3" t="s">
        <v>3272</v>
      </c>
      <c r="BT148" s="3" t="str">
        <f>HYPERLINK("https%3A%2F%2Fwww.webofscience.com%2Fwos%2Fwoscc%2Ffull-record%2FWOS:001551918500001","View Full Record in Web of Science")</f>
        <v>View Full Record in Web of Science</v>
      </c>
      <c r="BU148" s="3"/>
      <c r="BV148" s="3"/>
      <c r="BW148" s="1"/>
    </row>
    <row r="149" spans="1:75" x14ac:dyDescent="0.25">
      <c r="A149" s="3" t="s">
        <v>103</v>
      </c>
      <c r="B149" s="3" t="s">
        <v>3273</v>
      </c>
      <c r="C149" s="3" t="s">
        <v>74</v>
      </c>
      <c r="D149" s="3" t="s">
        <v>3274</v>
      </c>
      <c r="E149" s="3" t="s">
        <v>74</v>
      </c>
      <c r="F149" s="3" t="s">
        <v>3275</v>
      </c>
      <c r="G149" s="3" t="s">
        <v>74</v>
      </c>
      <c r="H149" s="3" t="s">
        <v>74</v>
      </c>
      <c r="I149" s="3" t="s">
        <v>3276</v>
      </c>
      <c r="J149" s="3" t="s">
        <v>3277</v>
      </c>
      <c r="K149" s="3" t="s">
        <v>109</v>
      </c>
      <c r="L149" s="3" t="s">
        <v>74</v>
      </c>
      <c r="M149" s="3" t="s">
        <v>110</v>
      </c>
      <c r="N149" s="3" t="s">
        <v>111</v>
      </c>
      <c r="O149" s="3" t="s">
        <v>3278</v>
      </c>
      <c r="P149" s="3" t="s">
        <v>3279</v>
      </c>
      <c r="Q149" s="3" t="s">
        <v>3280</v>
      </c>
      <c r="R149" s="3" t="s">
        <v>74</v>
      </c>
      <c r="S149" s="3" t="s">
        <v>74</v>
      </c>
      <c r="T149" s="3" t="s">
        <v>3281</v>
      </c>
      <c r="U149" s="3" t="s">
        <v>3282</v>
      </c>
      <c r="V149" s="3" t="s">
        <v>3283</v>
      </c>
      <c r="W149" s="3" t="s">
        <v>3284</v>
      </c>
      <c r="X149" s="3" t="s">
        <v>74</v>
      </c>
      <c r="Y149" s="3" t="s">
        <v>3285</v>
      </c>
      <c r="Z149" s="3" t="s">
        <v>3286</v>
      </c>
      <c r="AA149" s="3" t="s">
        <v>74</v>
      </c>
      <c r="AB149" s="3" t="s">
        <v>74</v>
      </c>
      <c r="AC149" s="3" t="s">
        <v>74</v>
      </c>
      <c r="AD149" s="3" t="s">
        <v>74</v>
      </c>
      <c r="AE149" s="3" t="s">
        <v>74</v>
      </c>
      <c r="AF149" s="3" t="s">
        <v>74</v>
      </c>
      <c r="AG149" s="3">
        <v>53</v>
      </c>
      <c r="AH149" s="3">
        <v>16</v>
      </c>
      <c r="AI149" s="3">
        <v>24</v>
      </c>
      <c r="AJ149" s="3">
        <v>0</v>
      </c>
      <c r="AK149" s="3">
        <v>14</v>
      </c>
      <c r="AL149" s="3" t="s">
        <v>123</v>
      </c>
      <c r="AM149" s="3" t="s">
        <v>124</v>
      </c>
      <c r="AN149" s="3" t="s">
        <v>125</v>
      </c>
      <c r="AO149" s="3" t="s">
        <v>126</v>
      </c>
      <c r="AP149" s="3" t="s">
        <v>74</v>
      </c>
      <c r="AQ149" s="3" t="s">
        <v>74</v>
      </c>
      <c r="AR149" s="3" t="s">
        <v>127</v>
      </c>
      <c r="AS149" s="3" t="s">
        <v>74</v>
      </c>
      <c r="AT149" s="3" t="s">
        <v>74</v>
      </c>
      <c r="AU149" s="3">
        <v>2014</v>
      </c>
      <c r="AV149" s="3">
        <v>3</v>
      </c>
      <c r="AW149" s="3" t="s">
        <v>74</v>
      </c>
      <c r="AX149" s="3" t="s">
        <v>74</v>
      </c>
      <c r="AY149" s="3" t="s">
        <v>74</v>
      </c>
      <c r="AZ149" s="3" t="s">
        <v>74</v>
      </c>
      <c r="BA149" s="3" t="s">
        <v>74</v>
      </c>
      <c r="BB149" s="3">
        <v>518</v>
      </c>
      <c r="BC149" s="3">
        <v>527</v>
      </c>
      <c r="BD149" s="3" t="s">
        <v>74</v>
      </c>
      <c r="BE149" s="3" t="s">
        <v>3287</v>
      </c>
      <c r="BF149" s="3" t="str">
        <f>HYPERLINK("http://dx.doi.org/10.1016/j.trpro.2014.10.033","http://dx.doi.org/10.1016/j.trpro.2014.10.033")</f>
        <v>http://dx.doi.org/10.1016/j.trpro.2014.10.033</v>
      </c>
      <c r="BG149" s="3" t="s">
        <v>74</v>
      </c>
      <c r="BH149" s="3" t="s">
        <v>74</v>
      </c>
      <c r="BI149" s="3">
        <v>10</v>
      </c>
      <c r="BJ149" s="3" t="s">
        <v>129</v>
      </c>
      <c r="BK149" s="3" t="s">
        <v>130</v>
      </c>
      <c r="BL149" s="3" t="s">
        <v>131</v>
      </c>
      <c r="BM149" s="3" t="s">
        <v>3288</v>
      </c>
      <c r="BN149" s="3" t="s">
        <v>74</v>
      </c>
      <c r="BO149" s="3" t="s">
        <v>100</v>
      </c>
      <c r="BP149" s="3" t="s">
        <v>74</v>
      </c>
      <c r="BQ149" s="3" t="s">
        <v>74</v>
      </c>
      <c r="BR149" s="3" t="s">
        <v>101</v>
      </c>
      <c r="BS149" s="3" t="s">
        <v>3289</v>
      </c>
      <c r="BT149" s="3" t="str">
        <f>HYPERLINK("https%3A%2F%2Fwww.webofscience.com%2Fwos%2Fwoscc%2Ffull-record%2FWOS:000377412600056","View Full Record in Web of Science")</f>
        <v>View Full Record in Web of Science</v>
      </c>
      <c r="BU149" s="3"/>
      <c r="BV149" s="3"/>
      <c r="BW149" s="1"/>
    </row>
    <row r="150" spans="1:75" x14ac:dyDescent="0.25">
      <c r="A150" s="3" t="s">
        <v>72</v>
      </c>
      <c r="B150" s="3" t="s">
        <v>3290</v>
      </c>
      <c r="C150" s="3" t="s">
        <v>74</v>
      </c>
      <c r="D150" s="3" t="s">
        <v>74</v>
      </c>
      <c r="E150" s="3" t="s">
        <v>74</v>
      </c>
      <c r="F150" s="3" t="s">
        <v>3291</v>
      </c>
      <c r="G150" s="3" t="s">
        <v>74</v>
      </c>
      <c r="H150" s="3" t="s">
        <v>74</v>
      </c>
      <c r="I150" s="3" t="s">
        <v>3292</v>
      </c>
      <c r="J150" s="3" t="s">
        <v>3293</v>
      </c>
      <c r="K150" s="3" t="s">
        <v>74</v>
      </c>
      <c r="L150" s="3" t="s">
        <v>74</v>
      </c>
      <c r="M150" s="3" t="s">
        <v>110</v>
      </c>
      <c r="N150" s="3" t="s">
        <v>79</v>
      </c>
      <c r="O150" s="3" t="s">
        <v>74</v>
      </c>
      <c r="P150" s="3" t="s">
        <v>74</v>
      </c>
      <c r="Q150" s="3" t="s">
        <v>74</v>
      </c>
      <c r="R150" s="3" t="s">
        <v>74</v>
      </c>
      <c r="S150" s="3" t="s">
        <v>74</v>
      </c>
      <c r="T150" s="3" t="s">
        <v>74</v>
      </c>
      <c r="U150" s="3" t="s">
        <v>74</v>
      </c>
      <c r="V150" s="3" t="s">
        <v>3294</v>
      </c>
      <c r="W150" s="3" t="s">
        <v>3295</v>
      </c>
      <c r="X150" s="3" t="s">
        <v>3296</v>
      </c>
      <c r="Y150" s="3" t="s">
        <v>3297</v>
      </c>
      <c r="Z150" s="3" t="s">
        <v>3298</v>
      </c>
      <c r="AA150" s="3" t="s">
        <v>3299</v>
      </c>
      <c r="AB150" s="3" t="s">
        <v>3300</v>
      </c>
      <c r="AC150" s="3" t="s">
        <v>74</v>
      </c>
      <c r="AD150" s="3" t="s">
        <v>74</v>
      </c>
      <c r="AE150" s="3" t="s">
        <v>74</v>
      </c>
      <c r="AF150" s="3" t="s">
        <v>74</v>
      </c>
      <c r="AG150" s="3">
        <v>14</v>
      </c>
      <c r="AH150" s="3">
        <v>23</v>
      </c>
      <c r="AI150" s="3">
        <v>26</v>
      </c>
      <c r="AJ150" s="3">
        <v>16</v>
      </c>
      <c r="AK150" s="3">
        <v>51</v>
      </c>
      <c r="AL150" s="3" t="s">
        <v>846</v>
      </c>
      <c r="AM150" s="3" t="s">
        <v>847</v>
      </c>
      <c r="AN150" s="3" t="s">
        <v>848</v>
      </c>
      <c r="AO150" s="3" t="s">
        <v>3301</v>
      </c>
      <c r="AP150" s="3" t="s">
        <v>3302</v>
      </c>
      <c r="AQ150" s="3" t="s">
        <v>74</v>
      </c>
      <c r="AR150" s="3" t="s">
        <v>3303</v>
      </c>
      <c r="AS150" s="3" t="s">
        <v>3304</v>
      </c>
      <c r="AT150" s="3" t="s">
        <v>283</v>
      </c>
      <c r="AU150" s="3">
        <v>2023</v>
      </c>
      <c r="AV150" s="3">
        <v>61</v>
      </c>
      <c r="AW150" s="3">
        <v>8</v>
      </c>
      <c r="AX150" s="3" t="s">
        <v>74</v>
      </c>
      <c r="AY150" s="3" t="s">
        <v>74</v>
      </c>
      <c r="AZ150" s="3" t="s">
        <v>74</v>
      </c>
      <c r="BA150" s="3" t="s">
        <v>74</v>
      </c>
      <c r="BB150" s="3">
        <v>154</v>
      </c>
      <c r="BC150" s="3">
        <v>160</v>
      </c>
      <c r="BD150" s="3" t="s">
        <v>74</v>
      </c>
      <c r="BE150" s="3" t="s">
        <v>3305</v>
      </c>
      <c r="BF150" s="3" t="str">
        <f>HYPERLINK("http://dx.doi.org/10.1109/MCOM.004.2300061","http://dx.doi.org/10.1109/MCOM.004.2300061")</f>
        <v>http://dx.doi.org/10.1109/MCOM.004.2300061</v>
      </c>
      <c r="BG150" s="3" t="s">
        <v>74</v>
      </c>
      <c r="BH150" s="3" t="s">
        <v>74</v>
      </c>
      <c r="BI150" s="3">
        <v>7</v>
      </c>
      <c r="BJ150" s="3" t="s">
        <v>1225</v>
      </c>
      <c r="BK150" s="3" t="s">
        <v>179</v>
      </c>
      <c r="BL150" s="3" t="s">
        <v>1226</v>
      </c>
      <c r="BM150" s="3" t="s">
        <v>3306</v>
      </c>
      <c r="BN150" s="3" t="s">
        <v>74</v>
      </c>
      <c r="BO150" s="3" t="s">
        <v>74</v>
      </c>
      <c r="BP150" s="3" t="s">
        <v>74</v>
      </c>
      <c r="BQ150" s="3" t="s">
        <v>74</v>
      </c>
      <c r="BR150" s="3" t="s">
        <v>101</v>
      </c>
      <c r="BS150" s="3" t="s">
        <v>3307</v>
      </c>
      <c r="BT150" s="3" t="str">
        <f>HYPERLINK("https%3A%2F%2Fwww.webofscience.com%2Fwos%2Fwoscc%2Ffull-record%2FWOS:001092598600023","View Full Record in Web of Science")</f>
        <v>View Full Record in Web of Science</v>
      </c>
      <c r="BU150" s="3"/>
      <c r="BV150" s="3"/>
      <c r="BW150" s="1"/>
    </row>
    <row r="151" spans="1:75" x14ac:dyDescent="0.25">
      <c r="A151" s="3" t="s">
        <v>72</v>
      </c>
      <c r="B151" s="3" t="s">
        <v>3308</v>
      </c>
      <c r="C151" s="3" t="s">
        <v>74</v>
      </c>
      <c r="D151" s="3" t="s">
        <v>74</v>
      </c>
      <c r="E151" s="3" t="s">
        <v>74</v>
      </c>
      <c r="F151" s="3" t="s">
        <v>3309</v>
      </c>
      <c r="G151" s="3" t="s">
        <v>74</v>
      </c>
      <c r="H151" s="3" t="s">
        <v>74</v>
      </c>
      <c r="I151" s="3" t="s">
        <v>3310</v>
      </c>
      <c r="J151" s="3" t="s">
        <v>661</v>
      </c>
      <c r="K151" s="3" t="s">
        <v>74</v>
      </c>
      <c r="L151" s="3" t="s">
        <v>74</v>
      </c>
      <c r="M151" s="3" t="s">
        <v>110</v>
      </c>
      <c r="N151" s="3" t="s">
        <v>79</v>
      </c>
      <c r="O151" s="3" t="s">
        <v>74</v>
      </c>
      <c r="P151" s="3" t="s">
        <v>74</v>
      </c>
      <c r="Q151" s="3" t="s">
        <v>74</v>
      </c>
      <c r="R151" s="3" t="s">
        <v>74</v>
      </c>
      <c r="S151" s="3" t="s">
        <v>74</v>
      </c>
      <c r="T151" s="3" t="s">
        <v>3311</v>
      </c>
      <c r="U151" s="3" t="s">
        <v>3312</v>
      </c>
      <c r="V151" s="3" t="s">
        <v>3313</v>
      </c>
      <c r="W151" s="3" t="s">
        <v>3314</v>
      </c>
      <c r="X151" s="3" t="s">
        <v>3315</v>
      </c>
      <c r="Y151" s="3" t="s">
        <v>3316</v>
      </c>
      <c r="Z151" s="3" t="s">
        <v>3317</v>
      </c>
      <c r="AA151" s="3" t="s">
        <v>3318</v>
      </c>
      <c r="AB151" s="3" t="s">
        <v>3319</v>
      </c>
      <c r="AC151" s="3" t="s">
        <v>3320</v>
      </c>
      <c r="AD151" s="3" t="s">
        <v>3321</v>
      </c>
      <c r="AE151" s="3" t="s">
        <v>3322</v>
      </c>
      <c r="AF151" s="3" t="s">
        <v>74</v>
      </c>
      <c r="AG151" s="3">
        <v>43</v>
      </c>
      <c r="AH151" s="3">
        <v>14</v>
      </c>
      <c r="AI151" s="3">
        <v>14</v>
      </c>
      <c r="AJ151" s="3">
        <v>5</v>
      </c>
      <c r="AK151" s="3">
        <v>37</v>
      </c>
      <c r="AL151" s="3" t="s">
        <v>671</v>
      </c>
      <c r="AM151" s="3" t="s">
        <v>124</v>
      </c>
      <c r="AN151" s="3" t="s">
        <v>672</v>
      </c>
      <c r="AO151" s="3" t="s">
        <v>673</v>
      </c>
      <c r="AP151" s="3" t="s">
        <v>674</v>
      </c>
      <c r="AQ151" s="3" t="s">
        <v>74</v>
      </c>
      <c r="AR151" s="3" t="s">
        <v>675</v>
      </c>
      <c r="AS151" s="3" t="s">
        <v>676</v>
      </c>
      <c r="AT151" s="3" t="s">
        <v>1164</v>
      </c>
      <c r="AU151" s="3">
        <v>2023</v>
      </c>
      <c r="AV151" s="3">
        <v>97</v>
      </c>
      <c r="AW151" s="3" t="s">
        <v>74</v>
      </c>
      <c r="AX151" s="3" t="s">
        <v>74</v>
      </c>
      <c r="AY151" s="3" t="s">
        <v>74</v>
      </c>
      <c r="AZ151" s="3" t="s">
        <v>74</v>
      </c>
      <c r="BA151" s="3" t="s">
        <v>74</v>
      </c>
      <c r="BB151" s="3" t="s">
        <v>74</v>
      </c>
      <c r="BC151" s="3" t="s">
        <v>74</v>
      </c>
      <c r="BD151" s="3">
        <v>104713</v>
      </c>
      <c r="BE151" s="3" t="s">
        <v>3323</v>
      </c>
      <c r="BF151" s="3" t="str">
        <f>HYPERLINK("http://dx.doi.org/10.1016/j.scs.2023.104713","http://dx.doi.org/10.1016/j.scs.2023.104713")</f>
        <v>http://dx.doi.org/10.1016/j.scs.2023.104713</v>
      </c>
      <c r="BG151" s="3" t="s">
        <v>74</v>
      </c>
      <c r="BH151" s="3" t="s">
        <v>3324</v>
      </c>
      <c r="BI151" s="3">
        <v>15</v>
      </c>
      <c r="BJ151" s="3" t="s">
        <v>680</v>
      </c>
      <c r="BK151" s="3" t="s">
        <v>179</v>
      </c>
      <c r="BL151" s="3" t="s">
        <v>681</v>
      </c>
      <c r="BM151" s="3" t="s">
        <v>3325</v>
      </c>
      <c r="BN151" s="3" t="s">
        <v>74</v>
      </c>
      <c r="BO151" s="3" t="s">
        <v>884</v>
      </c>
      <c r="BP151" s="3" t="s">
        <v>74</v>
      </c>
      <c r="BQ151" s="3" t="s">
        <v>74</v>
      </c>
      <c r="BR151" s="3" t="s">
        <v>101</v>
      </c>
      <c r="BS151" s="3" t="s">
        <v>3326</v>
      </c>
      <c r="BT151" s="3" t="str">
        <f>HYPERLINK("https%3A%2F%2Fwww.webofscience.com%2Fwos%2Fwoscc%2Ffull-record%2FWOS:001025800300001","View Full Record in Web of Science")</f>
        <v>View Full Record in Web of Science</v>
      </c>
      <c r="BU151" s="3"/>
      <c r="BV151" s="3"/>
      <c r="BW151" s="1"/>
    </row>
    <row r="152" spans="1:75" x14ac:dyDescent="0.25">
      <c r="A152" s="3" t="s">
        <v>72</v>
      </c>
      <c r="B152" s="3" t="s">
        <v>3327</v>
      </c>
      <c r="C152" s="3" t="s">
        <v>74</v>
      </c>
      <c r="D152" s="3" t="s">
        <v>74</v>
      </c>
      <c r="E152" s="3" t="s">
        <v>74</v>
      </c>
      <c r="F152" s="3" t="s">
        <v>3328</v>
      </c>
      <c r="G152" s="3" t="s">
        <v>74</v>
      </c>
      <c r="H152" s="3" t="s">
        <v>74</v>
      </c>
      <c r="I152" s="3" t="s">
        <v>3329</v>
      </c>
      <c r="J152" s="3" t="s">
        <v>3330</v>
      </c>
      <c r="K152" s="3" t="s">
        <v>74</v>
      </c>
      <c r="L152" s="3" t="s">
        <v>74</v>
      </c>
      <c r="M152" s="3" t="s">
        <v>110</v>
      </c>
      <c r="N152" s="3" t="s">
        <v>79</v>
      </c>
      <c r="O152" s="3" t="s">
        <v>74</v>
      </c>
      <c r="P152" s="3" t="s">
        <v>74</v>
      </c>
      <c r="Q152" s="3" t="s">
        <v>74</v>
      </c>
      <c r="R152" s="3" t="s">
        <v>74</v>
      </c>
      <c r="S152" s="3" t="s">
        <v>74</v>
      </c>
      <c r="T152" s="3" t="s">
        <v>3331</v>
      </c>
      <c r="U152" s="3" t="s">
        <v>3332</v>
      </c>
      <c r="V152" s="3" t="s">
        <v>3333</v>
      </c>
      <c r="W152" s="3" t="s">
        <v>3334</v>
      </c>
      <c r="X152" s="3" t="s">
        <v>3335</v>
      </c>
      <c r="Y152" s="3" t="s">
        <v>3336</v>
      </c>
      <c r="Z152" s="3" t="s">
        <v>3337</v>
      </c>
      <c r="AA152" s="3" t="s">
        <v>3338</v>
      </c>
      <c r="AB152" s="3" t="s">
        <v>3339</v>
      </c>
      <c r="AC152" s="3" t="s">
        <v>3340</v>
      </c>
      <c r="AD152" s="3" t="s">
        <v>3341</v>
      </c>
      <c r="AE152" s="3" t="s">
        <v>3342</v>
      </c>
      <c r="AF152" s="3" t="s">
        <v>74</v>
      </c>
      <c r="AG152" s="3">
        <v>61</v>
      </c>
      <c r="AH152" s="3">
        <v>13</v>
      </c>
      <c r="AI152" s="3">
        <v>14</v>
      </c>
      <c r="AJ152" s="3">
        <v>5</v>
      </c>
      <c r="AK152" s="3">
        <v>19</v>
      </c>
      <c r="AL152" s="3" t="s">
        <v>145</v>
      </c>
      <c r="AM152" s="3" t="s">
        <v>146</v>
      </c>
      <c r="AN152" s="3" t="s">
        <v>279</v>
      </c>
      <c r="AO152" s="3" t="s">
        <v>74</v>
      </c>
      <c r="AP152" s="3" t="s">
        <v>3343</v>
      </c>
      <c r="AQ152" s="3" t="s">
        <v>74</v>
      </c>
      <c r="AR152" s="3" t="s">
        <v>3330</v>
      </c>
      <c r="AS152" s="3" t="s">
        <v>3344</v>
      </c>
      <c r="AT152" s="3" t="s">
        <v>151</v>
      </c>
      <c r="AU152" s="3">
        <v>2023</v>
      </c>
      <c r="AV152" s="3">
        <v>7</v>
      </c>
      <c r="AW152" s="3">
        <v>4</v>
      </c>
      <c r="AX152" s="3" t="s">
        <v>74</v>
      </c>
      <c r="AY152" s="3" t="s">
        <v>74</v>
      </c>
      <c r="AZ152" s="3" t="s">
        <v>74</v>
      </c>
      <c r="BA152" s="3" t="s">
        <v>74</v>
      </c>
      <c r="BB152" s="3" t="s">
        <v>74</v>
      </c>
      <c r="BC152" s="3" t="s">
        <v>74</v>
      </c>
      <c r="BD152" s="3">
        <v>75</v>
      </c>
      <c r="BE152" s="3" t="s">
        <v>3345</v>
      </c>
      <c r="BF152" s="3" t="str">
        <f>HYPERLINK("http://dx.doi.org/10.3390/logistics7040075","http://dx.doi.org/10.3390/logistics7040075")</f>
        <v>http://dx.doi.org/10.3390/logistics7040075</v>
      </c>
      <c r="BG152" s="3" t="s">
        <v>74</v>
      </c>
      <c r="BH152" s="3" t="s">
        <v>74</v>
      </c>
      <c r="BI152" s="3">
        <v>20</v>
      </c>
      <c r="BJ152" s="3" t="s">
        <v>3346</v>
      </c>
      <c r="BK152" s="3" t="s">
        <v>97</v>
      </c>
      <c r="BL152" s="3" t="s">
        <v>3347</v>
      </c>
      <c r="BM152" s="3" t="s">
        <v>3348</v>
      </c>
      <c r="BN152" s="3" t="s">
        <v>74</v>
      </c>
      <c r="BO152" s="3" t="s">
        <v>133</v>
      </c>
      <c r="BP152" s="3" t="s">
        <v>74</v>
      </c>
      <c r="BQ152" s="3" t="s">
        <v>74</v>
      </c>
      <c r="BR152" s="3" t="s">
        <v>101</v>
      </c>
      <c r="BS152" s="3" t="s">
        <v>3349</v>
      </c>
      <c r="BT152" s="3" t="str">
        <f>HYPERLINK("https%3A%2F%2Fwww.webofscience.com%2Fwos%2Fwoscc%2Ffull-record%2FWOS:001130641900001","View Full Record in Web of Science")</f>
        <v>View Full Record in Web of Science</v>
      </c>
      <c r="BU152" s="3"/>
      <c r="BV152" s="3"/>
      <c r="BW152" s="1"/>
    </row>
    <row r="153" spans="1:75" x14ac:dyDescent="0.25">
      <c r="A153" s="3" t="s">
        <v>72</v>
      </c>
      <c r="B153" s="3" t="s">
        <v>3350</v>
      </c>
      <c r="C153" s="3" t="s">
        <v>74</v>
      </c>
      <c r="D153" s="3" t="s">
        <v>74</v>
      </c>
      <c r="E153" s="3" t="s">
        <v>74</v>
      </c>
      <c r="F153" s="3" t="s">
        <v>3351</v>
      </c>
      <c r="G153" s="3" t="s">
        <v>74</v>
      </c>
      <c r="H153" s="3" t="s">
        <v>74</v>
      </c>
      <c r="I153" s="3" t="s">
        <v>3352</v>
      </c>
      <c r="J153" s="3" t="s">
        <v>138</v>
      </c>
      <c r="K153" s="3" t="s">
        <v>74</v>
      </c>
      <c r="L153" s="3" t="s">
        <v>74</v>
      </c>
      <c r="M153" s="3" t="s">
        <v>110</v>
      </c>
      <c r="N153" s="3" t="s">
        <v>79</v>
      </c>
      <c r="O153" s="3" t="s">
        <v>74</v>
      </c>
      <c r="P153" s="3" t="s">
        <v>74</v>
      </c>
      <c r="Q153" s="3" t="s">
        <v>74</v>
      </c>
      <c r="R153" s="3" t="s">
        <v>74</v>
      </c>
      <c r="S153" s="3" t="s">
        <v>74</v>
      </c>
      <c r="T153" s="3" t="s">
        <v>3353</v>
      </c>
      <c r="U153" s="3" t="s">
        <v>3354</v>
      </c>
      <c r="V153" s="3" t="s">
        <v>3355</v>
      </c>
      <c r="W153" s="3" t="s">
        <v>3356</v>
      </c>
      <c r="X153" s="3" t="s">
        <v>3357</v>
      </c>
      <c r="Y153" s="3" t="s">
        <v>3358</v>
      </c>
      <c r="Z153" s="3" t="s">
        <v>3359</v>
      </c>
      <c r="AA153" s="3" t="s">
        <v>74</v>
      </c>
      <c r="AB153" s="3" t="s">
        <v>3360</v>
      </c>
      <c r="AC153" s="3" t="s">
        <v>3361</v>
      </c>
      <c r="AD153" s="3" t="s">
        <v>3362</v>
      </c>
      <c r="AE153" s="3" t="s">
        <v>3363</v>
      </c>
      <c r="AF153" s="3" t="s">
        <v>74</v>
      </c>
      <c r="AG153" s="3">
        <v>65</v>
      </c>
      <c r="AH153" s="3">
        <v>12</v>
      </c>
      <c r="AI153" s="3">
        <v>12</v>
      </c>
      <c r="AJ153" s="3">
        <v>3</v>
      </c>
      <c r="AK153" s="3">
        <v>26</v>
      </c>
      <c r="AL153" s="3" t="s">
        <v>145</v>
      </c>
      <c r="AM153" s="3" t="s">
        <v>146</v>
      </c>
      <c r="AN153" s="3" t="s">
        <v>279</v>
      </c>
      <c r="AO153" s="3" t="s">
        <v>74</v>
      </c>
      <c r="AP153" s="3" t="s">
        <v>148</v>
      </c>
      <c r="AQ153" s="3" t="s">
        <v>74</v>
      </c>
      <c r="AR153" s="3" t="s">
        <v>149</v>
      </c>
      <c r="AS153" s="3" t="s">
        <v>150</v>
      </c>
      <c r="AT153" s="3" t="s">
        <v>1450</v>
      </c>
      <c r="AU153" s="3">
        <v>2023</v>
      </c>
      <c r="AV153" s="3">
        <v>15</v>
      </c>
      <c r="AW153" s="3">
        <v>13</v>
      </c>
      <c r="AX153" s="3" t="s">
        <v>74</v>
      </c>
      <c r="AY153" s="3" t="s">
        <v>74</v>
      </c>
      <c r="AZ153" s="3" t="s">
        <v>74</v>
      </c>
      <c r="BA153" s="3" t="s">
        <v>74</v>
      </c>
      <c r="BB153" s="3" t="s">
        <v>74</v>
      </c>
      <c r="BC153" s="3" t="s">
        <v>74</v>
      </c>
      <c r="BD153" s="3">
        <v>10568</v>
      </c>
      <c r="BE153" s="3" t="s">
        <v>3364</v>
      </c>
      <c r="BF153" s="3" t="str">
        <f>HYPERLINK("http://dx.doi.org/10.3390/su151310568","http://dx.doi.org/10.3390/su151310568")</f>
        <v>http://dx.doi.org/10.3390/su151310568</v>
      </c>
      <c r="BG153" s="3" t="s">
        <v>74</v>
      </c>
      <c r="BH153" s="3" t="s">
        <v>74</v>
      </c>
      <c r="BI153" s="3">
        <v>19</v>
      </c>
      <c r="BJ153" s="3" t="s">
        <v>153</v>
      </c>
      <c r="BK153" s="3" t="s">
        <v>154</v>
      </c>
      <c r="BL153" s="3" t="s">
        <v>155</v>
      </c>
      <c r="BM153" s="3" t="s">
        <v>3365</v>
      </c>
      <c r="BN153" s="3" t="s">
        <v>74</v>
      </c>
      <c r="BO153" s="3" t="s">
        <v>133</v>
      </c>
      <c r="BP153" s="3" t="s">
        <v>74</v>
      </c>
      <c r="BQ153" s="3" t="s">
        <v>74</v>
      </c>
      <c r="BR153" s="3" t="s">
        <v>101</v>
      </c>
      <c r="BS153" s="3" t="s">
        <v>3366</v>
      </c>
      <c r="BT153" s="3" t="str">
        <f>HYPERLINK("https%3A%2F%2Fwww.webofscience.com%2Fwos%2Fwoscc%2Ffull-record%2FWOS:001030993500001","View Full Record in Web of Science")</f>
        <v>View Full Record in Web of Science</v>
      </c>
      <c r="BU153" s="3"/>
      <c r="BV153" s="3"/>
      <c r="BW153" s="1"/>
    </row>
    <row r="154" spans="1:75" x14ac:dyDescent="0.25">
      <c r="A154" s="3" t="s">
        <v>72</v>
      </c>
      <c r="B154" s="3" t="s">
        <v>3367</v>
      </c>
      <c r="C154" s="3" t="s">
        <v>74</v>
      </c>
      <c r="D154" s="3" t="s">
        <v>74</v>
      </c>
      <c r="E154" s="3" t="s">
        <v>74</v>
      </c>
      <c r="F154" s="3" t="s">
        <v>3368</v>
      </c>
      <c r="G154" s="3" t="s">
        <v>74</v>
      </c>
      <c r="H154" s="3" t="s">
        <v>74</v>
      </c>
      <c r="I154" s="3" t="s">
        <v>3369</v>
      </c>
      <c r="J154" s="3" t="s">
        <v>1435</v>
      </c>
      <c r="K154" s="3" t="s">
        <v>74</v>
      </c>
      <c r="L154" s="3" t="s">
        <v>74</v>
      </c>
      <c r="M154" s="3" t="s">
        <v>110</v>
      </c>
      <c r="N154" s="3" t="s">
        <v>79</v>
      </c>
      <c r="O154" s="3" t="s">
        <v>74</v>
      </c>
      <c r="P154" s="3" t="s">
        <v>74</v>
      </c>
      <c r="Q154" s="3" t="s">
        <v>74</v>
      </c>
      <c r="R154" s="3" t="s">
        <v>74</v>
      </c>
      <c r="S154" s="3" t="s">
        <v>74</v>
      </c>
      <c r="T154" s="3" t="s">
        <v>3370</v>
      </c>
      <c r="U154" s="3" t="s">
        <v>3371</v>
      </c>
      <c r="V154" s="3" t="s">
        <v>3372</v>
      </c>
      <c r="W154" s="3" t="s">
        <v>3373</v>
      </c>
      <c r="X154" s="3" t="s">
        <v>3374</v>
      </c>
      <c r="Y154" s="3" t="s">
        <v>3375</v>
      </c>
      <c r="Z154" s="3" t="s">
        <v>3376</v>
      </c>
      <c r="AA154" s="3" t="s">
        <v>3377</v>
      </c>
      <c r="AB154" s="3" t="s">
        <v>3378</v>
      </c>
      <c r="AC154" s="3" t="s">
        <v>74</v>
      </c>
      <c r="AD154" s="3" t="s">
        <v>74</v>
      </c>
      <c r="AE154" s="3" t="s">
        <v>74</v>
      </c>
      <c r="AF154" s="3" t="s">
        <v>74</v>
      </c>
      <c r="AG154" s="3">
        <v>33</v>
      </c>
      <c r="AH154" s="3">
        <v>8</v>
      </c>
      <c r="AI154" s="3">
        <v>8</v>
      </c>
      <c r="AJ154" s="3">
        <v>1</v>
      </c>
      <c r="AK154" s="3">
        <v>4</v>
      </c>
      <c r="AL154" s="3" t="s">
        <v>145</v>
      </c>
      <c r="AM154" s="3" t="s">
        <v>146</v>
      </c>
      <c r="AN154" s="3" t="s">
        <v>279</v>
      </c>
      <c r="AO154" s="3" t="s">
        <v>74</v>
      </c>
      <c r="AP154" s="3" t="s">
        <v>1447</v>
      </c>
      <c r="AQ154" s="3" t="s">
        <v>74</v>
      </c>
      <c r="AR154" s="3" t="s">
        <v>1448</v>
      </c>
      <c r="AS154" s="3" t="s">
        <v>1449</v>
      </c>
      <c r="AT154" s="3" t="s">
        <v>176</v>
      </c>
      <c r="AU154" s="3">
        <v>2023</v>
      </c>
      <c r="AV154" s="3">
        <v>23</v>
      </c>
      <c r="AW154" s="3">
        <v>12</v>
      </c>
      <c r="AX154" s="3" t="s">
        <v>74</v>
      </c>
      <c r="AY154" s="3" t="s">
        <v>74</v>
      </c>
      <c r="AZ154" s="3" t="s">
        <v>74</v>
      </c>
      <c r="BA154" s="3" t="s">
        <v>74</v>
      </c>
      <c r="BB154" s="3" t="s">
        <v>74</v>
      </c>
      <c r="BC154" s="3" t="s">
        <v>74</v>
      </c>
      <c r="BD154" s="3">
        <v>5471</v>
      </c>
      <c r="BE154" s="3" t="s">
        <v>3379</v>
      </c>
      <c r="BF154" s="3" t="str">
        <f>HYPERLINK("http://dx.doi.org/10.3390/s23125471","http://dx.doi.org/10.3390/s23125471")</f>
        <v>http://dx.doi.org/10.3390/s23125471</v>
      </c>
      <c r="BG154" s="3" t="s">
        <v>74</v>
      </c>
      <c r="BH154" s="3" t="s">
        <v>74</v>
      </c>
      <c r="BI154" s="3">
        <v>30</v>
      </c>
      <c r="BJ154" s="3" t="s">
        <v>1452</v>
      </c>
      <c r="BK154" s="3" t="s">
        <v>179</v>
      </c>
      <c r="BL154" s="3" t="s">
        <v>1453</v>
      </c>
      <c r="BM154" s="3" t="s">
        <v>3380</v>
      </c>
      <c r="BN154" s="3">
        <v>37420641</v>
      </c>
      <c r="BO154" s="3" t="s">
        <v>133</v>
      </c>
      <c r="BP154" s="3" t="s">
        <v>74</v>
      </c>
      <c r="BQ154" s="3" t="s">
        <v>74</v>
      </c>
      <c r="BR154" s="3" t="s">
        <v>101</v>
      </c>
      <c r="BS154" s="3" t="s">
        <v>3381</v>
      </c>
      <c r="BT154" s="3" t="str">
        <f>HYPERLINK("https%3A%2F%2Fwww.webofscience.com%2Fwos%2Fwoscc%2Ffull-record%2FWOS:001015743900001","View Full Record in Web of Science")</f>
        <v>View Full Record in Web of Science</v>
      </c>
      <c r="BU154" s="3"/>
      <c r="BV154" s="3"/>
      <c r="BW154" s="1"/>
    </row>
    <row r="155" spans="1:75" x14ac:dyDescent="0.25">
      <c r="A155" s="3" t="s">
        <v>72</v>
      </c>
      <c r="B155" s="3" t="s">
        <v>3382</v>
      </c>
      <c r="C155" s="3" t="s">
        <v>74</v>
      </c>
      <c r="D155" s="3" t="s">
        <v>74</v>
      </c>
      <c r="E155" s="3" t="s">
        <v>74</v>
      </c>
      <c r="F155" s="3" t="s">
        <v>3383</v>
      </c>
      <c r="G155" s="3" t="s">
        <v>74</v>
      </c>
      <c r="H155" s="3" t="s">
        <v>74</v>
      </c>
      <c r="I155" s="3" t="s">
        <v>3384</v>
      </c>
      <c r="J155" s="3" t="s">
        <v>270</v>
      </c>
      <c r="K155" s="3" t="s">
        <v>74</v>
      </c>
      <c r="L155" s="3" t="s">
        <v>74</v>
      </c>
      <c r="M155" s="3" t="s">
        <v>110</v>
      </c>
      <c r="N155" s="3" t="s">
        <v>79</v>
      </c>
      <c r="O155" s="3" t="s">
        <v>74</v>
      </c>
      <c r="P155" s="3" t="s">
        <v>74</v>
      </c>
      <c r="Q155" s="3" t="s">
        <v>74</v>
      </c>
      <c r="R155" s="3" t="s">
        <v>74</v>
      </c>
      <c r="S155" s="3" t="s">
        <v>74</v>
      </c>
      <c r="T155" s="3" t="s">
        <v>3385</v>
      </c>
      <c r="U155" s="3" t="s">
        <v>3386</v>
      </c>
      <c r="V155" s="3" t="s">
        <v>3387</v>
      </c>
      <c r="W155" s="3" t="s">
        <v>3388</v>
      </c>
      <c r="X155" s="3" t="s">
        <v>3389</v>
      </c>
      <c r="Y155" s="3" t="s">
        <v>3390</v>
      </c>
      <c r="Z155" s="3" t="s">
        <v>3391</v>
      </c>
      <c r="AA155" s="3" t="s">
        <v>3392</v>
      </c>
      <c r="AB155" s="3" t="s">
        <v>3393</v>
      </c>
      <c r="AC155" s="3" t="s">
        <v>3394</v>
      </c>
      <c r="AD155" s="3" t="s">
        <v>3395</v>
      </c>
      <c r="AE155" s="3" t="s">
        <v>3396</v>
      </c>
      <c r="AF155" s="3" t="s">
        <v>74</v>
      </c>
      <c r="AG155" s="3">
        <v>72</v>
      </c>
      <c r="AH155" s="3">
        <v>6</v>
      </c>
      <c r="AI155" s="3">
        <v>6</v>
      </c>
      <c r="AJ155" s="3">
        <v>0</v>
      </c>
      <c r="AK155" s="3">
        <v>18</v>
      </c>
      <c r="AL155" s="3" t="s">
        <v>145</v>
      </c>
      <c r="AM155" s="3" t="s">
        <v>146</v>
      </c>
      <c r="AN155" s="3" t="s">
        <v>147</v>
      </c>
      <c r="AO155" s="3" t="s">
        <v>74</v>
      </c>
      <c r="AP155" s="3" t="s">
        <v>280</v>
      </c>
      <c r="AQ155" s="3" t="s">
        <v>74</v>
      </c>
      <c r="AR155" s="3" t="s">
        <v>281</v>
      </c>
      <c r="AS155" s="3" t="s">
        <v>282</v>
      </c>
      <c r="AT155" s="3" t="s">
        <v>151</v>
      </c>
      <c r="AU155" s="3">
        <v>2023</v>
      </c>
      <c r="AV155" s="3">
        <v>6</v>
      </c>
      <c r="AW155" s="3">
        <v>6</v>
      </c>
      <c r="AX155" s="3" t="s">
        <v>74</v>
      </c>
      <c r="AY155" s="3" t="s">
        <v>74</v>
      </c>
      <c r="AZ155" s="3" t="s">
        <v>74</v>
      </c>
      <c r="BA155" s="3" t="s">
        <v>74</v>
      </c>
      <c r="BB155" s="3">
        <v>3112</v>
      </c>
      <c r="BC155" s="3">
        <v>3137</v>
      </c>
      <c r="BD155" s="3" t="s">
        <v>74</v>
      </c>
      <c r="BE155" s="3" t="s">
        <v>3397</v>
      </c>
      <c r="BF155" s="3" t="str">
        <f>HYPERLINK("http://dx.doi.org/10.3390/smartcities6060139","http://dx.doi.org/10.3390/smartcities6060139")</f>
        <v>http://dx.doi.org/10.3390/smartcities6060139</v>
      </c>
      <c r="BG155" s="3" t="s">
        <v>74</v>
      </c>
      <c r="BH155" s="3" t="s">
        <v>74</v>
      </c>
      <c r="BI155" s="3">
        <v>26</v>
      </c>
      <c r="BJ155" s="3" t="s">
        <v>285</v>
      </c>
      <c r="BK155" s="3" t="s">
        <v>97</v>
      </c>
      <c r="BL155" s="3" t="s">
        <v>286</v>
      </c>
      <c r="BM155" s="3" t="s">
        <v>3398</v>
      </c>
      <c r="BN155" s="3" t="s">
        <v>74</v>
      </c>
      <c r="BO155" s="3" t="s">
        <v>133</v>
      </c>
      <c r="BP155" s="3" t="s">
        <v>74</v>
      </c>
      <c r="BQ155" s="3" t="s">
        <v>74</v>
      </c>
      <c r="BR155" s="3" t="s">
        <v>101</v>
      </c>
      <c r="BS155" s="3" t="s">
        <v>3399</v>
      </c>
      <c r="BT155" s="3" t="str">
        <f>HYPERLINK("https%3A%2F%2Fwww.webofscience.com%2Fwos%2Fwoscc%2Ffull-record%2FWOS:001136053100001","View Full Record in Web of Science")</f>
        <v>View Full Record in Web of Science</v>
      </c>
      <c r="BU155" s="3"/>
      <c r="BV155" s="3"/>
      <c r="BW155" s="1"/>
    </row>
    <row r="156" spans="1:75" x14ac:dyDescent="0.25">
      <c r="A156" s="3" t="s">
        <v>103</v>
      </c>
      <c r="B156" s="3" t="s">
        <v>3400</v>
      </c>
      <c r="C156" s="3" t="s">
        <v>74</v>
      </c>
      <c r="D156" s="3" t="s">
        <v>74</v>
      </c>
      <c r="E156" s="3" t="s">
        <v>199</v>
      </c>
      <c r="F156" s="3" t="s">
        <v>3401</v>
      </c>
      <c r="G156" s="3" t="s">
        <v>74</v>
      </c>
      <c r="H156" s="3" t="s">
        <v>74</v>
      </c>
      <c r="I156" s="3" t="s">
        <v>3402</v>
      </c>
      <c r="J156" s="3" t="s">
        <v>3403</v>
      </c>
      <c r="K156" s="3" t="s">
        <v>3404</v>
      </c>
      <c r="L156" s="3" t="s">
        <v>74</v>
      </c>
      <c r="M156" s="3" t="s">
        <v>110</v>
      </c>
      <c r="N156" s="3" t="s">
        <v>111</v>
      </c>
      <c r="O156" s="3" t="s">
        <v>3405</v>
      </c>
      <c r="P156" s="3" t="s">
        <v>3406</v>
      </c>
      <c r="Q156" s="3" t="s">
        <v>3407</v>
      </c>
      <c r="R156" s="3" t="s">
        <v>74</v>
      </c>
      <c r="S156" s="3" t="s">
        <v>74</v>
      </c>
      <c r="T156" s="3" t="s">
        <v>74</v>
      </c>
      <c r="U156" s="3" t="s">
        <v>3408</v>
      </c>
      <c r="V156" s="3" t="s">
        <v>3409</v>
      </c>
      <c r="W156" s="3" t="s">
        <v>3410</v>
      </c>
      <c r="X156" s="3" t="s">
        <v>3411</v>
      </c>
      <c r="Y156" s="3" t="s">
        <v>3412</v>
      </c>
      <c r="Z156" s="3" t="s">
        <v>3413</v>
      </c>
      <c r="AA156" s="3" t="s">
        <v>74</v>
      </c>
      <c r="AB156" s="3" t="s">
        <v>74</v>
      </c>
      <c r="AC156" s="3" t="s">
        <v>3414</v>
      </c>
      <c r="AD156" s="3" t="s">
        <v>3415</v>
      </c>
      <c r="AE156" s="3" t="s">
        <v>3416</v>
      </c>
      <c r="AF156" s="3" t="s">
        <v>74</v>
      </c>
      <c r="AG156" s="3">
        <v>30</v>
      </c>
      <c r="AH156" s="3">
        <v>4</v>
      </c>
      <c r="AI156" s="3">
        <v>4</v>
      </c>
      <c r="AJ156" s="3">
        <v>1</v>
      </c>
      <c r="AK156" s="3">
        <v>3</v>
      </c>
      <c r="AL156" s="3" t="s">
        <v>199</v>
      </c>
      <c r="AM156" s="3" t="s">
        <v>200</v>
      </c>
      <c r="AN156" s="3" t="s">
        <v>201</v>
      </c>
      <c r="AO156" s="3" t="s">
        <v>3417</v>
      </c>
      <c r="AP156" s="3" t="s">
        <v>74</v>
      </c>
      <c r="AQ156" s="3" t="s">
        <v>3418</v>
      </c>
      <c r="AR156" s="3" t="s">
        <v>3419</v>
      </c>
      <c r="AS156" s="3" t="s">
        <v>74</v>
      </c>
      <c r="AT156" s="3" t="s">
        <v>74</v>
      </c>
      <c r="AU156" s="3">
        <v>2023</v>
      </c>
      <c r="AV156" s="3" t="s">
        <v>74</v>
      </c>
      <c r="AW156" s="3" t="s">
        <v>74</v>
      </c>
      <c r="AX156" s="3" t="s">
        <v>74</v>
      </c>
      <c r="AY156" s="3" t="s">
        <v>74</v>
      </c>
      <c r="AZ156" s="3" t="s">
        <v>74</v>
      </c>
      <c r="BA156" s="3" t="s">
        <v>74</v>
      </c>
      <c r="BB156" s="3">
        <v>3589</v>
      </c>
      <c r="BC156" s="3">
        <v>3596</v>
      </c>
      <c r="BD156" s="3" t="s">
        <v>74</v>
      </c>
      <c r="BE156" s="3" t="s">
        <v>3420</v>
      </c>
      <c r="BF156" s="3" t="str">
        <f>HYPERLINK("http://dx.doi.org/10.1109/ITSC57777.2023.10422537","http://dx.doi.org/10.1109/ITSC57777.2023.10422537")</f>
        <v>http://dx.doi.org/10.1109/ITSC57777.2023.10422537</v>
      </c>
      <c r="BG156" s="3" t="s">
        <v>74</v>
      </c>
      <c r="BH156" s="3" t="s">
        <v>74</v>
      </c>
      <c r="BI156" s="3">
        <v>8</v>
      </c>
      <c r="BJ156" s="3" t="s">
        <v>3421</v>
      </c>
      <c r="BK156" s="3" t="s">
        <v>208</v>
      </c>
      <c r="BL156" s="3" t="s">
        <v>3422</v>
      </c>
      <c r="BM156" s="3" t="s">
        <v>3423</v>
      </c>
      <c r="BN156" s="3" t="s">
        <v>74</v>
      </c>
      <c r="BO156" s="3" t="s">
        <v>74</v>
      </c>
      <c r="BP156" s="3" t="s">
        <v>74</v>
      </c>
      <c r="BQ156" s="3" t="s">
        <v>74</v>
      </c>
      <c r="BR156" s="3" t="s">
        <v>101</v>
      </c>
      <c r="BS156" s="3" t="s">
        <v>3424</v>
      </c>
      <c r="BT156" s="3" t="str">
        <f>HYPERLINK("https%3A%2F%2Fwww.webofscience.com%2Fwos%2Fwoscc%2Ffull-record%2FWOS:001178996703094","View Full Record in Web of Science")</f>
        <v>View Full Record in Web of Science</v>
      </c>
      <c r="BU156" s="3"/>
      <c r="BV156" s="3"/>
      <c r="BW156" s="1"/>
    </row>
    <row r="157" spans="1:75" x14ac:dyDescent="0.25">
      <c r="A157" s="3" t="s">
        <v>72</v>
      </c>
      <c r="B157" s="3" t="s">
        <v>3425</v>
      </c>
      <c r="C157" s="3" t="s">
        <v>74</v>
      </c>
      <c r="D157" s="3" t="s">
        <v>74</v>
      </c>
      <c r="E157" s="3" t="s">
        <v>74</v>
      </c>
      <c r="F157" s="3" t="s">
        <v>3426</v>
      </c>
      <c r="G157" s="3" t="s">
        <v>74</v>
      </c>
      <c r="H157" s="3" t="s">
        <v>74</v>
      </c>
      <c r="I157" s="3" t="s">
        <v>3427</v>
      </c>
      <c r="J157" s="3" t="s">
        <v>3428</v>
      </c>
      <c r="K157" s="3" t="s">
        <v>74</v>
      </c>
      <c r="L157" s="3" t="s">
        <v>74</v>
      </c>
      <c r="M157" s="3" t="s">
        <v>110</v>
      </c>
      <c r="N157" s="3" t="s">
        <v>79</v>
      </c>
      <c r="O157" s="3" t="s">
        <v>74</v>
      </c>
      <c r="P157" s="3" t="s">
        <v>74</v>
      </c>
      <c r="Q157" s="3" t="s">
        <v>74</v>
      </c>
      <c r="R157" s="3" t="s">
        <v>74</v>
      </c>
      <c r="S157" s="3" t="s">
        <v>74</v>
      </c>
      <c r="T157" s="3" t="s">
        <v>3429</v>
      </c>
      <c r="U157" s="3" t="s">
        <v>3430</v>
      </c>
      <c r="V157" s="3" t="s">
        <v>3431</v>
      </c>
      <c r="W157" s="3" t="s">
        <v>3432</v>
      </c>
      <c r="X157" s="3" t="s">
        <v>3433</v>
      </c>
      <c r="Y157" s="3" t="s">
        <v>3434</v>
      </c>
      <c r="Z157" s="3" t="s">
        <v>3435</v>
      </c>
      <c r="AA157" s="3" t="s">
        <v>3436</v>
      </c>
      <c r="AB157" s="3" t="s">
        <v>3437</v>
      </c>
      <c r="AC157" s="3" t="s">
        <v>3438</v>
      </c>
      <c r="AD157" s="3" t="s">
        <v>3439</v>
      </c>
      <c r="AE157" s="3" t="s">
        <v>3440</v>
      </c>
      <c r="AF157" s="3" t="s">
        <v>74</v>
      </c>
      <c r="AG157" s="3">
        <v>31</v>
      </c>
      <c r="AH157" s="3">
        <v>4</v>
      </c>
      <c r="AI157" s="3">
        <v>5</v>
      </c>
      <c r="AJ157" s="3">
        <v>1</v>
      </c>
      <c r="AK157" s="3">
        <v>17</v>
      </c>
      <c r="AL157" s="3" t="s">
        <v>145</v>
      </c>
      <c r="AM157" s="3" t="s">
        <v>146</v>
      </c>
      <c r="AN157" s="3" t="s">
        <v>147</v>
      </c>
      <c r="AO157" s="3" t="s">
        <v>3441</v>
      </c>
      <c r="AP157" s="3" t="s">
        <v>74</v>
      </c>
      <c r="AQ157" s="3" t="s">
        <v>74</v>
      </c>
      <c r="AR157" s="3" t="s">
        <v>3442</v>
      </c>
      <c r="AS157" s="3" t="s">
        <v>3443</v>
      </c>
      <c r="AT157" s="3" t="s">
        <v>1164</v>
      </c>
      <c r="AU157" s="3">
        <v>2023</v>
      </c>
      <c r="AV157" s="3">
        <v>12</v>
      </c>
      <c r="AW157" s="3">
        <v>19</v>
      </c>
      <c r="AX157" s="3" t="s">
        <v>74</v>
      </c>
      <c r="AY157" s="3" t="s">
        <v>74</v>
      </c>
      <c r="AZ157" s="3" t="s">
        <v>74</v>
      </c>
      <c r="BA157" s="3" t="s">
        <v>74</v>
      </c>
      <c r="BB157" s="3" t="s">
        <v>74</v>
      </c>
      <c r="BC157" s="3" t="s">
        <v>74</v>
      </c>
      <c r="BD157" s="3">
        <v>4125</v>
      </c>
      <c r="BE157" s="3" t="s">
        <v>3444</v>
      </c>
      <c r="BF157" s="3" t="str">
        <f>HYPERLINK("http://dx.doi.org/10.3390/electronics12194125","http://dx.doi.org/10.3390/electronics12194125")</f>
        <v>http://dx.doi.org/10.3390/electronics12194125</v>
      </c>
      <c r="BG157" s="3" t="s">
        <v>74</v>
      </c>
      <c r="BH157" s="3" t="s">
        <v>74</v>
      </c>
      <c r="BI157" s="3">
        <v>15</v>
      </c>
      <c r="BJ157" s="3" t="s">
        <v>3445</v>
      </c>
      <c r="BK157" s="3" t="s">
        <v>179</v>
      </c>
      <c r="BL157" s="3" t="s">
        <v>3446</v>
      </c>
      <c r="BM157" s="3" t="s">
        <v>3447</v>
      </c>
      <c r="BN157" s="3" t="s">
        <v>74</v>
      </c>
      <c r="BO157" s="3" t="s">
        <v>133</v>
      </c>
      <c r="BP157" s="3" t="s">
        <v>74</v>
      </c>
      <c r="BQ157" s="3" t="s">
        <v>74</v>
      </c>
      <c r="BR157" s="3" t="s">
        <v>101</v>
      </c>
      <c r="BS157" s="3" t="s">
        <v>3448</v>
      </c>
      <c r="BT157" s="3" t="str">
        <f>HYPERLINK("https%3A%2F%2Fwww.webofscience.com%2Fwos%2Fwoscc%2Ffull-record%2FWOS:001083012700001","View Full Record in Web of Science")</f>
        <v>View Full Record in Web of Science</v>
      </c>
      <c r="BU157" s="3"/>
      <c r="BV157" s="3"/>
      <c r="BW157" s="1"/>
    </row>
    <row r="158" spans="1:75" x14ac:dyDescent="0.25">
      <c r="A158" s="3" t="s">
        <v>72</v>
      </c>
      <c r="B158" s="3" t="s">
        <v>3449</v>
      </c>
      <c r="C158" s="3" t="s">
        <v>74</v>
      </c>
      <c r="D158" s="3" t="s">
        <v>74</v>
      </c>
      <c r="E158" s="3" t="s">
        <v>74</v>
      </c>
      <c r="F158" s="3" t="s">
        <v>3450</v>
      </c>
      <c r="G158" s="3" t="s">
        <v>74</v>
      </c>
      <c r="H158" s="3" t="s">
        <v>74</v>
      </c>
      <c r="I158" s="3" t="s">
        <v>3451</v>
      </c>
      <c r="J158" s="3" t="s">
        <v>138</v>
      </c>
      <c r="K158" s="3" t="s">
        <v>74</v>
      </c>
      <c r="L158" s="3" t="s">
        <v>74</v>
      </c>
      <c r="M158" s="3" t="s">
        <v>110</v>
      </c>
      <c r="N158" s="3" t="s">
        <v>79</v>
      </c>
      <c r="O158" s="3" t="s">
        <v>74</v>
      </c>
      <c r="P158" s="3" t="s">
        <v>74</v>
      </c>
      <c r="Q158" s="3" t="s">
        <v>74</v>
      </c>
      <c r="R158" s="3" t="s">
        <v>74</v>
      </c>
      <c r="S158" s="3" t="s">
        <v>74</v>
      </c>
      <c r="T158" s="3" t="s">
        <v>3452</v>
      </c>
      <c r="U158" s="3" t="s">
        <v>3453</v>
      </c>
      <c r="V158" s="3" t="s">
        <v>3454</v>
      </c>
      <c r="W158" s="3" t="s">
        <v>3455</v>
      </c>
      <c r="X158" s="3" t="s">
        <v>3456</v>
      </c>
      <c r="Y158" s="3" t="s">
        <v>3457</v>
      </c>
      <c r="Z158" s="3" t="s">
        <v>3458</v>
      </c>
      <c r="AA158" s="3" t="s">
        <v>3459</v>
      </c>
      <c r="AB158" s="3" t="s">
        <v>3460</v>
      </c>
      <c r="AC158" s="3" t="s">
        <v>74</v>
      </c>
      <c r="AD158" s="3" t="s">
        <v>74</v>
      </c>
      <c r="AE158" s="3" t="s">
        <v>74</v>
      </c>
      <c r="AF158" s="3" t="s">
        <v>74</v>
      </c>
      <c r="AG158" s="3">
        <v>64</v>
      </c>
      <c r="AH158" s="3">
        <v>4</v>
      </c>
      <c r="AI158" s="3">
        <v>6</v>
      </c>
      <c r="AJ158" s="3">
        <v>2</v>
      </c>
      <c r="AK158" s="3">
        <v>33</v>
      </c>
      <c r="AL158" s="3" t="s">
        <v>145</v>
      </c>
      <c r="AM158" s="3" t="s">
        <v>146</v>
      </c>
      <c r="AN158" s="3" t="s">
        <v>279</v>
      </c>
      <c r="AO158" s="3" t="s">
        <v>74</v>
      </c>
      <c r="AP158" s="3" t="s">
        <v>148</v>
      </c>
      <c r="AQ158" s="3" t="s">
        <v>74</v>
      </c>
      <c r="AR158" s="3" t="s">
        <v>149</v>
      </c>
      <c r="AS158" s="3" t="s">
        <v>150</v>
      </c>
      <c r="AT158" s="3" t="s">
        <v>3461</v>
      </c>
      <c r="AU158" s="3">
        <v>2023</v>
      </c>
      <c r="AV158" s="3">
        <v>15</v>
      </c>
      <c r="AW158" s="3">
        <v>10</v>
      </c>
      <c r="AX158" s="3" t="s">
        <v>74</v>
      </c>
      <c r="AY158" s="3" t="s">
        <v>74</v>
      </c>
      <c r="AZ158" s="3" t="s">
        <v>74</v>
      </c>
      <c r="BA158" s="3" t="s">
        <v>74</v>
      </c>
      <c r="BB158" s="3" t="s">
        <v>74</v>
      </c>
      <c r="BC158" s="3" t="s">
        <v>74</v>
      </c>
      <c r="BD158" s="3">
        <v>7777</v>
      </c>
      <c r="BE158" s="3" t="s">
        <v>3462</v>
      </c>
      <c r="BF158" s="3" t="str">
        <f>HYPERLINK("http://dx.doi.org/10.3390/su15107777","http://dx.doi.org/10.3390/su15107777")</f>
        <v>http://dx.doi.org/10.3390/su15107777</v>
      </c>
      <c r="BG158" s="3" t="s">
        <v>74</v>
      </c>
      <c r="BH158" s="3" t="s">
        <v>74</v>
      </c>
      <c r="BI158" s="3">
        <v>15</v>
      </c>
      <c r="BJ158" s="3" t="s">
        <v>153</v>
      </c>
      <c r="BK158" s="3" t="s">
        <v>154</v>
      </c>
      <c r="BL158" s="3" t="s">
        <v>155</v>
      </c>
      <c r="BM158" s="3" t="s">
        <v>3463</v>
      </c>
      <c r="BN158" s="3" t="s">
        <v>74</v>
      </c>
      <c r="BO158" s="3" t="s">
        <v>133</v>
      </c>
      <c r="BP158" s="3" t="s">
        <v>74</v>
      </c>
      <c r="BQ158" s="3" t="s">
        <v>74</v>
      </c>
      <c r="BR158" s="3" t="s">
        <v>101</v>
      </c>
      <c r="BS158" s="3" t="s">
        <v>3464</v>
      </c>
      <c r="BT158" s="3" t="str">
        <f>HYPERLINK("https%3A%2F%2Fwww.webofscience.com%2Fwos%2Fwoscc%2Ffull-record%2FWOS:000998166900001","View Full Record in Web of Science")</f>
        <v>View Full Record in Web of Science</v>
      </c>
      <c r="BU158" s="3"/>
      <c r="BV158" s="3"/>
      <c r="BW158" s="1"/>
    </row>
    <row r="159" spans="1:75" x14ac:dyDescent="0.25">
      <c r="A159" s="3" t="s">
        <v>72</v>
      </c>
      <c r="B159" s="3" t="s">
        <v>3465</v>
      </c>
      <c r="C159" s="3" t="s">
        <v>74</v>
      </c>
      <c r="D159" s="3" t="s">
        <v>74</v>
      </c>
      <c r="E159" s="3" t="s">
        <v>74</v>
      </c>
      <c r="F159" s="3" t="s">
        <v>3466</v>
      </c>
      <c r="G159" s="3" t="s">
        <v>74</v>
      </c>
      <c r="H159" s="3" t="s">
        <v>74</v>
      </c>
      <c r="I159" s="3" t="s">
        <v>3467</v>
      </c>
      <c r="J159" s="3" t="s">
        <v>3468</v>
      </c>
      <c r="K159" s="3" t="s">
        <v>74</v>
      </c>
      <c r="L159" s="3" t="s">
        <v>74</v>
      </c>
      <c r="M159" s="3" t="s">
        <v>110</v>
      </c>
      <c r="N159" s="3" t="s">
        <v>79</v>
      </c>
      <c r="O159" s="3" t="s">
        <v>74</v>
      </c>
      <c r="P159" s="3" t="s">
        <v>74</v>
      </c>
      <c r="Q159" s="3" t="s">
        <v>74</v>
      </c>
      <c r="R159" s="3" t="s">
        <v>74</v>
      </c>
      <c r="S159" s="3" t="s">
        <v>74</v>
      </c>
      <c r="T159" s="3" t="s">
        <v>3469</v>
      </c>
      <c r="U159" s="3" t="s">
        <v>74</v>
      </c>
      <c r="V159" s="3" t="s">
        <v>3470</v>
      </c>
      <c r="W159" s="3" t="s">
        <v>3471</v>
      </c>
      <c r="X159" s="3" t="s">
        <v>3472</v>
      </c>
      <c r="Y159" s="3" t="s">
        <v>3473</v>
      </c>
      <c r="Z159" s="3" t="s">
        <v>3474</v>
      </c>
      <c r="AA159" s="3" t="s">
        <v>3475</v>
      </c>
      <c r="AB159" s="3" t="s">
        <v>74</v>
      </c>
      <c r="AC159" s="3" t="s">
        <v>3476</v>
      </c>
      <c r="AD159" s="3" t="s">
        <v>3477</v>
      </c>
      <c r="AE159" s="3" t="s">
        <v>3478</v>
      </c>
      <c r="AF159" s="3" t="s">
        <v>74</v>
      </c>
      <c r="AG159" s="3">
        <v>34</v>
      </c>
      <c r="AH159" s="3">
        <v>3</v>
      </c>
      <c r="AI159" s="3">
        <v>3</v>
      </c>
      <c r="AJ159" s="3">
        <v>9</v>
      </c>
      <c r="AK159" s="3">
        <v>41</v>
      </c>
      <c r="AL159" s="3" t="s">
        <v>145</v>
      </c>
      <c r="AM159" s="3" t="s">
        <v>146</v>
      </c>
      <c r="AN159" s="3" t="s">
        <v>147</v>
      </c>
      <c r="AO159" s="3" t="s">
        <v>74</v>
      </c>
      <c r="AP159" s="3" t="s">
        <v>3479</v>
      </c>
      <c r="AQ159" s="3" t="s">
        <v>74</v>
      </c>
      <c r="AR159" s="3" t="s">
        <v>3480</v>
      </c>
      <c r="AS159" s="3" t="s">
        <v>3480</v>
      </c>
      <c r="AT159" s="3" t="s">
        <v>333</v>
      </c>
      <c r="AU159" s="3">
        <v>2023</v>
      </c>
      <c r="AV159" s="3">
        <v>13</v>
      </c>
      <c r="AW159" s="3">
        <v>9</v>
      </c>
      <c r="AX159" s="3" t="s">
        <v>74</v>
      </c>
      <c r="AY159" s="3" t="s">
        <v>74</v>
      </c>
      <c r="AZ159" s="3" t="s">
        <v>74</v>
      </c>
      <c r="BA159" s="3" t="s">
        <v>74</v>
      </c>
      <c r="BB159" s="3" t="s">
        <v>74</v>
      </c>
      <c r="BC159" s="3" t="s">
        <v>74</v>
      </c>
      <c r="BD159" s="3">
        <v>2266</v>
      </c>
      <c r="BE159" s="3" t="s">
        <v>3481</v>
      </c>
      <c r="BF159" s="3" t="str">
        <f>HYPERLINK("http://dx.doi.org/10.3390/buildings13092266","http://dx.doi.org/10.3390/buildings13092266")</f>
        <v>http://dx.doi.org/10.3390/buildings13092266</v>
      </c>
      <c r="BG159" s="3" t="s">
        <v>74</v>
      </c>
      <c r="BH159" s="3" t="s">
        <v>74</v>
      </c>
      <c r="BI159" s="3">
        <v>16</v>
      </c>
      <c r="BJ159" s="3" t="s">
        <v>1777</v>
      </c>
      <c r="BK159" s="3" t="s">
        <v>179</v>
      </c>
      <c r="BL159" s="3" t="s">
        <v>994</v>
      </c>
      <c r="BM159" s="3" t="s">
        <v>3482</v>
      </c>
      <c r="BN159" s="3" t="s">
        <v>74</v>
      </c>
      <c r="BO159" s="3" t="s">
        <v>133</v>
      </c>
      <c r="BP159" s="3" t="s">
        <v>74</v>
      </c>
      <c r="BQ159" s="3" t="s">
        <v>74</v>
      </c>
      <c r="BR159" s="3" t="s">
        <v>101</v>
      </c>
      <c r="BS159" s="3" t="s">
        <v>3483</v>
      </c>
      <c r="BT159" s="3" t="str">
        <f>HYPERLINK("https%3A%2F%2Fwww.webofscience.com%2Fwos%2Fwoscc%2Ffull-record%2FWOS:001073402400001","View Full Record in Web of Science")</f>
        <v>View Full Record in Web of Science</v>
      </c>
      <c r="BU159" s="3"/>
      <c r="BV159" s="3"/>
      <c r="BW159" s="1"/>
    </row>
    <row r="160" spans="1:75" x14ac:dyDescent="0.25">
      <c r="A160" s="3" t="s">
        <v>103</v>
      </c>
      <c r="B160" s="3" t="s">
        <v>3484</v>
      </c>
      <c r="C160" s="3" t="s">
        <v>74</v>
      </c>
      <c r="D160" s="3" t="s">
        <v>3485</v>
      </c>
      <c r="E160" s="3" t="s">
        <v>74</v>
      </c>
      <c r="F160" s="3" t="s">
        <v>3486</v>
      </c>
      <c r="G160" s="3" t="s">
        <v>74</v>
      </c>
      <c r="H160" s="3" t="s">
        <v>74</v>
      </c>
      <c r="I160" s="3" t="s">
        <v>3487</v>
      </c>
      <c r="J160" s="3" t="s">
        <v>3488</v>
      </c>
      <c r="K160" s="3" t="s">
        <v>74</v>
      </c>
      <c r="L160" s="3" t="s">
        <v>74</v>
      </c>
      <c r="M160" s="3" t="s">
        <v>110</v>
      </c>
      <c r="N160" s="3" t="s">
        <v>111</v>
      </c>
      <c r="O160" s="3" t="s">
        <v>3489</v>
      </c>
      <c r="P160" s="3" t="s">
        <v>3490</v>
      </c>
      <c r="Q160" s="3" t="s">
        <v>642</v>
      </c>
      <c r="R160" s="3" t="s">
        <v>74</v>
      </c>
      <c r="S160" s="3" t="s">
        <v>74</v>
      </c>
      <c r="T160" s="3" t="s">
        <v>3491</v>
      </c>
      <c r="U160" s="3" t="s">
        <v>74</v>
      </c>
      <c r="V160" s="3" t="s">
        <v>3492</v>
      </c>
      <c r="W160" s="3" t="s">
        <v>3493</v>
      </c>
      <c r="X160" s="3" t="s">
        <v>3494</v>
      </c>
      <c r="Y160" s="3" t="s">
        <v>3495</v>
      </c>
      <c r="Z160" s="3" t="s">
        <v>3496</v>
      </c>
      <c r="AA160" s="3" t="s">
        <v>74</v>
      </c>
      <c r="AB160" s="3" t="s">
        <v>3497</v>
      </c>
      <c r="AC160" s="3" t="s">
        <v>74</v>
      </c>
      <c r="AD160" s="3" t="s">
        <v>74</v>
      </c>
      <c r="AE160" s="3" t="s">
        <v>74</v>
      </c>
      <c r="AF160" s="3" t="s">
        <v>74</v>
      </c>
      <c r="AG160" s="3">
        <v>29</v>
      </c>
      <c r="AH160" s="3">
        <v>2</v>
      </c>
      <c r="AI160" s="3">
        <v>3</v>
      </c>
      <c r="AJ160" s="3">
        <v>0</v>
      </c>
      <c r="AK160" s="3">
        <v>1</v>
      </c>
      <c r="AL160" s="3" t="s">
        <v>199</v>
      </c>
      <c r="AM160" s="3" t="s">
        <v>200</v>
      </c>
      <c r="AN160" s="3" t="s">
        <v>201</v>
      </c>
      <c r="AO160" s="3" t="s">
        <v>74</v>
      </c>
      <c r="AP160" s="3" t="s">
        <v>74</v>
      </c>
      <c r="AQ160" s="3" t="s">
        <v>3498</v>
      </c>
      <c r="AR160" s="3" t="s">
        <v>74</v>
      </c>
      <c r="AS160" s="3" t="s">
        <v>74</v>
      </c>
      <c r="AT160" s="3" t="s">
        <v>74</v>
      </c>
      <c r="AU160" s="3">
        <v>2023</v>
      </c>
      <c r="AV160" s="3" t="s">
        <v>74</v>
      </c>
      <c r="AW160" s="3" t="s">
        <v>74</v>
      </c>
      <c r="AX160" s="3" t="s">
        <v>74</v>
      </c>
      <c r="AY160" s="3" t="s">
        <v>74</v>
      </c>
      <c r="AZ160" s="3" t="s">
        <v>74</v>
      </c>
      <c r="BA160" s="3" t="s">
        <v>74</v>
      </c>
      <c r="BB160" s="3">
        <v>319</v>
      </c>
      <c r="BC160" s="3">
        <v>325</v>
      </c>
      <c r="BD160" s="3" t="s">
        <v>74</v>
      </c>
      <c r="BE160" s="3" t="s">
        <v>3499</v>
      </c>
      <c r="BF160" s="3" t="str">
        <f>HYPERLINK("http://dx.doi.org/10.1109/CCWC57344.2023.10099153","http://dx.doi.org/10.1109/CCWC57344.2023.10099153")</f>
        <v>http://dx.doi.org/10.1109/CCWC57344.2023.10099153</v>
      </c>
      <c r="BG160" s="3" t="s">
        <v>74</v>
      </c>
      <c r="BH160" s="3" t="s">
        <v>74</v>
      </c>
      <c r="BI160" s="3">
        <v>7</v>
      </c>
      <c r="BJ160" s="3" t="s">
        <v>3500</v>
      </c>
      <c r="BK160" s="3" t="s">
        <v>208</v>
      </c>
      <c r="BL160" s="3" t="s">
        <v>1826</v>
      </c>
      <c r="BM160" s="3" t="s">
        <v>3501</v>
      </c>
      <c r="BN160" s="3" t="s">
        <v>74</v>
      </c>
      <c r="BO160" s="3" t="s">
        <v>74</v>
      </c>
      <c r="BP160" s="3" t="s">
        <v>74</v>
      </c>
      <c r="BQ160" s="3" t="s">
        <v>74</v>
      </c>
      <c r="BR160" s="3" t="s">
        <v>101</v>
      </c>
      <c r="BS160" s="3" t="s">
        <v>3502</v>
      </c>
      <c r="BT160" s="3" t="str">
        <f>HYPERLINK("https%3A%2F%2Fwww.webofscience.com%2Fwos%2Fwoscc%2Ffull-record%2FWOS:000995182600051","View Full Record in Web of Science")</f>
        <v>View Full Record in Web of Science</v>
      </c>
      <c r="BU160" s="3"/>
      <c r="BV160" s="3"/>
      <c r="BW160" s="1"/>
    </row>
    <row r="161" spans="1:75" x14ac:dyDescent="0.25">
      <c r="A161" s="3" t="s">
        <v>103</v>
      </c>
      <c r="B161" s="3" t="s">
        <v>3503</v>
      </c>
      <c r="C161" s="3" t="s">
        <v>74</v>
      </c>
      <c r="D161" s="3" t="s">
        <v>3504</v>
      </c>
      <c r="E161" s="3" t="s">
        <v>74</v>
      </c>
      <c r="F161" s="3" t="s">
        <v>3505</v>
      </c>
      <c r="G161" s="3" t="s">
        <v>74</v>
      </c>
      <c r="H161" s="3" t="s">
        <v>74</v>
      </c>
      <c r="I161" s="3" t="s">
        <v>3506</v>
      </c>
      <c r="J161" s="3" t="s">
        <v>3507</v>
      </c>
      <c r="K161" s="3" t="s">
        <v>3508</v>
      </c>
      <c r="L161" s="3" t="s">
        <v>74</v>
      </c>
      <c r="M161" s="3" t="s">
        <v>110</v>
      </c>
      <c r="N161" s="3" t="s">
        <v>111</v>
      </c>
      <c r="O161" s="3" t="s">
        <v>3509</v>
      </c>
      <c r="P161" s="3" t="s">
        <v>3510</v>
      </c>
      <c r="Q161" s="3" t="s">
        <v>3511</v>
      </c>
      <c r="R161" s="3" t="s">
        <v>74</v>
      </c>
      <c r="S161" s="3" t="s">
        <v>74</v>
      </c>
      <c r="T161" s="3" t="s">
        <v>3512</v>
      </c>
      <c r="U161" s="3" t="s">
        <v>3513</v>
      </c>
      <c r="V161" s="3" t="s">
        <v>3514</v>
      </c>
      <c r="W161" s="3" t="s">
        <v>3515</v>
      </c>
      <c r="X161" s="3" t="s">
        <v>3516</v>
      </c>
      <c r="Y161" s="3" t="s">
        <v>3517</v>
      </c>
      <c r="Z161" s="3" t="s">
        <v>3518</v>
      </c>
      <c r="AA161" s="3" t="s">
        <v>3519</v>
      </c>
      <c r="AB161" s="3" t="s">
        <v>3520</v>
      </c>
      <c r="AC161" s="3" t="s">
        <v>74</v>
      </c>
      <c r="AD161" s="3" t="s">
        <v>74</v>
      </c>
      <c r="AE161" s="3" t="s">
        <v>74</v>
      </c>
      <c r="AF161" s="3" t="s">
        <v>74</v>
      </c>
      <c r="AG161" s="3">
        <v>29</v>
      </c>
      <c r="AH161" s="3">
        <v>1</v>
      </c>
      <c r="AI161" s="3">
        <v>2</v>
      </c>
      <c r="AJ161" s="3">
        <v>1</v>
      </c>
      <c r="AK161" s="3">
        <v>20</v>
      </c>
      <c r="AL161" s="3" t="s">
        <v>374</v>
      </c>
      <c r="AM161" s="3" t="s">
        <v>375</v>
      </c>
      <c r="AN161" s="3" t="s">
        <v>376</v>
      </c>
      <c r="AO161" s="3" t="s">
        <v>3521</v>
      </c>
      <c r="AP161" s="3" t="s">
        <v>3522</v>
      </c>
      <c r="AQ161" s="3" t="s">
        <v>3523</v>
      </c>
      <c r="AR161" s="3" t="s">
        <v>3524</v>
      </c>
      <c r="AS161" s="3" t="s">
        <v>74</v>
      </c>
      <c r="AT161" s="3" t="s">
        <v>74</v>
      </c>
      <c r="AU161" s="3">
        <v>2023</v>
      </c>
      <c r="AV161" s="3">
        <v>536</v>
      </c>
      <c r="AW161" s="3" t="s">
        <v>74</v>
      </c>
      <c r="AX161" s="3" t="s">
        <v>74</v>
      </c>
      <c r="AY161" s="3" t="s">
        <v>74</v>
      </c>
      <c r="AZ161" s="3" t="s">
        <v>74</v>
      </c>
      <c r="BA161" s="3" t="s">
        <v>74</v>
      </c>
      <c r="BB161" s="3">
        <v>820</v>
      </c>
      <c r="BC161" s="3">
        <v>830</v>
      </c>
      <c r="BD161" s="3" t="s">
        <v>74</v>
      </c>
      <c r="BE161" s="3" t="s">
        <v>3525</v>
      </c>
      <c r="BF161" s="3" t="str">
        <f>HYPERLINK("http://dx.doi.org/10.1007/978-3-031-20141-7_73","http://dx.doi.org/10.1007/978-3-031-20141-7_73")</f>
        <v>http://dx.doi.org/10.1007/978-3-031-20141-7_73</v>
      </c>
      <c r="BG161" s="3" t="s">
        <v>74</v>
      </c>
      <c r="BH161" s="3" t="s">
        <v>74</v>
      </c>
      <c r="BI161" s="3">
        <v>11</v>
      </c>
      <c r="BJ161" s="3" t="s">
        <v>3526</v>
      </c>
      <c r="BK161" s="3" t="s">
        <v>208</v>
      </c>
      <c r="BL161" s="3" t="s">
        <v>3527</v>
      </c>
      <c r="BM161" s="3" t="s">
        <v>3528</v>
      </c>
      <c r="BN161" s="3" t="s">
        <v>74</v>
      </c>
      <c r="BO161" s="3" t="s">
        <v>74</v>
      </c>
      <c r="BP161" s="3" t="s">
        <v>74</v>
      </c>
      <c r="BQ161" s="3" t="s">
        <v>74</v>
      </c>
      <c r="BR161" s="3" t="s">
        <v>101</v>
      </c>
      <c r="BS161" s="3" t="s">
        <v>3529</v>
      </c>
      <c r="BT161" s="3" t="str">
        <f>HYPERLINK("https%3A%2F%2Fwww.webofscience.com%2Fwos%2Fwoscc%2Ffull-record%2FWOS:000921206500067","View Full Record in Web of Science")</f>
        <v>View Full Record in Web of Science</v>
      </c>
      <c r="BU161" s="3"/>
      <c r="BV161" s="3"/>
      <c r="BW161" s="1"/>
    </row>
    <row r="162" spans="1:75" x14ac:dyDescent="0.25">
      <c r="A162" s="3" t="s">
        <v>103</v>
      </c>
      <c r="B162" s="3" t="s">
        <v>3530</v>
      </c>
      <c r="C162" s="3" t="s">
        <v>74</v>
      </c>
      <c r="D162" s="3" t="s">
        <v>3531</v>
      </c>
      <c r="E162" s="3" t="s">
        <v>74</v>
      </c>
      <c r="F162" s="3" t="s">
        <v>3532</v>
      </c>
      <c r="G162" s="3" t="s">
        <v>74</v>
      </c>
      <c r="H162" s="3" t="s">
        <v>74</v>
      </c>
      <c r="I162" s="3" t="s">
        <v>3533</v>
      </c>
      <c r="J162" s="3" t="s">
        <v>3534</v>
      </c>
      <c r="K162" s="3" t="s">
        <v>3535</v>
      </c>
      <c r="L162" s="3" t="s">
        <v>74</v>
      </c>
      <c r="M162" s="3" t="s">
        <v>110</v>
      </c>
      <c r="N162" s="3" t="s">
        <v>111</v>
      </c>
      <c r="O162" s="3" t="s">
        <v>3536</v>
      </c>
      <c r="P162" s="3" t="s">
        <v>3537</v>
      </c>
      <c r="Q162" s="3" t="s">
        <v>3538</v>
      </c>
      <c r="R162" s="3" t="s">
        <v>74</v>
      </c>
      <c r="S162" s="3" t="s">
        <v>74</v>
      </c>
      <c r="T162" s="3" t="s">
        <v>3539</v>
      </c>
      <c r="U162" s="3" t="s">
        <v>3540</v>
      </c>
      <c r="V162" s="3" t="s">
        <v>3541</v>
      </c>
      <c r="W162" s="3" t="s">
        <v>3542</v>
      </c>
      <c r="X162" s="3" t="s">
        <v>3543</v>
      </c>
      <c r="Y162" s="3" t="s">
        <v>3544</v>
      </c>
      <c r="Z162" s="3" t="s">
        <v>3545</v>
      </c>
      <c r="AA162" s="3" t="s">
        <v>3546</v>
      </c>
      <c r="AB162" s="3" t="s">
        <v>3547</v>
      </c>
      <c r="AC162" s="3" t="s">
        <v>74</v>
      </c>
      <c r="AD162" s="3" t="s">
        <v>74</v>
      </c>
      <c r="AE162" s="3" t="s">
        <v>74</v>
      </c>
      <c r="AF162" s="3" t="s">
        <v>74</v>
      </c>
      <c r="AG162" s="3">
        <v>99</v>
      </c>
      <c r="AH162" s="3">
        <v>1</v>
      </c>
      <c r="AI162" s="3">
        <v>1</v>
      </c>
      <c r="AJ162" s="3">
        <v>0</v>
      </c>
      <c r="AK162" s="3">
        <v>6</v>
      </c>
      <c r="AL162" s="3" t="s">
        <v>374</v>
      </c>
      <c r="AM162" s="3" t="s">
        <v>375</v>
      </c>
      <c r="AN162" s="3" t="s">
        <v>376</v>
      </c>
      <c r="AO162" s="3" t="s">
        <v>3548</v>
      </c>
      <c r="AP162" s="3" t="s">
        <v>3549</v>
      </c>
      <c r="AQ162" s="3" t="s">
        <v>3550</v>
      </c>
      <c r="AR162" s="3" t="s">
        <v>3551</v>
      </c>
      <c r="AS162" s="3" t="s">
        <v>74</v>
      </c>
      <c r="AT162" s="3" t="s">
        <v>74</v>
      </c>
      <c r="AU162" s="3">
        <v>2023</v>
      </c>
      <c r="AV162" s="3">
        <v>304</v>
      </c>
      <c r="AW162" s="3" t="s">
        <v>74</v>
      </c>
      <c r="AX162" s="3" t="s">
        <v>74</v>
      </c>
      <c r="AY162" s="3" t="s">
        <v>74</v>
      </c>
      <c r="AZ162" s="3" t="s">
        <v>74</v>
      </c>
      <c r="BA162" s="3" t="s">
        <v>74</v>
      </c>
      <c r="BB162" s="3">
        <v>99</v>
      </c>
      <c r="BC162" s="3">
        <v>120</v>
      </c>
      <c r="BD162" s="3" t="s">
        <v>74</v>
      </c>
      <c r="BE162" s="3" t="s">
        <v>3552</v>
      </c>
      <c r="BF162" s="3" t="str">
        <f>HYPERLINK("http://dx.doi.org/10.1007/978-3-031-19309-5_8","http://dx.doi.org/10.1007/978-3-031-19309-5_8")</f>
        <v>http://dx.doi.org/10.1007/978-3-031-19309-5_8</v>
      </c>
      <c r="BG162" s="3" t="s">
        <v>74</v>
      </c>
      <c r="BH162" s="3" t="s">
        <v>74</v>
      </c>
      <c r="BI162" s="3">
        <v>22</v>
      </c>
      <c r="BJ162" s="3" t="s">
        <v>3553</v>
      </c>
      <c r="BK162" s="3" t="s">
        <v>208</v>
      </c>
      <c r="BL162" s="3" t="s">
        <v>3554</v>
      </c>
      <c r="BM162" s="3" t="s">
        <v>3555</v>
      </c>
      <c r="BN162" s="3" t="s">
        <v>74</v>
      </c>
      <c r="BO162" s="3" t="s">
        <v>74</v>
      </c>
      <c r="BP162" s="3" t="s">
        <v>74</v>
      </c>
      <c r="BQ162" s="3" t="s">
        <v>74</v>
      </c>
      <c r="BR162" s="3" t="s">
        <v>101</v>
      </c>
      <c r="BS162" s="3" t="s">
        <v>3556</v>
      </c>
      <c r="BT162" s="3" t="str">
        <f>HYPERLINK("https%3A%2F%2Fwww.webofscience.com%2Fwos%2Fwoscc%2Ffull-record%2FWOS:001003469100008","View Full Record in Web of Science")</f>
        <v>View Full Record in Web of Science</v>
      </c>
      <c r="BU162" s="3"/>
      <c r="BV162" s="3"/>
      <c r="BW162" s="1"/>
    </row>
    <row r="163" spans="1:75" x14ac:dyDescent="0.25">
      <c r="A163" s="3" t="s">
        <v>72</v>
      </c>
      <c r="B163" s="3" t="s">
        <v>3557</v>
      </c>
      <c r="C163" s="3" t="s">
        <v>74</v>
      </c>
      <c r="D163" s="3" t="s">
        <v>74</v>
      </c>
      <c r="E163" s="3" t="s">
        <v>74</v>
      </c>
      <c r="F163" s="3" t="s">
        <v>3558</v>
      </c>
      <c r="G163" s="3" t="s">
        <v>74</v>
      </c>
      <c r="H163" s="3" t="s">
        <v>74</v>
      </c>
      <c r="I163" s="3" t="s">
        <v>3559</v>
      </c>
      <c r="J163" s="3" t="s">
        <v>3560</v>
      </c>
      <c r="K163" s="3" t="s">
        <v>74</v>
      </c>
      <c r="L163" s="3" t="s">
        <v>74</v>
      </c>
      <c r="M163" s="3" t="s">
        <v>110</v>
      </c>
      <c r="N163" s="3" t="s">
        <v>79</v>
      </c>
      <c r="O163" s="3" t="s">
        <v>74</v>
      </c>
      <c r="P163" s="3" t="s">
        <v>74</v>
      </c>
      <c r="Q163" s="3" t="s">
        <v>74</v>
      </c>
      <c r="R163" s="3" t="s">
        <v>74</v>
      </c>
      <c r="S163" s="3" t="s">
        <v>74</v>
      </c>
      <c r="T163" s="3" t="s">
        <v>3561</v>
      </c>
      <c r="U163" s="3" t="s">
        <v>1090</v>
      </c>
      <c r="V163" s="3" t="s">
        <v>3562</v>
      </c>
      <c r="W163" s="3" t="s">
        <v>3563</v>
      </c>
      <c r="X163" s="3" t="s">
        <v>1046</v>
      </c>
      <c r="Y163" s="3" t="s">
        <v>3564</v>
      </c>
      <c r="Z163" s="3" t="s">
        <v>3565</v>
      </c>
      <c r="AA163" s="3" t="s">
        <v>3566</v>
      </c>
      <c r="AB163" s="3" t="s">
        <v>74</v>
      </c>
      <c r="AC163" s="3" t="s">
        <v>3567</v>
      </c>
      <c r="AD163" s="3" t="s">
        <v>3568</v>
      </c>
      <c r="AE163" s="3" t="s">
        <v>3569</v>
      </c>
      <c r="AF163" s="3" t="s">
        <v>74</v>
      </c>
      <c r="AG163" s="3">
        <v>70</v>
      </c>
      <c r="AH163" s="3">
        <v>1</v>
      </c>
      <c r="AI163" s="3">
        <v>1</v>
      </c>
      <c r="AJ163" s="3">
        <v>1</v>
      </c>
      <c r="AK163" s="3">
        <v>14</v>
      </c>
      <c r="AL163" s="3" t="s">
        <v>145</v>
      </c>
      <c r="AM163" s="3" t="s">
        <v>146</v>
      </c>
      <c r="AN163" s="3" t="s">
        <v>279</v>
      </c>
      <c r="AO163" s="3" t="s">
        <v>74</v>
      </c>
      <c r="AP163" s="3" t="s">
        <v>3570</v>
      </c>
      <c r="AQ163" s="3" t="s">
        <v>74</v>
      </c>
      <c r="AR163" s="3" t="s">
        <v>3571</v>
      </c>
      <c r="AS163" s="3" t="s">
        <v>3572</v>
      </c>
      <c r="AT163" s="3" t="s">
        <v>260</v>
      </c>
      <c r="AU163" s="3">
        <v>2023</v>
      </c>
      <c r="AV163" s="3">
        <v>12</v>
      </c>
      <c r="AW163" s="3">
        <v>1</v>
      </c>
      <c r="AX163" s="3" t="s">
        <v>74</v>
      </c>
      <c r="AY163" s="3" t="s">
        <v>74</v>
      </c>
      <c r="AZ163" s="3" t="s">
        <v>74</v>
      </c>
      <c r="BA163" s="3" t="s">
        <v>74</v>
      </c>
      <c r="BB163" s="3" t="s">
        <v>74</v>
      </c>
      <c r="BC163" s="3" t="s">
        <v>74</v>
      </c>
      <c r="BD163" s="3">
        <v>8</v>
      </c>
      <c r="BE163" s="3" t="s">
        <v>3573</v>
      </c>
      <c r="BF163" s="3" t="str">
        <f>HYPERLINK("http://dx.doi.org/10.3390/land12010008","http://dx.doi.org/10.3390/land12010008")</f>
        <v>http://dx.doi.org/10.3390/land12010008</v>
      </c>
      <c r="BG163" s="3" t="s">
        <v>74</v>
      </c>
      <c r="BH163" s="3" t="s">
        <v>74</v>
      </c>
      <c r="BI163" s="3">
        <v>21</v>
      </c>
      <c r="BJ163" s="3" t="s">
        <v>3574</v>
      </c>
      <c r="BK163" s="3" t="s">
        <v>264</v>
      </c>
      <c r="BL163" s="3" t="s">
        <v>705</v>
      </c>
      <c r="BM163" s="3" t="s">
        <v>3575</v>
      </c>
      <c r="BN163" s="3" t="s">
        <v>74</v>
      </c>
      <c r="BO163" s="3" t="s">
        <v>100</v>
      </c>
      <c r="BP163" s="3" t="s">
        <v>74</v>
      </c>
      <c r="BQ163" s="3" t="s">
        <v>74</v>
      </c>
      <c r="BR163" s="3" t="s">
        <v>101</v>
      </c>
      <c r="BS163" s="3" t="s">
        <v>3576</v>
      </c>
      <c r="BT163" s="3" t="str">
        <f>HYPERLINK("https%3A%2F%2Fwww.webofscience.com%2Fwos%2Fwoscc%2Ffull-record%2FWOS:000917616600001","View Full Record in Web of Science")</f>
        <v>View Full Record in Web of Science</v>
      </c>
      <c r="BU163" s="3"/>
      <c r="BV163" s="3"/>
      <c r="BW163" s="1"/>
    </row>
    <row r="164" spans="1:75" x14ac:dyDescent="0.25">
      <c r="A164" s="3" t="s">
        <v>103</v>
      </c>
      <c r="B164" s="3" t="s">
        <v>3577</v>
      </c>
      <c r="C164" s="3" t="s">
        <v>74</v>
      </c>
      <c r="D164" s="3" t="s">
        <v>3578</v>
      </c>
      <c r="E164" s="3" t="s">
        <v>74</v>
      </c>
      <c r="F164" s="3" t="s">
        <v>3579</v>
      </c>
      <c r="G164" s="3" t="s">
        <v>74</v>
      </c>
      <c r="H164" s="3" t="s">
        <v>74</v>
      </c>
      <c r="I164" s="3" t="s">
        <v>3580</v>
      </c>
      <c r="J164" s="3" t="s">
        <v>3581</v>
      </c>
      <c r="K164" s="3" t="s">
        <v>3535</v>
      </c>
      <c r="L164" s="3" t="s">
        <v>74</v>
      </c>
      <c r="M164" s="3" t="s">
        <v>110</v>
      </c>
      <c r="N164" s="3" t="s">
        <v>111</v>
      </c>
      <c r="O164" s="3" t="s">
        <v>3582</v>
      </c>
      <c r="P164" s="3" t="s">
        <v>3583</v>
      </c>
      <c r="Q164" s="3" t="s">
        <v>3584</v>
      </c>
      <c r="R164" s="3" t="s">
        <v>74</v>
      </c>
      <c r="S164" s="3" t="s">
        <v>74</v>
      </c>
      <c r="T164" s="3" t="s">
        <v>3585</v>
      </c>
      <c r="U164" s="3" t="s">
        <v>74</v>
      </c>
      <c r="V164" s="3" t="s">
        <v>3586</v>
      </c>
      <c r="W164" s="3" t="s">
        <v>3587</v>
      </c>
      <c r="X164" s="3" t="s">
        <v>3588</v>
      </c>
      <c r="Y164" s="3" t="s">
        <v>3589</v>
      </c>
      <c r="Z164" s="3" t="s">
        <v>3590</v>
      </c>
      <c r="AA164" s="3" t="s">
        <v>3591</v>
      </c>
      <c r="AB164" s="3" t="s">
        <v>74</v>
      </c>
      <c r="AC164" s="3" t="s">
        <v>3592</v>
      </c>
      <c r="AD164" s="3" t="s">
        <v>3593</v>
      </c>
      <c r="AE164" s="3" t="s">
        <v>3594</v>
      </c>
      <c r="AF164" s="3" t="s">
        <v>74</v>
      </c>
      <c r="AG164" s="3">
        <v>22</v>
      </c>
      <c r="AH164" s="3">
        <v>0</v>
      </c>
      <c r="AI164" s="3">
        <v>0</v>
      </c>
      <c r="AJ164" s="3">
        <v>1</v>
      </c>
      <c r="AK164" s="3">
        <v>1</v>
      </c>
      <c r="AL164" s="3" t="s">
        <v>374</v>
      </c>
      <c r="AM164" s="3" t="s">
        <v>375</v>
      </c>
      <c r="AN164" s="3" t="s">
        <v>376</v>
      </c>
      <c r="AO164" s="3" t="s">
        <v>3548</v>
      </c>
      <c r="AP164" s="3" t="s">
        <v>3549</v>
      </c>
      <c r="AQ164" s="3" t="s">
        <v>3595</v>
      </c>
      <c r="AR164" s="3" t="s">
        <v>3551</v>
      </c>
      <c r="AS164" s="3" t="s">
        <v>74</v>
      </c>
      <c r="AT164" s="3" t="s">
        <v>74</v>
      </c>
      <c r="AU164" s="3">
        <v>2023</v>
      </c>
      <c r="AV164" s="3">
        <v>358</v>
      </c>
      <c r="AW164" s="3" t="s">
        <v>74</v>
      </c>
      <c r="AX164" s="3" t="s">
        <v>74</v>
      </c>
      <c r="AY164" s="3" t="s">
        <v>74</v>
      </c>
      <c r="AZ164" s="3" t="s">
        <v>74</v>
      </c>
      <c r="BA164" s="3" t="s">
        <v>74</v>
      </c>
      <c r="BB164" s="3">
        <v>99</v>
      </c>
      <c r="BC164" s="3">
        <v>107</v>
      </c>
      <c r="BD164" s="3" t="s">
        <v>74</v>
      </c>
      <c r="BE164" s="3" t="s">
        <v>3596</v>
      </c>
      <c r="BF164" s="3" t="str">
        <f>HYPERLINK("http://dx.doi.org/10.1007/978-3-031-32515-1_8","http://dx.doi.org/10.1007/978-3-031-32515-1_8")</f>
        <v>http://dx.doi.org/10.1007/978-3-031-32515-1_8</v>
      </c>
      <c r="BG164" s="3" t="s">
        <v>74</v>
      </c>
      <c r="BH164" s="3" t="s">
        <v>74</v>
      </c>
      <c r="BI164" s="3">
        <v>9</v>
      </c>
      <c r="BJ164" s="3" t="s">
        <v>1777</v>
      </c>
      <c r="BK164" s="3" t="s">
        <v>208</v>
      </c>
      <c r="BL164" s="3" t="s">
        <v>994</v>
      </c>
      <c r="BM164" s="3" t="s">
        <v>3597</v>
      </c>
      <c r="BN164" s="3" t="s">
        <v>74</v>
      </c>
      <c r="BO164" s="3" t="s">
        <v>74</v>
      </c>
      <c r="BP164" s="3" t="s">
        <v>74</v>
      </c>
      <c r="BQ164" s="3" t="s">
        <v>74</v>
      </c>
      <c r="BR164" s="3" t="s">
        <v>101</v>
      </c>
      <c r="BS164" s="3" t="s">
        <v>3598</v>
      </c>
      <c r="BT164" s="3" t="str">
        <f>HYPERLINK("https%3A%2F%2Fwww.webofscience.com%2Fwos%2Fwoscc%2Ffull-record%2FWOS:001505511300008","View Full Record in Web of Science")</f>
        <v>View Full Record in Web of Science</v>
      </c>
      <c r="BU164" s="3"/>
      <c r="BV164" s="3"/>
      <c r="BW164" s="1"/>
    </row>
    <row r="165" spans="1:75" x14ac:dyDescent="0.25">
      <c r="A165" s="3" t="s">
        <v>72</v>
      </c>
      <c r="B165" s="3" t="s">
        <v>3599</v>
      </c>
      <c r="C165" s="3" t="s">
        <v>74</v>
      </c>
      <c r="D165" s="3" t="s">
        <v>74</v>
      </c>
      <c r="E165" s="3" t="s">
        <v>74</v>
      </c>
      <c r="F165" s="3" t="s">
        <v>3600</v>
      </c>
      <c r="G165" s="3" t="s">
        <v>74</v>
      </c>
      <c r="H165" s="3" t="s">
        <v>74</v>
      </c>
      <c r="I165" s="3" t="s">
        <v>3601</v>
      </c>
      <c r="J165" s="3" t="s">
        <v>1088</v>
      </c>
      <c r="K165" s="3" t="s">
        <v>74</v>
      </c>
      <c r="L165" s="3" t="s">
        <v>74</v>
      </c>
      <c r="M165" s="3" t="s">
        <v>110</v>
      </c>
      <c r="N165" s="3" t="s">
        <v>79</v>
      </c>
      <c r="O165" s="3" t="s">
        <v>74</v>
      </c>
      <c r="P165" s="3" t="s">
        <v>74</v>
      </c>
      <c r="Q165" s="3" t="s">
        <v>74</v>
      </c>
      <c r="R165" s="3" t="s">
        <v>74</v>
      </c>
      <c r="S165" s="3" t="s">
        <v>74</v>
      </c>
      <c r="T165" s="3" t="s">
        <v>3602</v>
      </c>
      <c r="U165" s="3" t="s">
        <v>3603</v>
      </c>
      <c r="V165" s="3" t="s">
        <v>3604</v>
      </c>
      <c r="W165" s="3" t="s">
        <v>3605</v>
      </c>
      <c r="X165" s="3" t="s">
        <v>3606</v>
      </c>
      <c r="Y165" s="3" t="s">
        <v>3607</v>
      </c>
      <c r="Z165" s="3" t="s">
        <v>3608</v>
      </c>
      <c r="AA165" s="3" t="s">
        <v>3609</v>
      </c>
      <c r="AB165" s="3" t="s">
        <v>3610</v>
      </c>
      <c r="AC165" s="3" t="s">
        <v>3611</v>
      </c>
      <c r="AD165" s="3" t="s">
        <v>3612</v>
      </c>
      <c r="AE165" s="3" t="s">
        <v>3613</v>
      </c>
      <c r="AF165" s="3" t="s">
        <v>74</v>
      </c>
      <c r="AG165" s="3">
        <v>124</v>
      </c>
      <c r="AH165" s="3">
        <v>52</v>
      </c>
      <c r="AI165" s="3">
        <v>59</v>
      </c>
      <c r="AJ165" s="3">
        <v>9</v>
      </c>
      <c r="AK165" s="3">
        <v>79</v>
      </c>
      <c r="AL165" s="3" t="s">
        <v>846</v>
      </c>
      <c r="AM165" s="3" t="s">
        <v>847</v>
      </c>
      <c r="AN165" s="3" t="s">
        <v>848</v>
      </c>
      <c r="AO165" s="3" t="s">
        <v>1098</v>
      </c>
      <c r="AP165" s="3" t="s">
        <v>1099</v>
      </c>
      <c r="AQ165" s="3" t="s">
        <v>74</v>
      </c>
      <c r="AR165" s="3" t="s">
        <v>1100</v>
      </c>
      <c r="AS165" s="3" t="s">
        <v>1101</v>
      </c>
      <c r="AT165" s="3" t="s">
        <v>1450</v>
      </c>
      <c r="AU165" s="3">
        <v>2022</v>
      </c>
      <c r="AV165" s="3">
        <v>23</v>
      </c>
      <c r="AW165" s="3">
        <v>7</v>
      </c>
      <c r="AX165" s="3" t="s">
        <v>74</v>
      </c>
      <c r="AY165" s="3" t="s">
        <v>74</v>
      </c>
      <c r="AZ165" s="3" t="s">
        <v>74</v>
      </c>
      <c r="BA165" s="3" t="s">
        <v>74</v>
      </c>
      <c r="BB165" s="3">
        <v>6222</v>
      </c>
      <c r="BC165" s="3">
        <v>6239</v>
      </c>
      <c r="BD165" s="3" t="s">
        <v>74</v>
      </c>
      <c r="BE165" s="3" t="s">
        <v>3614</v>
      </c>
      <c r="BF165" s="3" t="str">
        <f>HYPERLINK("http://dx.doi.org/10.1109/TITS.2021.3084907","http://dx.doi.org/10.1109/TITS.2021.3084907")</f>
        <v>http://dx.doi.org/10.1109/TITS.2021.3084907</v>
      </c>
      <c r="BG165" s="3" t="s">
        <v>74</v>
      </c>
      <c r="BH165" s="3" t="s">
        <v>3615</v>
      </c>
      <c r="BI165" s="3">
        <v>18</v>
      </c>
      <c r="BJ165" s="3" t="s">
        <v>1104</v>
      </c>
      <c r="BK165" s="3" t="s">
        <v>179</v>
      </c>
      <c r="BL165" s="3" t="s">
        <v>411</v>
      </c>
      <c r="BM165" s="3" t="s">
        <v>3616</v>
      </c>
      <c r="BN165" s="3" t="s">
        <v>74</v>
      </c>
      <c r="BO165" s="3" t="s">
        <v>683</v>
      </c>
      <c r="BP165" s="3" t="s">
        <v>74</v>
      </c>
      <c r="BQ165" s="3" t="s">
        <v>74</v>
      </c>
      <c r="BR165" s="3" t="s">
        <v>101</v>
      </c>
      <c r="BS165" s="3" t="s">
        <v>3617</v>
      </c>
      <c r="BT165" s="3" t="str">
        <f>HYPERLINK("https%3A%2F%2Fwww.webofscience.com%2Fwos%2Fwoscc%2Ffull-record%2FWOS:000733527500001","View Full Record in Web of Science")</f>
        <v>View Full Record in Web of Science</v>
      </c>
      <c r="BU165" s="3"/>
      <c r="BV165" s="3"/>
      <c r="BW165" s="1"/>
    </row>
    <row r="166" spans="1:75" x14ac:dyDescent="0.25">
      <c r="A166" s="3" t="s">
        <v>103</v>
      </c>
      <c r="B166" s="3" t="s">
        <v>3618</v>
      </c>
      <c r="C166" s="3" t="s">
        <v>74</v>
      </c>
      <c r="D166" s="3" t="s">
        <v>74</v>
      </c>
      <c r="E166" s="3" t="s">
        <v>2073</v>
      </c>
      <c r="F166" s="3" t="s">
        <v>3619</v>
      </c>
      <c r="G166" s="3" t="s">
        <v>74</v>
      </c>
      <c r="H166" s="3" t="s">
        <v>74</v>
      </c>
      <c r="I166" s="3" t="s">
        <v>3620</v>
      </c>
      <c r="J166" s="3" t="s">
        <v>3621</v>
      </c>
      <c r="K166" s="3" t="s">
        <v>3622</v>
      </c>
      <c r="L166" s="3" t="s">
        <v>74</v>
      </c>
      <c r="M166" s="3" t="s">
        <v>110</v>
      </c>
      <c r="N166" s="3" t="s">
        <v>111</v>
      </c>
      <c r="O166" s="3" t="s">
        <v>3623</v>
      </c>
      <c r="P166" s="3" t="s">
        <v>3624</v>
      </c>
      <c r="Q166" s="3" t="s">
        <v>3625</v>
      </c>
      <c r="R166" s="3" t="s">
        <v>74</v>
      </c>
      <c r="S166" s="3" t="s">
        <v>74</v>
      </c>
      <c r="T166" s="3" t="s">
        <v>3626</v>
      </c>
      <c r="U166" s="3" t="s">
        <v>3627</v>
      </c>
      <c r="V166" s="3" t="s">
        <v>3628</v>
      </c>
      <c r="W166" s="3" t="s">
        <v>3629</v>
      </c>
      <c r="X166" s="3" t="s">
        <v>3630</v>
      </c>
      <c r="Y166" s="3" t="s">
        <v>3631</v>
      </c>
      <c r="Z166" s="3" t="s">
        <v>3632</v>
      </c>
      <c r="AA166" s="3" t="s">
        <v>74</v>
      </c>
      <c r="AB166" s="3" t="s">
        <v>3633</v>
      </c>
      <c r="AC166" s="3" t="s">
        <v>3634</v>
      </c>
      <c r="AD166" s="3" t="s">
        <v>3635</v>
      </c>
      <c r="AE166" s="3" t="s">
        <v>3636</v>
      </c>
      <c r="AF166" s="3" t="s">
        <v>74</v>
      </c>
      <c r="AG166" s="3">
        <v>18</v>
      </c>
      <c r="AH166" s="3">
        <v>1</v>
      </c>
      <c r="AI166" s="3">
        <v>1</v>
      </c>
      <c r="AJ166" s="3">
        <v>0</v>
      </c>
      <c r="AK166" s="3">
        <v>0</v>
      </c>
      <c r="AL166" s="3" t="s">
        <v>2073</v>
      </c>
      <c r="AM166" s="3" t="s">
        <v>2074</v>
      </c>
      <c r="AN166" s="3" t="s">
        <v>2075</v>
      </c>
      <c r="AO166" s="3" t="s">
        <v>3637</v>
      </c>
      <c r="AP166" s="3" t="s">
        <v>3638</v>
      </c>
      <c r="AQ166" s="3" t="s">
        <v>74</v>
      </c>
      <c r="AR166" s="3" t="s">
        <v>3639</v>
      </c>
      <c r="AS166" s="3" t="s">
        <v>74</v>
      </c>
      <c r="AT166" s="3" t="s">
        <v>74</v>
      </c>
      <c r="AU166" s="3">
        <v>2024</v>
      </c>
      <c r="AV166" s="3">
        <v>2685</v>
      </c>
      <c r="AW166" s="3" t="s">
        <v>74</v>
      </c>
      <c r="AX166" s="3" t="s">
        <v>74</v>
      </c>
      <c r="AY166" s="3" t="s">
        <v>74</v>
      </c>
      <c r="AZ166" s="3" t="s">
        <v>74</v>
      </c>
      <c r="BA166" s="3" t="s">
        <v>74</v>
      </c>
      <c r="BB166" s="3" t="s">
        <v>74</v>
      </c>
      <c r="BC166" s="3" t="s">
        <v>74</v>
      </c>
      <c r="BD166" s="3">
        <v>12037</v>
      </c>
      <c r="BE166" s="3" t="s">
        <v>3640</v>
      </c>
      <c r="BF166" s="3" t="str">
        <f>HYPERLINK("http://dx.doi.org/10.1088/1742-6596/2685/1/012037","http://dx.doi.org/10.1088/1742-6596/2685/1/012037")</f>
        <v>http://dx.doi.org/10.1088/1742-6596/2685/1/012037</v>
      </c>
      <c r="BG166" s="3" t="s">
        <v>74</v>
      </c>
      <c r="BH166" s="3" t="s">
        <v>74</v>
      </c>
      <c r="BI166" s="3">
        <v>8</v>
      </c>
      <c r="BJ166" s="3" t="s">
        <v>3641</v>
      </c>
      <c r="BK166" s="3" t="s">
        <v>208</v>
      </c>
      <c r="BL166" s="3" t="s">
        <v>3641</v>
      </c>
      <c r="BM166" s="3" t="s">
        <v>3642</v>
      </c>
      <c r="BN166" s="3" t="s">
        <v>74</v>
      </c>
      <c r="BO166" s="3" t="s">
        <v>100</v>
      </c>
      <c r="BP166" s="3" t="s">
        <v>74</v>
      </c>
      <c r="BQ166" s="3" t="s">
        <v>74</v>
      </c>
      <c r="BR166" s="3" t="s">
        <v>101</v>
      </c>
      <c r="BS166" s="3" t="s">
        <v>3643</v>
      </c>
      <c r="BT166" s="3" t="str">
        <f>HYPERLINK("https%3A%2F%2Fwww.webofscience.com%2Fwos%2Fwoscc%2Ffull-record%2FWOS:001441224500037","View Full Record in Web of Science")</f>
        <v>View Full Record in Web of Science</v>
      </c>
      <c r="BU166" s="3"/>
      <c r="BV166" s="3"/>
      <c r="BW166" s="1"/>
    </row>
    <row r="167" spans="1:75" x14ac:dyDescent="0.25">
      <c r="A167" s="3" t="s">
        <v>103</v>
      </c>
      <c r="B167" s="3" t="s">
        <v>3644</v>
      </c>
      <c r="C167" s="3" t="s">
        <v>74</v>
      </c>
      <c r="D167" s="3" t="s">
        <v>3645</v>
      </c>
      <c r="E167" s="3" t="s">
        <v>74</v>
      </c>
      <c r="F167" s="3" t="s">
        <v>3646</v>
      </c>
      <c r="G167" s="3" t="s">
        <v>74</v>
      </c>
      <c r="H167" s="3" t="s">
        <v>74</v>
      </c>
      <c r="I167" s="3" t="s">
        <v>3647</v>
      </c>
      <c r="J167" s="3" t="s">
        <v>3648</v>
      </c>
      <c r="K167" s="3" t="s">
        <v>1475</v>
      </c>
      <c r="L167" s="3" t="s">
        <v>74</v>
      </c>
      <c r="M167" s="3" t="s">
        <v>110</v>
      </c>
      <c r="N167" s="3" t="s">
        <v>111</v>
      </c>
      <c r="O167" s="3" t="s">
        <v>3649</v>
      </c>
      <c r="P167" s="3" t="s">
        <v>3650</v>
      </c>
      <c r="Q167" s="3" t="s">
        <v>3651</v>
      </c>
      <c r="R167" s="3" t="s">
        <v>74</v>
      </c>
      <c r="S167" s="3" t="s">
        <v>74</v>
      </c>
      <c r="T167" s="3" t="s">
        <v>3652</v>
      </c>
      <c r="U167" s="3" t="s">
        <v>3653</v>
      </c>
      <c r="V167" s="3" t="s">
        <v>3654</v>
      </c>
      <c r="W167" s="3" t="s">
        <v>3655</v>
      </c>
      <c r="X167" s="3" t="s">
        <v>3656</v>
      </c>
      <c r="Y167" s="3" t="s">
        <v>3657</v>
      </c>
      <c r="Z167" s="3" t="s">
        <v>3658</v>
      </c>
      <c r="AA167" s="3" t="s">
        <v>3659</v>
      </c>
      <c r="AB167" s="3" t="s">
        <v>3660</v>
      </c>
      <c r="AC167" s="3" t="s">
        <v>3661</v>
      </c>
      <c r="AD167" s="3" t="s">
        <v>3662</v>
      </c>
      <c r="AE167" s="3" t="s">
        <v>3663</v>
      </c>
      <c r="AF167" s="3" t="s">
        <v>74</v>
      </c>
      <c r="AG167" s="3">
        <v>72</v>
      </c>
      <c r="AH167" s="3">
        <v>49</v>
      </c>
      <c r="AI167" s="3">
        <v>59</v>
      </c>
      <c r="AJ167" s="3">
        <v>1</v>
      </c>
      <c r="AK167" s="3">
        <v>15</v>
      </c>
      <c r="AL167" s="3" t="s">
        <v>123</v>
      </c>
      <c r="AM167" s="3" t="s">
        <v>124</v>
      </c>
      <c r="AN167" s="3" t="s">
        <v>125</v>
      </c>
      <c r="AO167" s="3" t="s">
        <v>1489</v>
      </c>
      <c r="AP167" s="3" t="s">
        <v>74</v>
      </c>
      <c r="AQ167" s="3" t="s">
        <v>74</v>
      </c>
      <c r="AR167" s="3" t="s">
        <v>1490</v>
      </c>
      <c r="AS167" s="3" t="s">
        <v>74</v>
      </c>
      <c r="AT167" s="3" t="s">
        <v>74</v>
      </c>
      <c r="AU167" s="3">
        <v>2021</v>
      </c>
      <c r="AV167" s="3">
        <v>184</v>
      </c>
      <c r="AW167" s="3" t="s">
        <v>74</v>
      </c>
      <c r="AX167" s="3" t="s">
        <v>74</v>
      </c>
      <c r="AY167" s="3" t="s">
        <v>74</v>
      </c>
      <c r="AZ167" s="3" t="s">
        <v>74</v>
      </c>
      <c r="BA167" s="3" t="s">
        <v>74</v>
      </c>
      <c r="BB167" s="3">
        <v>877</v>
      </c>
      <c r="BC167" s="3">
        <v>886</v>
      </c>
      <c r="BD167" s="3" t="s">
        <v>74</v>
      </c>
      <c r="BE167" s="3" t="s">
        <v>3664</v>
      </c>
      <c r="BF167" s="3" t="str">
        <f>HYPERLINK("http://dx.doi.org/10.1016/j.procs.2021.04.014","http://dx.doi.org/10.1016/j.procs.2021.04.014")</f>
        <v>http://dx.doi.org/10.1016/j.procs.2021.04.014</v>
      </c>
      <c r="BG167" s="3" t="s">
        <v>74</v>
      </c>
      <c r="BH167" s="3" t="s">
        <v>74</v>
      </c>
      <c r="BI167" s="3">
        <v>10</v>
      </c>
      <c r="BJ167" s="3" t="s">
        <v>1987</v>
      </c>
      <c r="BK167" s="3" t="s">
        <v>208</v>
      </c>
      <c r="BL167" s="3" t="s">
        <v>1826</v>
      </c>
      <c r="BM167" s="3" t="s">
        <v>3665</v>
      </c>
      <c r="BN167" s="3" t="s">
        <v>74</v>
      </c>
      <c r="BO167" s="3" t="s">
        <v>100</v>
      </c>
      <c r="BP167" s="3" t="s">
        <v>74</v>
      </c>
      <c r="BQ167" s="3" t="s">
        <v>74</v>
      </c>
      <c r="BR167" s="3" t="s">
        <v>101</v>
      </c>
      <c r="BS167" s="3" t="s">
        <v>3666</v>
      </c>
      <c r="BT167" s="3" t="str">
        <f>HYPERLINK("https%3A%2F%2Fwww.webofscience.com%2Fwos%2Fwoscc%2Ffull-record%2FWOS:000672800000117","View Full Record in Web of Science")</f>
        <v>View Full Record in Web of Science</v>
      </c>
      <c r="BU167" s="3"/>
      <c r="BV167" s="3"/>
      <c r="BW167" s="1"/>
    </row>
    <row r="168" spans="1:75" x14ac:dyDescent="0.25">
      <c r="A168" s="3" t="s">
        <v>72</v>
      </c>
      <c r="B168" s="3" t="s">
        <v>3667</v>
      </c>
      <c r="C168" s="3" t="s">
        <v>74</v>
      </c>
      <c r="D168" s="3" t="s">
        <v>74</v>
      </c>
      <c r="E168" s="3" t="s">
        <v>74</v>
      </c>
      <c r="F168" s="3" t="s">
        <v>3668</v>
      </c>
      <c r="G168" s="3" t="s">
        <v>74</v>
      </c>
      <c r="H168" s="3" t="s">
        <v>74</v>
      </c>
      <c r="I168" s="3" t="s">
        <v>3669</v>
      </c>
      <c r="J168" s="3" t="s">
        <v>3670</v>
      </c>
      <c r="K168" s="3" t="s">
        <v>74</v>
      </c>
      <c r="L168" s="3" t="s">
        <v>74</v>
      </c>
      <c r="M168" s="3" t="s">
        <v>110</v>
      </c>
      <c r="N168" s="3" t="s">
        <v>79</v>
      </c>
      <c r="O168" s="3" t="s">
        <v>74</v>
      </c>
      <c r="P168" s="3" t="s">
        <v>74</v>
      </c>
      <c r="Q168" s="3" t="s">
        <v>74</v>
      </c>
      <c r="R168" s="3" t="s">
        <v>74</v>
      </c>
      <c r="S168" s="3" t="s">
        <v>74</v>
      </c>
      <c r="T168" s="3" t="s">
        <v>3671</v>
      </c>
      <c r="U168" s="3" t="s">
        <v>74</v>
      </c>
      <c r="V168" s="3" t="s">
        <v>3672</v>
      </c>
      <c r="W168" s="3" t="s">
        <v>3673</v>
      </c>
      <c r="X168" s="3" t="s">
        <v>3674</v>
      </c>
      <c r="Y168" s="3" t="s">
        <v>3675</v>
      </c>
      <c r="Z168" s="3" t="s">
        <v>3676</v>
      </c>
      <c r="AA168" s="3" t="s">
        <v>3677</v>
      </c>
      <c r="AB168" s="3" t="s">
        <v>3678</v>
      </c>
      <c r="AC168" s="3" t="s">
        <v>74</v>
      </c>
      <c r="AD168" s="3" t="s">
        <v>74</v>
      </c>
      <c r="AE168" s="3" t="s">
        <v>74</v>
      </c>
      <c r="AF168" s="3" t="s">
        <v>74</v>
      </c>
      <c r="AG168" s="3">
        <v>69</v>
      </c>
      <c r="AH168" s="3">
        <v>47</v>
      </c>
      <c r="AI168" s="3">
        <v>52</v>
      </c>
      <c r="AJ168" s="3">
        <v>3</v>
      </c>
      <c r="AK168" s="3">
        <v>86</v>
      </c>
      <c r="AL168" s="3" t="s">
        <v>846</v>
      </c>
      <c r="AM168" s="3" t="s">
        <v>847</v>
      </c>
      <c r="AN168" s="3" t="s">
        <v>848</v>
      </c>
      <c r="AO168" s="3" t="s">
        <v>3679</v>
      </c>
      <c r="AP168" s="3" t="s">
        <v>3680</v>
      </c>
      <c r="AQ168" s="3" t="s">
        <v>74</v>
      </c>
      <c r="AR168" s="3" t="s">
        <v>3681</v>
      </c>
      <c r="AS168" s="3" t="s">
        <v>3682</v>
      </c>
      <c r="AT168" s="3" t="s">
        <v>608</v>
      </c>
      <c r="AU168" s="3">
        <v>2021</v>
      </c>
      <c r="AV168" s="3">
        <v>68</v>
      </c>
      <c r="AW168" s="3">
        <v>2</v>
      </c>
      <c r="AX168" s="3" t="s">
        <v>74</v>
      </c>
      <c r="AY168" s="3" t="s">
        <v>74</v>
      </c>
      <c r="AZ168" s="3" t="s">
        <v>74</v>
      </c>
      <c r="BA168" s="3" t="s">
        <v>74</v>
      </c>
      <c r="BB168" s="3">
        <v>562</v>
      </c>
      <c r="BC168" s="3">
        <v>573</v>
      </c>
      <c r="BD168" s="3" t="s">
        <v>74</v>
      </c>
      <c r="BE168" s="3" t="s">
        <v>3683</v>
      </c>
      <c r="BF168" s="3" t="str">
        <f>HYPERLINK("http://dx.doi.org/10.1109/TEM.2019.2909668","http://dx.doi.org/10.1109/TEM.2019.2909668")</f>
        <v>http://dx.doi.org/10.1109/TEM.2019.2909668</v>
      </c>
      <c r="BG168" s="3" t="s">
        <v>74</v>
      </c>
      <c r="BH168" s="3" t="s">
        <v>74</v>
      </c>
      <c r="BI168" s="3">
        <v>12</v>
      </c>
      <c r="BJ168" s="3" t="s">
        <v>3684</v>
      </c>
      <c r="BK168" s="3" t="s">
        <v>154</v>
      </c>
      <c r="BL168" s="3" t="s">
        <v>3685</v>
      </c>
      <c r="BM168" s="3" t="s">
        <v>3686</v>
      </c>
      <c r="BN168" s="3" t="s">
        <v>74</v>
      </c>
      <c r="BO168" s="3" t="s">
        <v>74</v>
      </c>
      <c r="BP168" s="3" t="s">
        <v>74</v>
      </c>
      <c r="BQ168" s="3" t="s">
        <v>74</v>
      </c>
      <c r="BR168" s="3" t="s">
        <v>101</v>
      </c>
      <c r="BS168" s="3" t="s">
        <v>3687</v>
      </c>
      <c r="BT168" s="3" t="str">
        <f>HYPERLINK("https%3A%2F%2Fwww.webofscience.com%2Fwos%2Fwoscc%2Ffull-record%2FWOS:000632443100019","View Full Record in Web of Science")</f>
        <v>View Full Record in Web of Science</v>
      </c>
      <c r="BU168" s="3"/>
      <c r="BV168" s="3"/>
      <c r="BW168" s="1"/>
    </row>
    <row r="169" spans="1:75" x14ac:dyDescent="0.25">
      <c r="A169" s="3" t="s">
        <v>72</v>
      </c>
      <c r="B169" s="3" t="s">
        <v>3688</v>
      </c>
      <c r="C169" s="3" t="s">
        <v>74</v>
      </c>
      <c r="D169" s="3" t="s">
        <v>74</v>
      </c>
      <c r="E169" s="3" t="s">
        <v>74</v>
      </c>
      <c r="F169" s="3" t="s">
        <v>3689</v>
      </c>
      <c r="G169" s="3" t="s">
        <v>74</v>
      </c>
      <c r="H169" s="3" t="s">
        <v>74</v>
      </c>
      <c r="I169" s="3" t="s">
        <v>3690</v>
      </c>
      <c r="J169" s="3" t="s">
        <v>1499</v>
      </c>
      <c r="K169" s="3" t="s">
        <v>74</v>
      </c>
      <c r="L169" s="3" t="s">
        <v>74</v>
      </c>
      <c r="M169" s="3" t="s">
        <v>110</v>
      </c>
      <c r="N169" s="3" t="s">
        <v>79</v>
      </c>
      <c r="O169" s="3" t="s">
        <v>74</v>
      </c>
      <c r="P169" s="3" t="s">
        <v>74</v>
      </c>
      <c r="Q169" s="3" t="s">
        <v>74</v>
      </c>
      <c r="R169" s="3" t="s">
        <v>74</v>
      </c>
      <c r="S169" s="3" t="s">
        <v>74</v>
      </c>
      <c r="T169" s="3" t="s">
        <v>3691</v>
      </c>
      <c r="U169" s="3" t="s">
        <v>3692</v>
      </c>
      <c r="V169" s="3" t="s">
        <v>3693</v>
      </c>
      <c r="W169" s="3" t="s">
        <v>3694</v>
      </c>
      <c r="X169" s="3" t="s">
        <v>3695</v>
      </c>
      <c r="Y169" s="3" t="s">
        <v>3696</v>
      </c>
      <c r="Z169" s="3" t="s">
        <v>3697</v>
      </c>
      <c r="AA169" s="3" t="s">
        <v>3698</v>
      </c>
      <c r="AB169" s="3" t="s">
        <v>74</v>
      </c>
      <c r="AC169" s="3" t="s">
        <v>74</v>
      </c>
      <c r="AD169" s="3" t="s">
        <v>74</v>
      </c>
      <c r="AE169" s="3" t="s">
        <v>74</v>
      </c>
      <c r="AF169" s="3" t="s">
        <v>74</v>
      </c>
      <c r="AG169" s="3">
        <v>25</v>
      </c>
      <c r="AH169" s="3">
        <v>46</v>
      </c>
      <c r="AI169" s="3">
        <v>51</v>
      </c>
      <c r="AJ169" s="3">
        <v>10</v>
      </c>
      <c r="AK169" s="3">
        <v>77</v>
      </c>
      <c r="AL169" s="3" t="s">
        <v>671</v>
      </c>
      <c r="AM169" s="3" t="s">
        <v>124</v>
      </c>
      <c r="AN169" s="3" t="s">
        <v>672</v>
      </c>
      <c r="AO169" s="3" t="s">
        <v>1512</v>
      </c>
      <c r="AP169" s="3" t="s">
        <v>1513</v>
      </c>
      <c r="AQ169" s="3" t="s">
        <v>74</v>
      </c>
      <c r="AR169" s="3" t="s">
        <v>1514</v>
      </c>
      <c r="AS169" s="3" t="s">
        <v>1515</v>
      </c>
      <c r="AT169" s="3" t="s">
        <v>1164</v>
      </c>
      <c r="AU169" s="3">
        <v>2021</v>
      </c>
      <c r="AV169" s="3">
        <v>47</v>
      </c>
      <c r="AW169" s="3" t="s">
        <v>74</v>
      </c>
      <c r="AX169" s="3" t="s">
        <v>74</v>
      </c>
      <c r="AY169" s="3" t="s">
        <v>74</v>
      </c>
      <c r="AZ169" s="3" t="s">
        <v>74</v>
      </c>
      <c r="BA169" s="3" t="s">
        <v>74</v>
      </c>
      <c r="BB169" s="3" t="s">
        <v>74</v>
      </c>
      <c r="BC169" s="3" t="s">
        <v>74</v>
      </c>
      <c r="BD169" s="3">
        <v>101494</v>
      </c>
      <c r="BE169" s="3" t="s">
        <v>3699</v>
      </c>
      <c r="BF169" s="3" t="str">
        <f>HYPERLINK("http://dx.doi.org/10.1016/j.seta.2021.101494","http://dx.doi.org/10.1016/j.seta.2021.101494")</f>
        <v>http://dx.doi.org/10.1016/j.seta.2021.101494</v>
      </c>
      <c r="BG169" s="3" t="s">
        <v>74</v>
      </c>
      <c r="BH169" s="3" t="s">
        <v>3700</v>
      </c>
      <c r="BI169" s="3">
        <v>8</v>
      </c>
      <c r="BJ169" s="3" t="s">
        <v>1518</v>
      </c>
      <c r="BK169" s="3" t="s">
        <v>179</v>
      </c>
      <c r="BL169" s="3" t="s">
        <v>1519</v>
      </c>
      <c r="BM169" s="3" t="s">
        <v>3701</v>
      </c>
      <c r="BN169" s="3" t="s">
        <v>74</v>
      </c>
      <c r="BO169" s="3" t="s">
        <v>74</v>
      </c>
      <c r="BP169" s="3" t="s">
        <v>74</v>
      </c>
      <c r="BQ169" s="3" t="s">
        <v>74</v>
      </c>
      <c r="BR169" s="3" t="s">
        <v>101</v>
      </c>
      <c r="BS169" s="3" t="s">
        <v>3702</v>
      </c>
      <c r="BT169" s="3" t="str">
        <f>HYPERLINK("https%3A%2F%2Fwww.webofscience.com%2Fwos%2Fwoscc%2Ffull-record%2FWOS:000722406900010","View Full Record in Web of Science")</f>
        <v>View Full Record in Web of Science</v>
      </c>
      <c r="BU169" s="3"/>
      <c r="BV169" s="3"/>
      <c r="BW169" s="1"/>
    </row>
    <row r="170" spans="1:75" x14ac:dyDescent="0.25">
      <c r="A170" s="3" t="s">
        <v>72</v>
      </c>
      <c r="B170" s="3" t="s">
        <v>3703</v>
      </c>
      <c r="C170" s="3" t="s">
        <v>74</v>
      </c>
      <c r="D170" s="3" t="s">
        <v>74</v>
      </c>
      <c r="E170" s="3" t="s">
        <v>74</v>
      </c>
      <c r="F170" s="3" t="s">
        <v>3704</v>
      </c>
      <c r="G170" s="3" t="s">
        <v>74</v>
      </c>
      <c r="H170" s="3" t="s">
        <v>74</v>
      </c>
      <c r="I170" s="3" t="s">
        <v>3705</v>
      </c>
      <c r="J170" s="3" t="s">
        <v>138</v>
      </c>
      <c r="K170" s="3" t="s">
        <v>74</v>
      </c>
      <c r="L170" s="3" t="s">
        <v>74</v>
      </c>
      <c r="M170" s="3" t="s">
        <v>110</v>
      </c>
      <c r="N170" s="3" t="s">
        <v>79</v>
      </c>
      <c r="O170" s="3" t="s">
        <v>74</v>
      </c>
      <c r="P170" s="3" t="s">
        <v>74</v>
      </c>
      <c r="Q170" s="3" t="s">
        <v>74</v>
      </c>
      <c r="R170" s="3" t="s">
        <v>74</v>
      </c>
      <c r="S170" s="3" t="s">
        <v>74</v>
      </c>
      <c r="T170" s="3" t="s">
        <v>3706</v>
      </c>
      <c r="U170" s="3" t="s">
        <v>3707</v>
      </c>
      <c r="V170" s="3" t="s">
        <v>3708</v>
      </c>
      <c r="W170" s="3" t="s">
        <v>3709</v>
      </c>
      <c r="X170" s="3" t="s">
        <v>3710</v>
      </c>
      <c r="Y170" s="3" t="s">
        <v>3711</v>
      </c>
      <c r="Z170" s="3" t="s">
        <v>3712</v>
      </c>
      <c r="AA170" s="3" t="s">
        <v>3713</v>
      </c>
      <c r="AB170" s="3" t="s">
        <v>3714</v>
      </c>
      <c r="AC170" s="3" t="s">
        <v>74</v>
      </c>
      <c r="AD170" s="3" t="s">
        <v>74</v>
      </c>
      <c r="AE170" s="3" t="s">
        <v>74</v>
      </c>
      <c r="AF170" s="3" t="s">
        <v>74</v>
      </c>
      <c r="AG170" s="3">
        <v>104</v>
      </c>
      <c r="AH170" s="3">
        <v>40</v>
      </c>
      <c r="AI170" s="3">
        <v>49</v>
      </c>
      <c r="AJ170" s="3">
        <v>3</v>
      </c>
      <c r="AK170" s="3">
        <v>64</v>
      </c>
      <c r="AL170" s="3" t="s">
        <v>145</v>
      </c>
      <c r="AM170" s="3" t="s">
        <v>146</v>
      </c>
      <c r="AN170" s="3" t="s">
        <v>147</v>
      </c>
      <c r="AO170" s="3" t="s">
        <v>74</v>
      </c>
      <c r="AP170" s="3" t="s">
        <v>148</v>
      </c>
      <c r="AQ170" s="3" t="s">
        <v>74</v>
      </c>
      <c r="AR170" s="3" t="s">
        <v>149</v>
      </c>
      <c r="AS170" s="3" t="s">
        <v>150</v>
      </c>
      <c r="AT170" s="3" t="s">
        <v>1450</v>
      </c>
      <c r="AU170" s="3">
        <v>2021</v>
      </c>
      <c r="AV170" s="3">
        <v>13</v>
      </c>
      <c r="AW170" s="3">
        <v>14</v>
      </c>
      <c r="AX170" s="3" t="s">
        <v>74</v>
      </c>
      <c r="AY170" s="3" t="s">
        <v>74</v>
      </c>
      <c r="AZ170" s="3" t="s">
        <v>74</v>
      </c>
      <c r="BA170" s="3" t="s">
        <v>74</v>
      </c>
      <c r="BB170" s="3" t="s">
        <v>74</v>
      </c>
      <c r="BC170" s="3" t="s">
        <v>74</v>
      </c>
      <c r="BD170" s="3">
        <v>7808</v>
      </c>
      <c r="BE170" s="3" t="s">
        <v>3715</v>
      </c>
      <c r="BF170" s="3" t="str">
        <f>HYPERLINK("http://dx.doi.org/10.3390/su13147808","http://dx.doi.org/10.3390/su13147808")</f>
        <v>http://dx.doi.org/10.3390/su13147808</v>
      </c>
      <c r="BG170" s="3" t="s">
        <v>74</v>
      </c>
      <c r="BH170" s="3" t="s">
        <v>74</v>
      </c>
      <c r="BI170" s="3">
        <v>14</v>
      </c>
      <c r="BJ170" s="3" t="s">
        <v>153</v>
      </c>
      <c r="BK170" s="3" t="s">
        <v>154</v>
      </c>
      <c r="BL170" s="3" t="s">
        <v>155</v>
      </c>
      <c r="BM170" s="3" t="s">
        <v>3716</v>
      </c>
      <c r="BN170" s="3" t="s">
        <v>74</v>
      </c>
      <c r="BO170" s="3" t="s">
        <v>133</v>
      </c>
      <c r="BP170" s="3" t="s">
        <v>74</v>
      </c>
      <c r="BQ170" s="3" t="s">
        <v>74</v>
      </c>
      <c r="BR170" s="3" t="s">
        <v>101</v>
      </c>
      <c r="BS170" s="3" t="s">
        <v>3717</v>
      </c>
      <c r="BT170" s="3" t="str">
        <f>HYPERLINK("https%3A%2F%2Fwww.webofscience.com%2Fwos%2Fwoscc%2Ffull-record%2FWOS:000676974700001","View Full Record in Web of Science")</f>
        <v>View Full Record in Web of Science</v>
      </c>
      <c r="BU170" s="3"/>
      <c r="BV170" s="3"/>
      <c r="BW170" s="1"/>
    </row>
    <row r="171" spans="1:75" x14ac:dyDescent="0.25">
      <c r="A171" s="3" t="s">
        <v>72</v>
      </c>
      <c r="B171" s="3" t="s">
        <v>3718</v>
      </c>
      <c r="C171" s="3" t="s">
        <v>74</v>
      </c>
      <c r="D171" s="3" t="s">
        <v>74</v>
      </c>
      <c r="E171" s="3" t="s">
        <v>74</v>
      </c>
      <c r="F171" s="3" t="s">
        <v>3719</v>
      </c>
      <c r="G171" s="3" t="s">
        <v>74</v>
      </c>
      <c r="H171" s="3" t="s">
        <v>74</v>
      </c>
      <c r="I171" s="3" t="s">
        <v>3720</v>
      </c>
      <c r="J171" s="3" t="s">
        <v>3721</v>
      </c>
      <c r="K171" s="3" t="s">
        <v>74</v>
      </c>
      <c r="L171" s="3" t="s">
        <v>74</v>
      </c>
      <c r="M171" s="3" t="s">
        <v>110</v>
      </c>
      <c r="N171" s="3" t="s">
        <v>79</v>
      </c>
      <c r="O171" s="3" t="s">
        <v>74</v>
      </c>
      <c r="P171" s="3" t="s">
        <v>74</v>
      </c>
      <c r="Q171" s="3" t="s">
        <v>74</v>
      </c>
      <c r="R171" s="3" t="s">
        <v>74</v>
      </c>
      <c r="S171" s="3" t="s">
        <v>74</v>
      </c>
      <c r="T171" s="3" t="s">
        <v>3722</v>
      </c>
      <c r="U171" s="3" t="s">
        <v>3723</v>
      </c>
      <c r="V171" s="3" t="s">
        <v>3724</v>
      </c>
      <c r="W171" s="3" t="s">
        <v>3725</v>
      </c>
      <c r="X171" s="3" t="s">
        <v>3726</v>
      </c>
      <c r="Y171" s="3" t="s">
        <v>3727</v>
      </c>
      <c r="Z171" s="3" t="s">
        <v>3728</v>
      </c>
      <c r="AA171" s="3" t="s">
        <v>74</v>
      </c>
      <c r="AB171" s="3" t="s">
        <v>3729</v>
      </c>
      <c r="AC171" s="3" t="s">
        <v>3730</v>
      </c>
      <c r="AD171" s="3" t="s">
        <v>3730</v>
      </c>
      <c r="AE171" s="3" t="s">
        <v>3731</v>
      </c>
      <c r="AF171" s="3" t="s">
        <v>74</v>
      </c>
      <c r="AG171" s="3">
        <v>83</v>
      </c>
      <c r="AH171" s="3">
        <v>12</v>
      </c>
      <c r="AI171" s="3">
        <v>18</v>
      </c>
      <c r="AJ171" s="3">
        <v>2</v>
      </c>
      <c r="AK171" s="3">
        <v>19</v>
      </c>
      <c r="AL171" s="3" t="s">
        <v>1120</v>
      </c>
      <c r="AM171" s="3" t="s">
        <v>1121</v>
      </c>
      <c r="AN171" s="3" t="s">
        <v>1122</v>
      </c>
      <c r="AO171" s="3" t="s">
        <v>3732</v>
      </c>
      <c r="AP171" s="3" t="s">
        <v>3733</v>
      </c>
      <c r="AQ171" s="3" t="s">
        <v>74</v>
      </c>
      <c r="AR171" s="3" t="s">
        <v>3721</v>
      </c>
      <c r="AS171" s="3" t="s">
        <v>3734</v>
      </c>
      <c r="AT171" s="3" t="s">
        <v>807</v>
      </c>
      <c r="AU171" s="3">
        <v>2023</v>
      </c>
      <c r="AV171" s="3">
        <v>88</v>
      </c>
      <c r="AW171" s="3">
        <v>1</v>
      </c>
      <c r="AX171" s="3" t="s">
        <v>74</v>
      </c>
      <c r="AY171" s="3" t="s">
        <v>74</v>
      </c>
      <c r="AZ171" s="3" t="s">
        <v>74</v>
      </c>
      <c r="BA171" s="3" t="s">
        <v>74</v>
      </c>
      <c r="BB171" s="3">
        <v>17</v>
      </c>
      <c r="BC171" s="3">
        <v>38</v>
      </c>
      <c r="BD171" s="3" t="s">
        <v>74</v>
      </c>
      <c r="BE171" s="3" t="s">
        <v>3735</v>
      </c>
      <c r="BF171" s="3" t="str">
        <f>HYPERLINK("http://dx.doi.org/10.1007/s10708-022-10574-y","http://dx.doi.org/10.1007/s10708-022-10574-y")</f>
        <v>http://dx.doi.org/10.1007/s10708-022-10574-y</v>
      </c>
      <c r="BG171" s="3" t="s">
        <v>74</v>
      </c>
      <c r="BH171" s="3" t="s">
        <v>3736</v>
      </c>
      <c r="BI171" s="3">
        <v>22</v>
      </c>
      <c r="BJ171" s="3" t="s">
        <v>460</v>
      </c>
      <c r="BK171" s="3" t="s">
        <v>97</v>
      </c>
      <c r="BL171" s="3" t="s">
        <v>460</v>
      </c>
      <c r="BM171" s="3" t="s">
        <v>3737</v>
      </c>
      <c r="BN171" s="3" t="s">
        <v>74</v>
      </c>
      <c r="BO171" s="3" t="s">
        <v>3738</v>
      </c>
      <c r="BP171" s="3" t="s">
        <v>74</v>
      </c>
      <c r="BQ171" s="3" t="s">
        <v>74</v>
      </c>
      <c r="BR171" s="3" t="s">
        <v>101</v>
      </c>
      <c r="BS171" s="3" t="s">
        <v>3739</v>
      </c>
      <c r="BT171" s="3" t="str">
        <f>HYPERLINK("https%3A%2F%2Fwww.webofscience.com%2Fwos%2Fwoscc%2Ffull-record%2FWOS:000745776300001","View Full Record in Web of Science")</f>
        <v>View Full Record in Web of Science</v>
      </c>
      <c r="BU171" s="3"/>
      <c r="BV171" s="3"/>
      <c r="BW171" s="1"/>
    </row>
    <row r="172" spans="1:75" x14ac:dyDescent="0.25">
      <c r="A172" s="3" t="s">
        <v>72</v>
      </c>
      <c r="B172" s="3" t="s">
        <v>3740</v>
      </c>
      <c r="C172" s="3" t="s">
        <v>74</v>
      </c>
      <c r="D172" s="3" t="s">
        <v>74</v>
      </c>
      <c r="E172" s="3" t="s">
        <v>74</v>
      </c>
      <c r="F172" s="3" t="s">
        <v>3741</v>
      </c>
      <c r="G172" s="3" t="s">
        <v>74</v>
      </c>
      <c r="H172" s="3" t="s">
        <v>74</v>
      </c>
      <c r="I172" s="3" t="s">
        <v>3742</v>
      </c>
      <c r="J172" s="3" t="s">
        <v>3743</v>
      </c>
      <c r="K172" s="3" t="s">
        <v>74</v>
      </c>
      <c r="L172" s="3" t="s">
        <v>74</v>
      </c>
      <c r="M172" s="3" t="s">
        <v>110</v>
      </c>
      <c r="N172" s="3" t="s">
        <v>216</v>
      </c>
      <c r="O172" s="3" t="s">
        <v>74</v>
      </c>
      <c r="P172" s="3" t="s">
        <v>74</v>
      </c>
      <c r="Q172" s="3" t="s">
        <v>74</v>
      </c>
      <c r="R172" s="3" t="s">
        <v>74</v>
      </c>
      <c r="S172" s="3" t="s">
        <v>74</v>
      </c>
      <c r="T172" s="3" t="s">
        <v>3744</v>
      </c>
      <c r="U172" s="3" t="s">
        <v>3745</v>
      </c>
      <c r="V172" s="3" t="s">
        <v>3746</v>
      </c>
      <c r="W172" s="3" t="s">
        <v>3747</v>
      </c>
      <c r="X172" s="3" t="s">
        <v>74</v>
      </c>
      <c r="Y172" s="3" t="s">
        <v>3748</v>
      </c>
      <c r="Z172" s="3" t="s">
        <v>3749</v>
      </c>
      <c r="AA172" s="3" t="s">
        <v>3750</v>
      </c>
      <c r="AB172" s="3" t="s">
        <v>3751</v>
      </c>
      <c r="AC172" s="3" t="s">
        <v>3752</v>
      </c>
      <c r="AD172" s="3" t="s">
        <v>3752</v>
      </c>
      <c r="AE172" s="3" t="s">
        <v>3753</v>
      </c>
      <c r="AF172" s="3" t="s">
        <v>74</v>
      </c>
      <c r="AG172" s="3">
        <v>131</v>
      </c>
      <c r="AH172" s="3">
        <v>33</v>
      </c>
      <c r="AI172" s="3">
        <v>39</v>
      </c>
      <c r="AJ172" s="3">
        <v>2</v>
      </c>
      <c r="AK172" s="3">
        <v>26</v>
      </c>
      <c r="AL172" s="3" t="s">
        <v>304</v>
      </c>
      <c r="AM172" s="3" t="s">
        <v>305</v>
      </c>
      <c r="AN172" s="3" t="s">
        <v>306</v>
      </c>
      <c r="AO172" s="3" t="s">
        <v>3754</v>
      </c>
      <c r="AP172" s="3" t="s">
        <v>3755</v>
      </c>
      <c r="AQ172" s="3" t="s">
        <v>74</v>
      </c>
      <c r="AR172" s="3" t="s">
        <v>3756</v>
      </c>
      <c r="AS172" s="3" t="s">
        <v>3757</v>
      </c>
      <c r="AT172" s="3" t="s">
        <v>949</v>
      </c>
      <c r="AU172" s="3">
        <v>2022</v>
      </c>
      <c r="AV172" s="3">
        <v>105</v>
      </c>
      <c r="AW172" s="3" t="s">
        <v>74</v>
      </c>
      <c r="AX172" s="3" t="s">
        <v>74</v>
      </c>
      <c r="AY172" s="3" t="s">
        <v>74</v>
      </c>
      <c r="AZ172" s="3" t="s">
        <v>74</v>
      </c>
      <c r="BA172" s="3" t="s">
        <v>74</v>
      </c>
      <c r="BB172" s="3" t="s">
        <v>74</v>
      </c>
      <c r="BC172" s="3" t="s">
        <v>74</v>
      </c>
      <c r="BD172" s="3">
        <v>101951</v>
      </c>
      <c r="BE172" s="3" t="s">
        <v>3758</v>
      </c>
      <c r="BF172" s="3" t="str">
        <f>HYPERLINK("http://dx.doi.org/10.1016/j.is.2021.101951","http://dx.doi.org/10.1016/j.is.2021.101951")</f>
        <v>http://dx.doi.org/10.1016/j.is.2021.101951</v>
      </c>
      <c r="BG172" s="3" t="s">
        <v>74</v>
      </c>
      <c r="BH172" s="3" t="s">
        <v>3759</v>
      </c>
      <c r="BI172" s="3">
        <v>19</v>
      </c>
      <c r="BJ172" s="3" t="s">
        <v>3041</v>
      </c>
      <c r="BK172" s="3" t="s">
        <v>179</v>
      </c>
      <c r="BL172" s="3" t="s">
        <v>486</v>
      </c>
      <c r="BM172" s="3" t="s">
        <v>3760</v>
      </c>
      <c r="BN172" s="3" t="s">
        <v>74</v>
      </c>
      <c r="BO172" s="3" t="s">
        <v>683</v>
      </c>
      <c r="BP172" s="3" t="s">
        <v>74</v>
      </c>
      <c r="BQ172" s="3" t="s">
        <v>74</v>
      </c>
      <c r="BR172" s="3" t="s">
        <v>101</v>
      </c>
      <c r="BS172" s="3" t="s">
        <v>3761</v>
      </c>
      <c r="BT172" s="3" t="str">
        <f>HYPERLINK("https%3A%2F%2Fwww.webofscience.com%2Fwos%2Fwoscc%2Ffull-record%2FWOS:000740349400004","View Full Record in Web of Science")</f>
        <v>View Full Record in Web of Science</v>
      </c>
      <c r="BU172" s="3"/>
      <c r="BV172" s="3"/>
      <c r="BW172" s="1"/>
    </row>
    <row r="173" spans="1:75" x14ac:dyDescent="0.25">
      <c r="A173" s="3" t="s">
        <v>72</v>
      </c>
      <c r="B173" s="3" t="s">
        <v>3762</v>
      </c>
      <c r="C173" s="3" t="s">
        <v>74</v>
      </c>
      <c r="D173" s="3" t="s">
        <v>74</v>
      </c>
      <c r="E173" s="3" t="s">
        <v>74</v>
      </c>
      <c r="F173" s="3" t="s">
        <v>3763</v>
      </c>
      <c r="G173" s="3" t="s">
        <v>74</v>
      </c>
      <c r="H173" s="3" t="s">
        <v>74</v>
      </c>
      <c r="I173" s="3" t="s">
        <v>3764</v>
      </c>
      <c r="J173" s="3" t="s">
        <v>3765</v>
      </c>
      <c r="K173" s="3" t="s">
        <v>74</v>
      </c>
      <c r="L173" s="3" t="s">
        <v>74</v>
      </c>
      <c r="M173" s="3" t="s">
        <v>110</v>
      </c>
      <c r="N173" s="3" t="s">
        <v>79</v>
      </c>
      <c r="O173" s="3" t="s">
        <v>74</v>
      </c>
      <c r="P173" s="3" t="s">
        <v>74</v>
      </c>
      <c r="Q173" s="3" t="s">
        <v>74</v>
      </c>
      <c r="R173" s="3" t="s">
        <v>74</v>
      </c>
      <c r="S173" s="3" t="s">
        <v>74</v>
      </c>
      <c r="T173" s="3" t="s">
        <v>3766</v>
      </c>
      <c r="U173" s="3" t="s">
        <v>74</v>
      </c>
      <c r="V173" s="3" t="s">
        <v>3767</v>
      </c>
      <c r="W173" s="3" t="s">
        <v>3768</v>
      </c>
      <c r="X173" s="3" t="s">
        <v>3769</v>
      </c>
      <c r="Y173" s="3" t="s">
        <v>3770</v>
      </c>
      <c r="Z173" s="3" t="s">
        <v>3771</v>
      </c>
      <c r="AA173" s="3" t="s">
        <v>74</v>
      </c>
      <c r="AB173" s="3" t="s">
        <v>3772</v>
      </c>
      <c r="AC173" s="3" t="s">
        <v>74</v>
      </c>
      <c r="AD173" s="3" t="s">
        <v>74</v>
      </c>
      <c r="AE173" s="3" t="s">
        <v>74</v>
      </c>
      <c r="AF173" s="3" t="s">
        <v>74</v>
      </c>
      <c r="AG173" s="3">
        <v>75</v>
      </c>
      <c r="AH173" s="3">
        <v>0</v>
      </c>
      <c r="AI173" s="3">
        <v>0</v>
      </c>
      <c r="AJ173" s="3">
        <v>8</v>
      </c>
      <c r="AK173" s="3">
        <v>8</v>
      </c>
      <c r="AL173" s="3" t="s">
        <v>671</v>
      </c>
      <c r="AM173" s="3" t="s">
        <v>124</v>
      </c>
      <c r="AN173" s="3" t="s">
        <v>672</v>
      </c>
      <c r="AO173" s="3" t="s">
        <v>3773</v>
      </c>
      <c r="AP173" s="3" t="s">
        <v>74</v>
      </c>
      <c r="AQ173" s="3" t="s">
        <v>74</v>
      </c>
      <c r="AR173" s="3" t="s">
        <v>3774</v>
      </c>
      <c r="AS173" s="3" t="s">
        <v>3775</v>
      </c>
      <c r="AT173" s="3" t="s">
        <v>333</v>
      </c>
      <c r="AU173" s="3">
        <v>2025</v>
      </c>
      <c r="AV173" s="3">
        <v>27</v>
      </c>
      <c r="AW173" s="3" t="s">
        <v>74</v>
      </c>
      <c r="AX173" s="3" t="s">
        <v>74</v>
      </c>
      <c r="AY173" s="3" t="s">
        <v>74</v>
      </c>
      <c r="AZ173" s="3" t="s">
        <v>74</v>
      </c>
      <c r="BA173" s="3" t="s">
        <v>74</v>
      </c>
      <c r="BB173" s="3" t="s">
        <v>74</v>
      </c>
      <c r="BC173" s="3" t="s">
        <v>74</v>
      </c>
      <c r="BD173" s="3">
        <v>100783</v>
      </c>
      <c r="BE173" s="3" t="s">
        <v>3776</v>
      </c>
      <c r="BF173" s="3" t="str">
        <f>HYPERLINK("http://dx.doi.org/10.1016/j.indic.2025.100783","http://dx.doi.org/10.1016/j.indic.2025.100783")</f>
        <v>http://dx.doi.org/10.1016/j.indic.2025.100783</v>
      </c>
      <c r="BG173" s="3" t="s">
        <v>74</v>
      </c>
      <c r="BH173" s="3" t="s">
        <v>1016</v>
      </c>
      <c r="BI173" s="3">
        <v>17</v>
      </c>
      <c r="BJ173" s="3" t="s">
        <v>3777</v>
      </c>
      <c r="BK173" s="3" t="s">
        <v>97</v>
      </c>
      <c r="BL173" s="3" t="s">
        <v>705</v>
      </c>
      <c r="BM173" s="3" t="s">
        <v>3778</v>
      </c>
      <c r="BN173" s="3" t="s">
        <v>74</v>
      </c>
      <c r="BO173" s="3" t="s">
        <v>100</v>
      </c>
      <c r="BP173" s="3" t="s">
        <v>74</v>
      </c>
      <c r="BQ173" s="3" t="s">
        <v>74</v>
      </c>
      <c r="BR173" s="3" t="s">
        <v>101</v>
      </c>
      <c r="BS173" s="3" t="s">
        <v>3779</v>
      </c>
      <c r="BT173" s="3" t="str">
        <f>HYPERLINK("https%3A%2F%2Fwww.webofscience.com%2Fwos%2Fwoscc%2Ffull-record%2FWOS:001533240000001","View Full Record in Web of Science")</f>
        <v>View Full Record in Web of Science</v>
      </c>
      <c r="BU173" s="3"/>
      <c r="BV173" s="3"/>
      <c r="BW173" s="1"/>
    </row>
    <row r="174" spans="1:75" x14ac:dyDescent="0.25">
      <c r="A174" s="3" t="s">
        <v>72</v>
      </c>
      <c r="B174" s="3" t="s">
        <v>3780</v>
      </c>
      <c r="C174" s="3" t="s">
        <v>74</v>
      </c>
      <c r="D174" s="3" t="s">
        <v>74</v>
      </c>
      <c r="E174" s="3" t="s">
        <v>74</v>
      </c>
      <c r="F174" s="3" t="s">
        <v>3781</v>
      </c>
      <c r="G174" s="3" t="s">
        <v>74</v>
      </c>
      <c r="H174" s="3" t="s">
        <v>74</v>
      </c>
      <c r="I174" s="3" t="s">
        <v>3782</v>
      </c>
      <c r="J174" s="3" t="s">
        <v>3783</v>
      </c>
      <c r="K174" s="3" t="s">
        <v>74</v>
      </c>
      <c r="L174" s="3" t="s">
        <v>74</v>
      </c>
      <c r="M174" s="3" t="s">
        <v>110</v>
      </c>
      <c r="N174" s="3" t="s">
        <v>79</v>
      </c>
      <c r="O174" s="3" t="s">
        <v>74</v>
      </c>
      <c r="P174" s="3" t="s">
        <v>74</v>
      </c>
      <c r="Q174" s="3" t="s">
        <v>74</v>
      </c>
      <c r="R174" s="3" t="s">
        <v>74</v>
      </c>
      <c r="S174" s="3" t="s">
        <v>74</v>
      </c>
      <c r="T174" s="3" t="s">
        <v>3784</v>
      </c>
      <c r="U174" s="3" t="s">
        <v>3785</v>
      </c>
      <c r="V174" s="3" t="s">
        <v>3786</v>
      </c>
      <c r="W174" s="3" t="s">
        <v>3787</v>
      </c>
      <c r="X174" s="3" t="s">
        <v>3788</v>
      </c>
      <c r="Y174" s="3" t="s">
        <v>3789</v>
      </c>
      <c r="Z174" s="3" t="s">
        <v>3790</v>
      </c>
      <c r="AA174" s="3" t="s">
        <v>3791</v>
      </c>
      <c r="AB174" s="3" t="s">
        <v>3792</v>
      </c>
      <c r="AC174" s="3" t="s">
        <v>3793</v>
      </c>
      <c r="AD174" s="3" t="s">
        <v>3794</v>
      </c>
      <c r="AE174" s="3" t="s">
        <v>3795</v>
      </c>
      <c r="AF174" s="3" t="s">
        <v>74</v>
      </c>
      <c r="AG174" s="3">
        <v>51</v>
      </c>
      <c r="AH174" s="3">
        <v>4</v>
      </c>
      <c r="AI174" s="3">
        <v>4</v>
      </c>
      <c r="AJ174" s="3">
        <v>2</v>
      </c>
      <c r="AK174" s="3">
        <v>22</v>
      </c>
      <c r="AL174" s="3" t="s">
        <v>846</v>
      </c>
      <c r="AM174" s="3" t="s">
        <v>847</v>
      </c>
      <c r="AN174" s="3" t="s">
        <v>848</v>
      </c>
      <c r="AO174" s="3" t="s">
        <v>3796</v>
      </c>
      <c r="AP174" s="3" t="s">
        <v>74</v>
      </c>
      <c r="AQ174" s="3" t="s">
        <v>74</v>
      </c>
      <c r="AR174" s="3" t="s">
        <v>3797</v>
      </c>
      <c r="AS174" s="3" t="s">
        <v>3798</v>
      </c>
      <c r="AT174" s="3" t="s">
        <v>283</v>
      </c>
      <c r="AU174" s="3">
        <v>2023</v>
      </c>
      <c r="AV174" s="3">
        <v>10</v>
      </c>
      <c r="AW174" s="3">
        <v>4</v>
      </c>
      <c r="AX174" s="3" t="s">
        <v>74</v>
      </c>
      <c r="AY174" s="3" t="s">
        <v>74</v>
      </c>
      <c r="AZ174" s="3" t="s">
        <v>74</v>
      </c>
      <c r="BA174" s="3" t="s">
        <v>74</v>
      </c>
      <c r="BB174" s="3">
        <v>1875</v>
      </c>
      <c r="BC174" s="3">
        <v>1887</v>
      </c>
      <c r="BD174" s="3" t="s">
        <v>74</v>
      </c>
      <c r="BE174" s="3" t="s">
        <v>3799</v>
      </c>
      <c r="BF174" s="3" t="str">
        <f>HYPERLINK("http://dx.doi.org/10.1109/TCSS.2022.3200032","http://dx.doi.org/10.1109/TCSS.2022.3200032")</f>
        <v>http://dx.doi.org/10.1109/TCSS.2022.3200032</v>
      </c>
      <c r="BG174" s="3" t="s">
        <v>74</v>
      </c>
      <c r="BH174" s="3" t="s">
        <v>3800</v>
      </c>
      <c r="BI174" s="3">
        <v>13</v>
      </c>
      <c r="BJ174" s="3" t="s">
        <v>3801</v>
      </c>
      <c r="BK174" s="3" t="s">
        <v>179</v>
      </c>
      <c r="BL174" s="3" t="s">
        <v>486</v>
      </c>
      <c r="BM174" s="3" t="s">
        <v>3802</v>
      </c>
      <c r="BN174" s="3" t="s">
        <v>74</v>
      </c>
      <c r="BO174" s="3" t="s">
        <v>683</v>
      </c>
      <c r="BP174" s="3" t="s">
        <v>74</v>
      </c>
      <c r="BQ174" s="3" t="s">
        <v>74</v>
      </c>
      <c r="BR174" s="3" t="s">
        <v>101</v>
      </c>
      <c r="BS174" s="3" t="s">
        <v>3803</v>
      </c>
      <c r="BT174" s="3" t="str">
        <f>HYPERLINK("https%3A%2F%2Fwww.webofscience.com%2Fwos%2Fwoscc%2Ffull-record%2FWOS:000849245900001","View Full Record in Web of Science")</f>
        <v>View Full Record in Web of Science</v>
      </c>
      <c r="BU174" s="3"/>
      <c r="BV174" s="3"/>
      <c r="BW174" s="1"/>
    </row>
    <row r="175" spans="1:75" x14ac:dyDescent="0.25">
      <c r="A175" s="3" t="s">
        <v>72</v>
      </c>
      <c r="B175" s="3" t="s">
        <v>3804</v>
      </c>
      <c r="C175" s="3" t="s">
        <v>74</v>
      </c>
      <c r="D175" s="3" t="s">
        <v>74</v>
      </c>
      <c r="E175" s="3" t="s">
        <v>74</v>
      </c>
      <c r="F175" s="3" t="s">
        <v>3805</v>
      </c>
      <c r="G175" s="3" t="s">
        <v>74</v>
      </c>
      <c r="H175" s="3" t="s">
        <v>74</v>
      </c>
      <c r="I175" s="3" t="s">
        <v>3806</v>
      </c>
      <c r="J175" s="3" t="s">
        <v>3807</v>
      </c>
      <c r="K175" s="3" t="s">
        <v>74</v>
      </c>
      <c r="L175" s="3" t="s">
        <v>74</v>
      </c>
      <c r="M175" s="3" t="s">
        <v>110</v>
      </c>
      <c r="N175" s="3" t="s">
        <v>79</v>
      </c>
      <c r="O175" s="3" t="s">
        <v>74</v>
      </c>
      <c r="P175" s="3" t="s">
        <v>74</v>
      </c>
      <c r="Q175" s="3" t="s">
        <v>74</v>
      </c>
      <c r="R175" s="3" t="s">
        <v>74</v>
      </c>
      <c r="S175" s="3" t="s">
        <v>74</v>
      </c>
      <c r="T175" s="3" t="s">
        <v>3808</v>
      </c>
      <c r="U175" s="3" t="s">
        <v>3809</v>
      </c>
      <c r="V175" s="3" t="s">
        <v>3810</v>
      </c>
      <c r="W175" s="3" t="s">
        <v>3811</v>
      </c>
      <c r="X175" s="3" t="s">
        <v>3812</v>
      </c>
      <c r="Y175" s="3" t="s">
        <v>3813</v>
      </c>
      <c r="Z175" s="3" t="s">
        <v>3814</v>
      </c>
      <c r="AA175" s="3" t="s">
        <v>3815</v>
      </c>
      <c r="AB175" s="3" t="s">
        <v>3816</v>
      </c>
      <c r="AC175" s="3" t="s">
        <v>3817</v>
      </c>
      <c r="AD175" s="3" t="s">
        <v>3818</v>
      </c>
      <c r="AE175" s="3" t="s">
        <v>3819</v>
      </c>
      <c r="AF175" s="3" t="s">
        <v>74</v>
      </c>
      <c r="AG175" s="3">
        <v>39</v>
      </c>
      <c r="AH175" s="3">
        <v>40</v>
      </c>
      <c r="AI175" s="3">
        <v>47</v>
      </c>
      <c r="AJ175" s="3">
        <v>2</v>
      </c>
      <c r="AK175" s="3">
        <v>96</v>
      </c>
      <c r="AL175" s="3" t="s">
        <v>671</v>
      </c>
      <c r="AM175" s="3" t="s">
        <v>124</v>
      </c>
      <c r="AN175" s="3" t="s">
        <v>672</v>
      </c>
      <c r="AO175" s="3" t="s">
        <v>3820</v>
      </c>
      <c r="AP175" s="3" t="s">
        <v>3821</v>
      </c>
      <c r="AQ175" s="3" t="s">
        <v>74</v>
      </c>
      <c r="AR175" s="3" t="s">
        <v>3822</v>
      </c>
      <c r="AS175" s="3" t="s">
        <v>3823</v>
      </c>
      <c r="AT175" s="3" t="s">
        <v>3824</v>
      </c>
      <c r="AU175" s="3">
        <v>2020</v>
      </c>
      <c r="AV175" s="3">
        <v>712</v>
      </c>
      <c r="AW175" s="3" t="s">
        <v>74</v>
      </c>
      <c r="AX175" s="3" t="s">
        <v>74</v>
      </c>
      <c r="AY175" s="3" t="s">
        <v>74</v>
      </c>
      <c r="AZ175" s="3" t="s">
        <v>74</v>
      </c>
      <c r="BA175" s="3" t="s">
        <v>74</v>
      </c>
      <c r="BB175" s="3" t="s">
        <v>74</v>
      </c>
      <c r="BC175" s="3" t="s">
        <v>74</v>
      </c>
      <c r="BD175" s="3">
        <v>136381</v>
      </c>
      <c r="BE175" s="3" t="s">
        <v>3825</v>
      </c>
      <c r="BF175" s="3" t="str">
        <f>HYPERLINK("http://dx.doi.org/10.1016/j.scitotenv.2019.136381","http://dx.doi.org/10.1016/j.scitotenv.2019.136381")</f>
        <v>http://dx.doi.org/10.1016/j.scitotenv.2019.136381</v>
      </c>
      <c r="BG175" s="3" t="s">
        <v>74</v>
      </c>
      <c r="BH175" s="3" t="s">
        <v>74</v>
      </c>
      <c r="BI175" s="3">
        <v>13</v>
      </c>
      <c r="BJ175" s="3" t="s">
        <v>704</v>
      </c>
      <c r="BK175" s="3" t="s">
        <v>154</v>
      </c>
      <c r="BL175" s="3" t="s">
        <v>705</v>
      </c>
      <c r="BM175" s="3" t="s">
        <v>3826</v>
      </c>
      <c r="BN175" s="3">
        <v>31940512</v>
      </c>
      <c r="BO175" s="3" t="s">
        <v>74</v>
      </c>
      <c r="BP175" s="3" t="s">
        <v>74</v>
      </c>
      <c r="BQ175" s="3" t="s">
        <v>74</v>
      </c>
      <c r="BR175" s="3" t="s">
        <v>101</v>
      </c>
      <c r="BS175" s="3" t="s">
        <v>3827</v>
      </c>
      <c r="BT175" s="3" t="str">
        <f>HYPERLINK("https%3A%2F%2Fwww.webofscience.com%2Fwos%2Fwoscc%2Ffull-record%2FWOS:000512369600146","View Full Record in Web of Science")</f>
        <v>View Full Record in Web of Science</v>
      </c>
      <c r="BU175" s="3"/>
      <c r="BV175" s="3"/>
      <c r="BW175" s="1"/>
    </row>
    <row r="176" spans="1:75" x14ac:dyDescent="0.25">
      <c r="A176" s="3" t="s">
        <v>72</v>
      </c>
      <c r="B176" s="3" t="s">
        <v>3828</v>
      </c>
      <c r="C176" s="3" t="s">
        <v>74</v>
      </c>
      <c r="D176" s="3" t="s">
        <v>74</v>
      </c>
      <c r="E176" s="3" t="s">
        <v>74</v>
      </c>
      <c r="F176" s="3" t="s">
        <v>3829</v>
      </c>
      <c r="G176" s="3" t="s">
        <v>74</v>
      </c>
      <c r="H176" s="3" t="s">
        <v>74</v>
      </c>
      <c r="I176" s="3" t="s">
        <v>3830</v>
      </c>
      <c r="J176" s="3" t="s">
        <v>3831</v>
      </c>
      <c r="K176" s="3" t="s">
        <v>74</v>
      </c>
      <c r="L176" s="3" t="s">
        <v>74</v>
      </c>
      <c r="M176" s="3" t="s">
        <v>110</v>
      </c>
      <c r="N176" s="3" t="s">
        <v>79</v>
      </c>
      <c r="O176" s="3" t="s">
        <v>74</v>
      </c>
      <c r="P176" s="3" t="s">
        <v>74</v>
      </c>
      <c r="Q176" s="3" t="s">
        <v>74</v>
      </c>
      <c r="R176" s="3" t="s">
        <v>74</v>
      </c>
      <c r="S176" s="3" t="s">
        <v>74</v>
      </c>
      <c r="T176" s="3" t="s">
        <v>3832</v>
      </c>
      <c r="U176" s="3" t="s">
        <v>74</v>
      </c>
      <c r="V176" s="3" t="s">
        <v>3833</v>
      </c>
      <c r="W176" s="3" t="s">
        <v>3834</v>
      </c>
      <c r="X176" s="3" t="s">
        <v>3835</v>
      </c>
      <c r="Y176" s="3" t="s">
        <v>3836</v>
      </c>
      <c r="Z176" s="3" t="s">
        <v>3837</v>
      </c>
      <c r="AA176" s="3" t="s">
        <v>3838</v>
      </c>
      <c r="AB176" s="3" t="s">
        <v>74</v>
      </c>
      <c r="AC176" s="3" t="s">
        <v>74</v>
      </c>
      <c r="AD176" s="3" t="s">
        <v>74</v>
      </c>
      <c r="AE176" s="3" t="s">
        <v>74</v>
      </c>
      <c r="AF176" s="3" t="s">
        <v>74</v>
      </c>
      <c r="AG176" s="3">
        <v>15</v>
      </c>
      <c r="AH176" s="3">
        <v>19</v>
      </c>
      <c r="AI176" s="3">
        <v>20</v>
      </c>
      <c r="AJ176" s="3">
        <v>0</v>
      </c>
      <c r="AK176" s="3">
        <v>1</v>
      </c>
      <c r="AL176" s="3" t="s">
        <v>3839</v>
      </c>
      <c r="AM176" s="3" t="s">
        <v>2619</v>
      </c>
      <c r="AN176" s="3" t="s">
        <v>3840</v>
      </c>
      <c r="AO176" s="3" t="s">
        <v>3841</v>
      </c>
      <c r="AP176" s="3" t="s">
        <v>74</v>
      </c>
      <c r="AQ176" s="3" t="s">
        <v>74</v>
      </c>
      <c r="AR176" s="3" t="s">
        <v>3842</v>
      </c>
      <c r="AS176" s="3" t="s">
        <v>3843</v>
      </c>
      <c r="AT176" s="3" t="s">
        <v>74</v>
      </c>
      <c r="AU176" s="3">
        <v>2021</v>
      </c>
      <c r="AV176" s="3">
        <v>22</v>
      </c>
      <c r="AW176" s="3">
        <v>2</v>
      </c>
      <c r="AX176" s="3" t="s">
        <v>74</v>
      </c>
      <c r="AY176" s="3" t="s">
        <v>74</v>
      </c>
      <c r="AZ176" s="3" t="s">
        <v>74</v>
      </c>
      <c r="BA176" s="3" t="s">
        <v>74</v>
      </c>
      <c r="BB176" s="3">
        <v>566</v>
      </c>
      <c r="BC176" s="3">
        <v>577</v>
      </c>
      <c r="BD176" s="3" t="s">
        <v>74</v>
      </c>
      <c r="BE176" s="3" t="s">
        <v>74</v>
      </c>
      <c r="BF176" s="3" t="s">
        <v>74</v>
      </c>
      <c r="BG176" s="3" t="s">
        <v>74</v>
      </c>
      <c r="BH176" s="3" t="s">
        <v>74</v>
      </c>
      <c r="BI176" s="3">
        <v>12</v>
      </c>
      <c r="BJ176" s="3" t="s">
        <v>704</v>
      </c>
      <c r="BK176" s="3" t="s">
        <v>179</v>
      </c>
      <c r="BL176" s="3" t="s">
        <v>705</v>
      </c>
      <c r="BM176" s="3" t="s">
        <v>3844</v>
      </c>
      <c r="BN176" s="3" t="s">
        <v>74</v>
      </c>
      <c r="BO176" s="3" t="s">
        <v>74</v>
      </c>
      <c r="BP176" s="3" t="s">
        <v>74</v>
      </c>
      <c r="BQ176" s="3" t="s">
        <v>74</v>
      </c>
      <c r="BR176" s="3" t="s">
        <v>101</v>
      </c>
      <c r="BS176" s="3" t="s">
        <v>3845</v>
      </c>
      <c r="BT176" s="3" t="str">
        <f>HYPERLINK("https%3A%2F%2Fwww.webofscience.com%2Fwos%2Fwoscc%2Ffull-record%2FWOS:000664081000012","View Full Record in Web of Science")</f>
        <v>View Full Record in Web of Science</v>
      </c>
      <c r="BU176" s="3"/>
      <c r="BV176" s="3"/>
      <c r="BW176" s="1"/>
    </row>
    <row r="177" spans="1:75" x14ac:dyDescent="0.25">
      <c r="A177" s="3" t="s">
        <v>103</v>
      </c>
      <c r="B177" s="3" t="s">
        <v>3846</v>
      </c>
      <c r="C177" s="3" t="s">
        <v>74</v>
      </c>
      <c r="D177" s="3" t="s">
        <v>3847</v>
      </c>
      <c r="E177" s="3" t="s">
        <v>74</v>
      </c>
      <c r="F177" s="3" t="s">
        <v>3848</v>
      </c>
      <c r="G177" s="3" t="s">
        <v>74</v>
      </c>
      <c r="H177" s="3" t="s">
        <v>74</v>
      </c>
      <c r="I177" s="3" t="s">
        <v>3849</v>
      </c>
      <c r="J177" s="3" t="s">
        <v>3850</v>
      </c>
      <c r="K177" s="3" t="s">
        <v>3508</v>
      </c>
      <c r="L177" s="3" t="s">
        <v>74</v>
      </c>
      <c r="M177" s="3" t="s">
        <v>110</v>
      </c>
      <c r="N177" s="3" t="s">
        <v>111</v>
      </c>
      <c r="O177" s="3" t="s">
        <v>3851</v>
      </c>
      <c r="P177" s="3" t="s">
        <v>3852</v>
      </c>
      <c r="Q177" s="3" t="s">
        <v>3853</v>
      </c>
      <c r="R177" s="3" t="s">
        <v>74</v>
      </c>
      <c r="S177" s="3" t="s">
        <v>74</v>
      </c>
      <c r="T177" s="3" t="s">
        <v>3854</v>
      </c>
      <c r="U177" s="3" t="s">
        <v>74</v>
      </c>
      <c r="V177" s="3" t="s">
        <v>3855</v>
      </c>
      <c r="W177" s="3" t="s">
        <v>3856</v>
      </c>
      <c r="X177" s="3" t="s">
        <v>3857</v>
      </c>
      <c r="Y177" s="3" t="s">
        <v>3858</v>
      </c>
      <c r="Z177" s="3" t="s">
        <v>3859</v>
      </c>
      <c r="AA177" s="3" t="s">
        <v>74</v>
      </c>
      <c r="AB177" s="3" t="s">
        <v>74</v>
      </c>
      <c r="AC177" s="3" t="s">
        <v>74</v>
      </c>
      <c r="AD177" s="3" t="s">
        <v>74</v>
      </c>
      <c r="AE177" s="3" t="s">
        <v>74</v>
      </c>
      <c r="AF177" s="3" t="s">
        <v>74</v>
      </c>
      <c r="AG177" s="3">
        <v>11</v>
      </c>
      <c r="AH177" s="3">
        <v>0</v>
      </c>
      <c r="AI177" s="3">
        <v>0</v>
      </c>
      <c r="AJ177" s="3">
        <v>0</v>
      </c>
      <c r="AK177" s="3">
        <v>0</v>
      </c>
      <c r="AL177" s="3" t="s">
        <v>374</v>
      </c>
      <c r="AM177" s="3" t="s">
        <v>375</v>
      </c>
      <c r="AN177" s="3" t="s">
        <v>376</v>
      </c>
      <c r="AO177" s="3" t="s">
        <v>3521</v>
      </c>
      <c r="AP177" s="3" t="s">
        <v>3522</v>
      </c>
      <c r="AQ177" s="3" t="s">
        <v>3860</v>
      </c>
      <c r="AR177" s="3" t="s">
        <v>3524</v>
      </c>
      <c r="AS177" s="3" t="s">
        <v>74</v>
      </c>
      <c r="AT177" s="3" t="s">
        <v>74</v>
      </c>
      <c r="AU177" s="3">
        <v>2025</v>
      </c>
      <c r="AV177" s="3">
        <v>1480</v>
      </c>
      <c r="AW177" s="3" t="s">
        <v>74</v>
      </c>
      <c r="AX177" s="3" t="s">
        <v>74</v>
      </c>
      <c r="AY177" s="3" t="s">
        <v>74</v>
      </c>
      <c r="AZ177" s="3" t="s">
        <v>74</v>
      </c>
      <c r="BA177" s="3" t="s">
        <v>74</v>
      </c>
      <c r="BB177" s="3">
        <v>184</v>
      </c>
      <c r="BC177" s="3">
        <v>194</v>
      </c>
      <c r="BD177" s="3" t="s">
        <v>74</v>
      </c>
      <c r="BE177" s="3" t="s">
        <v>3861</v>
      </c>
      <c r="BF177" s="3" t="str">
        <f>HYPERLINK("http://dx.doi.org/10.1007/978-3-031-95191-6_18","http://dx.doi.org/10.1007/978-3-031-95191-6_18")</f>
        <v>http://dx.doi.org/10.1007/978-3-031-95191-6_18</v>
      </c>
      <c r="BG177" s="3" t="s">
        <v>74</v>
      </c>
      <c r="BH177" s="3" t="s">
        <v>74</v>
      </c>
      <c r="BI177" s="3">
        <v>11</v>
      </c>
      <c r="BJ177" s="3" t="s">
        <v>3862</v>
      </c>
      <c r="BK177" s="3" t="s">
        <v>208</v>
      </c>
      <c r="BL177" s="3" t="s">
        <v>3863</v>
      </c>
      <c r="BM177" s="3" t="s">
        <v>3864</v>
      </c>
      <c r="BN177" s="3" t="s">
        <v>74</v>
      </c>
      <c r="BO177" s="3" t="s">
        <v>74</v>
      </c>
      <c r="BP177" s="3" t="s">
        <v>74</v>
      </c>
      <c r="BQ177" s="3" t="s">
        <v>74</v>
      </c>
      <c r="BR177" s="3" t="s">
        <v>101</v>
      </c>
      <c r="BS177" s="3" t="s">
        <v>3865</v>
      </c>
      <c r="BT177" s="3" t="str">
        <f>HYPERLINK("https%3A%2F%2Fwww.webofscience.com%2Fwos%2Fwoscc%2Ffull-record%2FWOS:001576256300018","View Full Record in Web of Science")</f>
        <v>View Full Record in Web of Science</v>
      </c>
      <c r="BU177" s="3"/>
      <c r="BV177" s="3"/>
      <c r="BW177" s="1"/>
    </row>
    <row r="178" spans="1:75" x14ac:dyDescent="0.25">
      <c r="A178" s="3" t="s">
        <v>72</v>
      </c>
      <c r="B178" s="3" t="s">
        <v>3866</v>
      </c>
      <c r="C178" s="3" t="s">
        <v>74</v>
      </c>
      <c r="D178" s="3" t="s">
        <v>74</v>
      </c>
      <c r="E178" s="3" t="s">
        <v>74</v>
      </c>
      <c r="F178" s="3" t="s">
        <v>3867</v>
      </c>
      <c r="G178" s="3" t="s">
        <v>74</v>
      </c>
      <c r="H178" s="3" t="s">
        <v>74</v>
      </c>
      <c r="I178" s="3" t="s">
        <v>3868</v>
      </c>
      <c r="J178" s="3" t="s">
        <v>138</v>
      </c>
      <c r="K178" s="3" t="s">
        <v>74</v>
      </c>
      <c r="L178" s="3" t="s">
        <v>74</v>
      </c>
      <c r="M178" s="3" t="s">
        <v>110</v>
      </c>
      <c r="N178" s="3" t="s">
        <v>79</v>
      </c>
      <c r="O178" s="3" t="s">
        <v>74</v>
      </c>
      <c r="P178" s="3" t="s">
        <v>74</v>
      </c>
      <c r="Q178" s="3" t="s">
        <v>74</v>
      </c>
      <c r="R178" s="3" t="s">
        <v>74</v>
      </c>
      <c r="S178" s="3" t="s">
        <v>74</v>
      </c>
      <c r="T178" s="3" t="s">
        <v>3869</v>
      </c>
      <c r="U178" s="3" t="s">
        <v>3870</v>
      </c>
      <c r="V178" s="3" t="s">
        <v>3871</v>
      </c>
      <c r="W178" s="3" t="s">
        <v>3872</v>
      </c>
      <c r="X178" s="3" t="s">
        <v>3873</v>
      </c>
      <c r="Y178" s="3" t="s">
        <v>3874</v>
      </c>
      <c r="Z178" s="3" t="s">
        <v>3875</v>
      </c>
      <c r="AA178" s="3" t="s">
        <v>3876</v>
      </c>
      <c r="AB178" s="3" t="s">
        <v>3877</v>
      </c>
      <c r="AC178" s="3" t="s">
        <v>74</v>
      </c>
      <c r="AD178" s="3" t="s">
        <v>74</v>
      </c>
      <c r="AE178" s="3" t="s">
        <v>74</v>
      </c>
      <c r="AF178" s="3" t="s">
        <v>74</v>
      </c>
      <c r="AG178" s="3">
        <v>31</v>
      </c>
      <c r="AH178" s="3">
        <v>37</v>
      </c>
      <c r="AI178" s="3">
        <v>44</v>
      </c>
      <c r="AJ178" s="3">
        <v>3</v>
      </c>
      <c r="AK178" s="3">
        <v>69</v>
      </c>
      <c r="AL178" s="3" t="s">
        <v>145</v>
      </c>
      <c r="AM178" s="3" t="s">
        <v>146</v>
      </c>
      <c r="AN178" s="3" t="s">
        <v>279</v>
      </c>
      <c r="AO178" s="3" t="s">
        <v>74</v>
      </c>
      <c r="AP178" s="3" t="s">
        <v>148</v>
      </c>
      <c r="AQ178" s="3" t="s">
        <v>74</v>
      </c>
      <c r="AR178" s="3" t="s">
        <v>149</v>
      </c>
      <c r="AS178" s="3" t="s">
        <v>150</v>
      </c>
      <c r="AT178" s="3" t="s">
        <v>176</v>
      </c>
      <c r="AU178" s="3">
        <v>2020</v>
      </c>
      <c r="AV178" s="3">
        <v>12</v>
      </c>
      <c r="AW178" s="3">
        <v>12</v>
      </c>
      <c r="AX178" s="3" t="s">
        <v>74</v>
      </c>
      <c r="AY178" s="3" t="s">
        <v>74</v>
      </c>
      <c r="AZ178" s="3" t="s">
        <v>74</v>
      </c>
      <c r="BA178" s="3" t="s">
        <v>74</v>
      </c>
      <c r="BB178" s="3" t="s">
        <v>74</v>
      </c>
      <c r="BC178" s="3" t="s">
        <v>74</v>
      </c>
      <c r="BD178" s="3">
        <v>4947</v>
      </c>
      <c r="BE178" s="3" t="s">
        <v>3878</v>
      </c>
      <c r="BF178" s="3" t="str">
        <f>HYPERLINK("http://dx.doi.org/10.3390/su12124947","http://dx.doi.org/10.3390/su12124947")</f>
        <v>http://dx.doi.org/10.3390/su12124947</v>
      </c>
      <c r="BG178" s="3" t="s">
        <v>74</v>
      </c>
      <c r="BH178" s="3" t="s">
        <v>74</v>
      </c>
      <c r="BI178" s="3">
        <v>16</v>
      </c>
      <c r="BJ178" s="3" t="s">
        <v>153</v>
      </c>
      <c r="BK178" s="3" t="s">
        <v>154</v>
      </c>
      <c r="BL178" s="3" t="s">
        <v>155</v>
      </c>
      <c r="BM178" s="3" t="s">
        <v>3879</v>
      </c>
      <c r="BN178" s="3" t="s">
        <v>74</v>
      </c>
      <c r="BO178" s="3" t="s">
        <v>133</v>
      </c>
      <c r="BP178" s="3" t="s">
        <v>74</v>
      </c>
      <c r="BQ178" s="3" t="s">
        <v>74</v>
      </c>
      <c r="BR178" s="3" t="s">
        <v>101</v>
      </c>
      <c r="BS178" s="3" t="s">
        <v>3880</v>
      </c>
      <c r="BT178" s="3" t="str">
        <f>HYPERLINK("https%3A%2F%2Fwww.webofscience.com%2Fwos%2Fwoscc%2Ffull-record%2FWOS:000550303500001","View Full Record in Web of Science")</f>
        <v>View Full Record in Web of Science</v>
      </c>
      <c r="BU178" s="3"/>
      <c r="BV178" s="3"/>
      <c r="BW178" s="1"/>
    </row>
    <row r="179" spans="1:75" x14ac:dyDescent="0.25">
      <c r="A179" s="3" t="s">
        <v>72</v>
      </c>
      <c r="B179" s="3" t="s">
        <v>3881</v>
      </c>
      <c r="C179" s="3" t="s">
        <v>74</v>
      </c>
      <c r="D179" s="3" t="s">
        <v>74</v>
      </c>
      <c r="E179" s="3" t="s">
        <v>74</v>
      </c>
      <c r="F179" s="3" t="s">
        <v>3882</v>
      </c>
      <c r="G179" s="3" t="s">
        <v>74</v>
      </c>
      <c r="H179" s="3" t="s">
        <v>74</v>
      </c>
      <c r="I179" s="3" t="s">
        <v>3883</v>
      </c>
      <c r="J179" s="3" t="s">
        <v>138</v>
      </c>
      <c r="K179" s="3" t="s">
        <v>74</v>
      </c>
      <c r="L179" s="3" t="s">
        <v>74</v>
      </c>
      <c r="M179" s="3" t="s">
        <v>110</v>
      </c>
      <c r="N179" s="3" t="s">
        <v>79</v>
      </c>
      <c r="O179" s="3" t="s">
        <v>74</v>
      </c>
      <c r="P179" s="3" t="s">
        <v>74</v>
      </c>
      <c r="Q179" s="3" t="s">
        <v>74</v>
      </c>
      <c r="R179" s="3" t="s">
        <v>74</v>
      </c>
      <c r="S179" s="3" t="s">
        <v>74</v>
      </c>
      <c r="T179" s="3" t="s">
        <v>3884</v>
      </c>
      <c r="U179" s="3" t="s">
        <v>3885</v>
      </c>
      <c r="V179" s="3" t="s">
        <v>3886</v>
      </c>
      <c r="W179" s="3" t="s">
        <v>3887</v>
      </c>
      <c r="X179" s="3" t="s">
        <v>3888</v>
      </c>
      <c r="Y179" s="3" t="s">
        <v>3889</v>
      </c>
      <c r="Z179" s="3" t="s">
        <v>3890</v>
      </c>
      <c r="AA179" s="3" t="s">
        <v>3891</v>
      </c>
      <c r="AB179" s="3" t="s">
        <v>3892</v>
      </c>
      <c r="AC179" s="3" t="s">
        <v>3893</v>
      </c>
      <c r="AD179" s="3" t="s">
        <v>3893</v>
      </c>
      <c r="AE179" s="3" t="s">
        <v>3894</v>
      </c>
      <c r="AF179" s="3" t="s">
        <v>74</v>
      </c>
      <c r="AG179" s="3">
        <v>40</v>
      </c>
      <c r="AH179" s="3">
        <v>30</v>
      </c>
      <c r="AI179" s="3">
        <v>31</v>
      </c>
      <c r="AJ179" s="3">
        <v>2</v>
      </c>
      <c r="AK179" s="3">
        <v>56</v>
      </c>
      <c r="AL179" s="3" t="s">
        <v>145</v>
      </c>
      <c r="AM179" s="3" t="s">
        <v>146</v>
      </c>
      <c r="AN179" s="3" t="s">
        <v>279</v>
      </c>
      <c r="AO179" s="3" t="s">
        <v>74</v>
      </c>
      <c r="AP179" s="3" t="s">
        <v>148</v>
      </c>
      <c r="AQ179" s="3" t="s">
        <v>74</v>
      </c>
      <c r="AR179" s="3" t="s">
        <v>149</v>
      </c>
      <c r="AS179" s="3" t="s">
        <v>150</v>
      </c>
      <c r="AT179" s="3" t="s">
        <v>333</v>
      </c>
      <c r="AU179" s="3">
        <v>2020</v>
      </c>
      <c r="AV179" s="3">
        <v>12</v>
      </c>
      <c r="AW179" s="3">
        <v>17</v>
      </c>
      <c r="AX179" s="3" t="s">
        <v>74</v>
      </c>
      <c r="AY179" s="3" t="s">
        <v>74</v>
      </c>
      <c r="AZ179" s="3" t="s">
        <v>74</v>
      </c>
      <c r="BA179" s="3" t="s">
        <v>74</v>
      </c>
      <c r="BB179" s="3" t="s">
        <v>74</v>
      </c>
      <c r="BC179" s="3" t="s">
        <v>74</v>
      </c>
      <c r="BD179" s="3">
        <v>7213</v>
      </c>
      <c r="BE179" s="3" t="s">
        <v>3895</v>
      </c>
      <c r="BF179" s="3" t="str">
        <f>HYPERLINK("http://dx.doi.org/10.3390/su12177213","http://dx.doi.org/10.3390/su12177213")</f>
        <v>http://dx.doi.org/10.3390/su12177213</v>
      </c>
      <c r="BG179" s="3" t="s">
        <v>74</v>
      </c>
      <c r="BH179" s="3" t="s">
        <v>74</v>
      </c>
      <c r="BI179" s="3">
        <v>22</v>
      </c>
      <c r="BJ179" s="3" t="s">
        <v>153</v>
      </c>
      <c r="BK179" s="3" t="s">
        <v>154</v>
      </c>
      <c r="BL179" s="3" t="s">
        <v>155</v>
      </c>
      <c r="BM179" s="3" t="s">
        <v>3896</v>
      </c>
      <c r="BN179" s="3" t="s">
        <v>74</v>
      </c>
      <c r="BO179" s="3" t="s">
        <v>133</v>
      </c>
      <c r="BP179" s="3" t="s">
        <v>74</v>
      </c>
      <c r="BQ179" s="3" t="s">
        <v>74</v>
      </c>
      <c r="BR179" s="3" t="s">
        <v>101</v>
      </c>
      <c r="BS179" s="3" t="s">
        <v>3897</v>
      </c>
      <c r="BT179" s="3" t="str">
        <f>HYPERLINK("https%3A%2F%2Fwww.webofscience.com%2Fwos%2Fwoscc%2Ffull-record%2FWOS:000569814300001","View Full Record in Web of Science")</f>
        <v>View Full Record in Web of Science</v>
      </c>
      <c r="BU179" s="3"/>
      <c r="BV179" s="3"/>
      <c r="BW179" s="1"/>
    </row>
    <row r="180" spans="1:75" x14ac:dyDescent="0.25">
      <c r="A180" s="3" t="s">
        <v>72</v>
      </c>
      <c r="B180" s="3" t="s">
        <v>3898</v>
      </c>
      <c r="C180" s="3" t="s">
        <v>74</v>
      </c>
      <c r="D180" s="3" t="s">
        <v>74</v>
      </c>
      <c r="E180" s="3" t="s">
        <v>74</v>
      </c>
      <c r="F180" s="3" t="s">
        <v>3899</v>
      </c>
      <c r="G180" s="3" t="s">
        <v>74</v>
      </c>
      <c r="H180" s="3" t="s">
        <v>74</v>
      </c>
      <c r="I180" s="3" t="s">
        <v>3900</v>
      </c>
      <c r="J180" s="3" t="s">
        <v>3901</v>
      </c>
      <c r="K180" s="3" t="s">
        <v>74</v>
      </c>
      <c r="L180" s="3" t="s">
        <v>74</v>
      </c>
      <c r="M180" s="3" t="s">
        <v>110</v>
      </c>
      <c r="N180" s="3" t="s">
        <v>79</v>
      </c>
      <c r="O180" s="3" t="s">
        <v>74</v>
      </c>
      <c r="P180" s="3" t="s">
        <v>74</v>
      </c>
      <c r="Q180" s="3" t="s">
        <v>74</v>
      </c>
      <c r="R180" s="3" t="s">
        <v>74</v>
      </c>
      <c r="S180" s="3" t="s">
        <v>74</v>
      </c>
      <c r="T180" s="3" t="s">
        <v>3902</v>
      </c>
      <c r="U180" s="3" t="s">
        <v>3903</v>
      </c>
      <c r="V180" s="3" t="s">
        <v>3904</v>
      </c>
      <c r="W180" s="3" t="s">
        <v>3905</v>
      </c>
      <c r="X180" s="3" t="s">
        <v>3906</v>
      </c>
      <c r="Y180" s="3" t="s">
        <v>3907</v>
      </c>
      <c r="Z180" s="3" t="s">
        <v>3908</v>
      </c>
      <c r="AA180" s="3" t="s">
        <v>74</v>
      </c>
      <c r="AB180" s="3" t="s">
        <v>74</v>
      </c>
      <c r="AC180" s="3" t="s">
        <v>3909</v>
      </c>
      <c r="AD180" s="3" t="s">
        <v>3910</v>
      </c>
      <c r="AE180" s="3" t="s">
        <v>3911</v>
      </c>
      <c r="AF180" s="3" t="s">
        <v>74</v>
      </c>
      <c r="AG180" s="3">
        <v>61</v>
      </c>
      <c r="AH180" s="3">
        <v>18</v>
      </c>
      <c r="AI180" s="3">
        <v>22</v>
      </c>
      <c r="AJ180" s="3">
        <v>2</v>
      </c>
      <c r="AK180" s="3">
        <v>25</v>
      </c>
      <c r="AL180" s="3" t="s">
        <v>506</v>
      </c>
      <c r="AM180" s="3" t="s">
        <v>200</v>
      </c>
      <c r="AN180" s="3" t="s">
        <v>2927</v>
      </c>
      <c r="AO180" s="3" t="s">
        <v>3912</v>
      </c>
      <c r="AP180" s="3" t="s">
        <v>3913</v>
      </c>
      <c r="AQ180" s="3" t="s">
        <v>74</v>
      </c>
      <c r="AR180" s="3" t="s">
        <v>3914</v>
      </c>
      <c r="AS180" s="3" t="s">
        <v>3915</v>
      </c>
      <c r="AT180" s="3" t="s">
        <v>260</v>
      </c>
      <c r="AU180" s="3">
        <v>2021</v>
      </c>
      <c r="AV180" s="3">
        <v>15</v>
      </c>
      <c r="AW180" s="3">
        <v>1</v>
      </c>
      <c r="AX180" s="3" t="s">
        <v>74</v>
      </c>
      <c r="AY180" s="3" t="s">
        <v>74</v>
      </c>
      <c r="AZ180" s="3" t="s">
        <v>74</v>
      </c>
      <c r="BA180" s="3" t="s">
        <v>74</v>
      </c>
      <c r="BB180" s="3" t="s">
        <v>74</v>
      </c>
      <c r="BC180" s="3" t="s">
        <v>74</v>
      </c>
      <c r="BD180" s="3">
        <v>6</v>
      </c>
      <c r="BE180" s="3" t="s">
        <v>3916</v>
      </c>
      <c r="BF180" s="3" t="str">
        <f>HYPERLINK("http://dx.doi.org/10.1145/3417337","http://dx.doi.org/10.1145/3417337")</f>
        <v>http://dx.doi.org/10.1145/3417337</v>
      </c>
      <c r="BG180" s="3" t="s">
        <v>74</v>
      </c>
      <c r="BH180" s="3" t="s">
        <v>74</v>
      </c>
      <c r="BI180" s="3">
        <v>27</v>
      </c>
      <c r="BJ180" s="3" t="s">
        <v>3917</v>
      </c>
      <c r="BK180" s="3" t="s">
        <v>179</v>
      </c>
      <c r="BL180" s="3" t="s">
        <v>486</v>
      </c>
      <c r="BM180" s="3" t="s">
        <v>3918</v>
      </c>
      <c r="BN180" s="3" t="s">
        <v>74</v>
      </c>
      <c r="BO180" s="3" t="s">
        <v>74</v>
      </c>
      <c r="BP180" s="3" t="s">
        <v>74</v>
      </c>
      <c r="BQ180" s="3" t="s">
        <v>74</v>
      </c>
      <c r="BR180" s="3" t="s">
        <v>101</v>
      </c>
      <c r="BS180" s="3" t="s">
        <v>3919</v>
      </c>
      <c r="BT180" s="3" t="str">
        <f>HYPERLINK("https%3A%2F%2Fwww.webofscience.com%2Fwos%2Fwoscc%2Ffull-record%2FWOS:000606818300006","View Full Record in Web of Science")</f>
        <v>View Full Record in Web of Science</v>
      </c>
      <c r="BU180" s="3"/>
      <c r="BV180" s="3"/>
      <c r="BW180" s="1"/>
    </row>
    <row r="181" spans="1:75" x14ac:dyDescent="0.25">
      <c r="A181" s="3" t="s">
        <v>103</v>
      </c>
      <c r="B181" s="3" t="s">
        <v>3920</v>
      </c>
      <c r="C181" s="3" t="s">
        <v>74</v>
      </c>
      <c r="D181" s="3" t="s">
        <v>3921</v>
      </c>
      <c r="E181" s="3" t="s">
        <v>74</v>
      </c>
      <c r="F181" s="3" t="s">
        <v>3922</v>
      </c>
      <c r="G181" s="3" t="s">
        <v>74</v>
      </c>
      <c r="H181" s="3" t="s">
        <v>74</v>
      </c>
      <c r="I181" s="3" t="s">
        <v>3923</v>
      </c>
      <c r="J181" s="3" t="s">
        <v>3924</v>
      </c>
      <c r="K181" s="3" t="s">
        <v>3925</v>
      </c>
      <c r="L181" s="3" t="s">
        <v>74</v>
      </c>
      <c r="M181" s="3" t="s">
        <v>110</v>
      </c>
      <c r="N181" s="3" t="s">
        <v>111</v>
      </c>
      <c r="O181" s="3" t="s">
        <v>3926</v>
      </c>
      <c r="P181" s="3" t="s">
        <v>3927</v>
      </c>
      <c r="Q181" s="3" t="s">
        <v>642</v>
      </c>
      <c r="R181" s="3" t="s">
        <v>74</v>
      </c>
      <c r="S181" s="3" t="s">
        <v>74</v>
      </c>
      <c r="T181" s="3" t="s">
        <v>74</v>
      </c>
      <c r="U181" s="3" t="s">
        <v>74</v>
      </c>
      <c r="V181" s="3" t="s">
        <v>3928</v>
      </c>
      <c r="W181" s="3" t="s">
        <v>3929</v>
      </c>
      <c r="X181" s="3" t="s">
        <v>3930</v>
      </c>
      <c r="Y181" s="3" t="s">
        <v>3931</v>
      </c>
      <c r="Z181" s="3" t="s">
        <v>74</v>
      </c>
      <c r="AA181" s="3" t="s">
        <v>74</v>
      </c>
      <c r="AB181" s="3" t="s">
        <v>3932</v>
      </c>
      <c r="AC181" s="3" t="s">
        <v>74</v>
      </c>
      <c r="AD181" s="3" t="s">
        <v>74</v>
      </c>
      <c r="AE181" s="3" t="s">
        <v>74</v>
      </c>
      <c r="AF181" s="3" t="s">
        <v>74</v>
      </c>
      <c r="AG181" s="3">
        <v>10</v>
      </c>
      <c r="AH181" s="3">
        <v>2</v>
      </c>
      <c r="AI181" s="3">
        <v>2</v>
      </c>
      <c r="AJ181" s="3">
        <v>1</v>
      </c>
      <c r="AK181" s="3">
        <v>8</v>
      </c>
      <c r="AL181" s="3" t="s">
        <v>374</v>
      </c>
      <c r="AM181" s="3" t="s">
        <v>375</v>
      </c>
      <c r="AN181" s="3" t="s">
        <v>376</v>
      </c>
      <c r="AO181" s="3" t="s">
        <v>3933</v>
      </c>
      <c r="AP181" s="3" t="s">
        <v>3934</v>
      </c>
      <c r="AQ181" s="3" t="s">
        <v>3935</v>
      </c>
      <c r="AR181" s="3" t="s">
        <v>3936</v>
      </c>
      <c r="AS181" s="3" t="s">
        <v>74</v>
      </c>
      <c r="AT181" s="3" t="s">
        <v>74</v>
      </c>
      <c r="AU181" s="3">
        <v>2022</v>
      </c>
      <c r="AV181" s="3">
        <v>235</v>
      </c>
      <c r="AW181" s="3" t="s">
        <v>74</v>
      </c>
      <c r="AX181" s="3" t="s">
        <v>74</v>
      </c>
      <c r="AY181" s="3" t="s">
        <v>74</v>
      </c>
      <c r="AZ181" s="3" t="s">
        <v>74</v>
      </c>
      <c r="BA181" s="3" t="s">
        <v>74</v>
      </c>
      <c r="BB181" s="3">
        <v>55</v>
      </c>
      <c r="BC181" s="3">
        <v>67</v>
      </c>
      <c r="BD181" s="3" t="s">
        <v>74</v>
      </c>
      <c r="BE181" s="3" t="s">
        <v>3937</v>
      </c>
      <c r="BF181" s="3" t="str">
        <f>HYPERLINK("http://dx.doi.org/10.1007/978-981-16-2877-1_6","http://dx.doi.org/10.1007/978-981-16-2877-1_6")</f>
        <v>http://dx.doi.org/10.1007/978-981-16-2877-1_6</v>
      </c>
      <c r="BG181" s="3" t="s">
        <v>74</v>
      </c>
      <c r="BH181" s="3" t="s">
        <v>74</v>
      </c>
      <c r="BI181" s="3">
        <v>13</v>
      </c>
      <c r="BJ181" s="3" t="s">
        <v>3938</v>
      </c>
      <c r="BK181" s="3" t="s">
        <v>208</v>
      </c>
      <c r="BL181" s="3" t="s">
        <v>486</v>
      </c>
      <c r="BM181" s="3" t="s">
        <v>3939</v>
      </c>
      <c r="BN181" s="3" t="s">
        <v>74</v>
      </c>
      <c r="BO181" s="3" t="s">
        <v>74</v>
      </c>
      <c r="BP181" s="3" t="s">
        <v>74</v>
      </c>
      <c r="BQ181" s="3" t="s">
        <v>74</v>
      </c>
      <c r="BR181" s="3" t="s">
        <v>101</v>
      </c>
      <c r="BS181" s="3" t="s">
        <v>3940</v>
      </c>
      <c r="BT181" s="3" t="str">
        <f>HYPERLINK("https%3A%2F%2Fwww.webofscience.com%2Fwos%2Fwoscc%2Ffull-record%2FWOS:000792444300006","View Full Record in Web of Science")</f>
        <v>View Full Record in Web of Science</v>
      </c>
      <c r="BU181" s="3"/>
      <c r="BV181" s="3"/>
      <c r="BW181" s="1"/>
    </row>
    <row r="182" spans="1:75" x14ac:dyDescent="0.25">
      <c r="A182" s="3" t="s">
        <v>103</v>
      </c>
      <c r="B182" s="3" t="s">
        <v>3941</v>
      </c>
      <c r="C182" s="3" t="s">
        <v>74</v>
      </c>
      <c r="D182" s="3" t="s">
        <v>74</v>
      </c>
      <c r="E182" s="3" t="s">
        <v>199</v>
      </c>
      <c r="F182" s="3" t="s">
        <v>3942</v>
      </c>
      <c r="G182" s="3" t="s">
        <v>74</v>
      </c>
      <c r="H182" s="3" t="s">
        <v>74</v>
      </c>
      <c r="I182" s="3" t="s">
        <v>3943</v>
      </c>
      <c r="J182" s="3" t="s">
        <v>3944</v>
      </c>
      <c r="K182" s="3" t="s">
        <v>74</v>
      </c>
      <c r="L182" s="3" t="s">
        <v>74</v>
      </c>
      <c r="M182" s="3" t="s">
        <v>110</v>
      </c>
      <c r="N182" s="3" t="s">
        <v>111</v>
      </c>
      <c r="O182" s="3" t="s">
        <v>3093</v>
      </c>
      <c r="P182" s="3" t="s">
        <v>3945</v>
      </c>
      <c r="Q182" s="3" t="s">
        <v>3946</v>
      </c>
      <c r="R182" s="3" t="s">
        <v>74</v>
      </c>
      <c r="S182" s="3" t="s">
        <v>74</v>
      </c>
      <c r="T182" s="3" t="s">
        <v>3096</v>
      </c>
      <c r="U182" s="3" t="s">
        <v>74</v>
      </c>
      <c r="V182" s="3" t="s">
        <v>3947</v>
      </c>
      <c r="W182" s="3" t="s">
        <v>3948</v>
      </c>
      <c r="X182" s="3" t="s">
        <v>74</v>
      </c>
      <c r="Y182" s="3" t="s">
        <v>3949</v>
      </c>
      <c r="Z182" s="3" t="s">
        <v>74</v>
      </c>
      <c r="AA182" s="3" t="s">
        <v>3950</v>
      </c>
      <c r="AB182" s="3" t="s">
        <v>74</v>
      </c>
      <c r="AC182" s="3" t="s">
        <v>74</v>
      </c>
      <c r="AD182" s="3" t="s">
        <v>74</v>
      </c>
      <c r="AE182" s="3" t="s">
        <v>74</v>
      </c>
      <c r="AF182" s="3" t="s">
        <v>74</v>
      </c>
      <c r="AG182" s="3">
        <v>64</v>
      </c>
      <c r="AH182" s="3">
        <v>1</v>
      </c>
      <c r="AI182" s="3">
        <v>1</v>
      </c>
      <c r="AJ182" s="3">
        <v>0</v>
      </c>
      <c r="AK182" s="3">
        <v>1</v>
      </c>
      <c r="AL182" s="3" t="s">
        <v>3951</v>
      </c>
      <c r="AM182" s="3" t="s">
        <v>3952</v>
      </c>
      <c r="AN182" s="3" t="s">
        <v>3953</v>
      </c>
      <c r="AO182" s="3" t="s">
        <v>74</v>
      </c>
      <c r="AP182" s="3" t="s">
        <v>74</v>
      </c>
      <c r="AQ182" s="3" t="s">
        <v>3954</v>
      </c>
      <c r="AR182" s="3" t="s">
        <v>74</v>
      </c>
      <c r="AS182" s="3" t="s">
        <v>74</v>
      </c>
      <c r="AT182" s="3" t="s">
        <v>74</v>
      </c>
      <c r="AU182" s="3">
        <v>2022</v>
      </c>
      <c r="AV182" s="3" t="s">
        <v>74</v>
      </c>
      <c r="AW182" s="3" t="s">
        <v>74</v>
      </c>
      <c r="AX182" s="3" t="s">
        <v>74</v>
      </c>
      <c r="AY182" s="3" t="s">
        <v>74</v>
      </c>
      <c r="AZ182" s="3" t="s">
        <v>74</v>
      </c>
      <c r="BA182" s="3" t="s">
        <v>74</v>
      </c>
      <c r="BB182" s="3" t="s">
        <v>74</v>
      </c>
      <c r="BC182" s="3" t="s">
        <v>74</v>
      </c>
      <c r="BD182" s="3" t="s">
        <v>74</v>
      </c>
      <c r="BE182" s="3" t="s">
        <v>74</v>
      </c>
      <c r="BF182" s="3" t="s">
        <v>74</v>
      </c>
      <c r="BG182" s="3" t="s">
        <v>74</v>
      </c>
      <c r="BH182" s="3" t="s">
        <v>74</v>
      </c>
      <c r="BI182" s="3">
        <v>154</v>
      </c>
      <c r="BJ182" s="3" t="s">
        <v>3955</v>
      </c>
      <c r="BK182" s="3" t="s">
        <v>208</v>
      </c>
      <c r="BL182" s="3" t="s">
        <v>3955</v>
      </c>
      <c r="BM182" s="3" t="s">
        <v>3956</v>
      </c>
      <c r="BN182" s="3" t="s">
        <v>74</v>
      </c>
      <c r="BO182" s="3" t="s">
        <v>74</v>
      </c>
      <c r="BP182" s="3" t="s">
        <v>74</v>
      </c>
      <c r="BQ182" s="3" t="s">
        <v>74</v>
      </c>
      <c r="BR182" s="3" t="s">
        <v>101</v>
      </c>
      <c r="BS182" s="3" t="s">
        <v>3957</v>
      </c>
      <c r="BT182" s="3" t="str">
        <f>HYPERLINK("https%3A%2F%2Fwww.webofscience.com%2Fwos%2Fwoscc%2Ffull-record%2FWOS:000976972800015","View Full Record in Web of Science")</f>
        <v>View Full Record in Web of Science</v>
      </c>
      <c r="BU182" s="3"/>
      <c r="BV182" s="3"/>
      <c r="BW182" s="1"/>
    </row>
    <row r="183" spans="1:75" x14ac:dyDescent="0.25">
      <c r="A183" s="3" t="s">
        <v>72</v>
      </c>
      <c r="B183" s="3" t="s">
        <v>3958</v>
      </c>
      <c r="C183" s="3" t="s">
        <v>74</v>
      </c>
      <c r="D183" s="3" t="s">
        <v>74</v>
      </c>
      <c r="E183" s="3" t="s">
        <v>74</v>
      </c>
      <c r="F183" s="3" t="s">
        <v>3959</v>
      </c>
      <c r="G183" s="3" t="s">
        <v>74</v>
      </c>
      <c r="H183" s="3" t="s">
        <v>74</v>
      </c>
      <c r="I183" s="3" t="s">
        <v>3960</v>
      </c>
      <c r="J183" s="3" t="s">
        <v>3961</v>
      </c>
      <c r="K183" s="3" t="s">
        <v>74</v>
      </c>
      <c r="L183" s="3" t="s">
        <v>74</v>
      </c>
      <c r="M183" s="3" t="s">
        <v>110</v>
      </c>
      <c r="N183" s="3" t="s">
        <v>79</v>
      </c>
      <c r="O183" s="3" t="s">
        <v>74</v>
      </c>
      <c r="P183" s="3" t="s">
        <v>74</v>
      </c>
      <c r="Q183" s="3" t="s">
        <v>74</v>
      </c>
      <c r="R183" s="3" t="s">
        <v>74</v>
      </c>
      <c r="S183" s="3" t="s">
        <v>74</v>
      </c>
      <c r="T183" s="3" t="s">
        <v>3962</v>
      </c>
      <c r="U183" s="3" t="s">
        <v>3963</v>
      </c>
      <c r="V183" s="3" t="s">
        <v>3964</v>
      </c>
      <c r="W183" s="3" t="s">
        <v>3965</v>
      </c>
      <c r="X183" s="3" t="s">
        <v>3966</v>
      </c>
      <c r="Y183" s="3" t="s">
        <v>3967</v>
      </c>
      <c r="Z183" s="3" t="s">
        <v>3968</v>
      </c>
      <c r="AA183" s="3" t="s">
        <v>3969</v>
      </c>
      <c r="AB183" s="3" t="s">
        <v>3970</v>
      </c>
      <c r="AC183" s="3" t="s">
        <v>3971</v>
      </c>
      <c r="AD183" s="3" t="s">
        <v>3972</v>
      </c>
      <c r="AE183" s="3" t="s">
        <v>3973</v>
      </c>
      <c r="AF183" s="3" t="s">
        <v>74</v>
      </c>
      <c r="AG183" s="3">
        <v>67</v>
      </c>
      <c r="AH183" s="3">
        <v>13</v>
      </c>
      <c r="AI183" s="3">
        <v>16</v>
      </c>
      <c r="AJ183" s="3">
        <v>2</v>
      </c>
      <c r="AK183" s="3">
        <v>29</v>
      </c>
      <c r="AL183" s="3" t="s">
        <v>254</v>
      </c>
      <c r="AM183" s="3" t="s">
        <v>255</v>
      </c>
      <c r="AN183" s="3" t="s">
        <v>256</v>
      </c>
      <c r="AO183" s="3" t="s">
        <v>3974</v>
      </c>
      <c r="AP183" s="3" t="s">
        <v>3975</v>
      </c>
      <c r="AQ183" s="3" t="s">
        <v>74</v>
      </c>
      <c r="AR183" s="3" t="s">
        <v>3976</v>
      </c>
      <c r="AS183" s="3" t="s">
        <v>3977</v>
      </c>
      <c r="AT183" s="3" t="s">
        <v>151</v>
      </c>
      <c r="AU183" s="3">
        <v>2021</v>
      </c>
      <c r="AV183" s="3">
        <v>90</v>
      </c>
      <c r="AW183" s="3" t="s">
        <v>74</v>
      </c>
      <c r="AX183" s="3" t="s">
        <v>74</v>
      </c>
      <c r="AY183" s="3" t="s">
        <v>74</v>
      </c>
      <c r="AZ183" s="3" t="s">
        <v>74</v>
      </c>
      <c r="BA183" s="3" t="s">
        <v>74</v>
      </c>
      <c r="BB183" s="3" t="s">
        <v>74</v>
      </c>
      <c r="BC183" s="3" t="s">
        <v>74</v>
      </c>
      <c r="BD183" s="3">
        <v>101045</v>
      </c>
      <c r="BE183" s="3" t="s">
        <v>3978</v>
      </c>
      <c r="BF183" s="3" t="str">
        <f>HYPERLINK("http://dx.doi.org/10.1016/j.retrec.2021.101045","http://dx.doi.org/10.1016/j.retrec.2021.101045")</f>
        <v>http://dx.doi.org/10.1016/j.retrec.2021.101045</v>
      </c>
      <c r="BG183" s="3" t="s">
        <v>74</v>
      </c>
      <c r="BH183" s="3" t="s">
        <v>3759</v>
      </c>
      <c r="BI183" s="3">
        <v>10</v>
      </c>
      <c r="BJ183" s="3" t="s">
        <v>3979</v>
      </c>
      <c r="BK183" s="3" t="s">
        <v>264</v>
      </c>
      <c r="BL183" s="3" t="s">
        <v>1187</v>
      </c>
      <c r="BM183" s="3" t="s">
        <v>3980</v>
      </c>
      <c r="BN183" s="3" t="s">
        <v>74</v>
      </c>
      <c r="BO183" s="3" t="s">
        <v>74</v>
      </c>
      <c r="BP183" s="3" t="s">
        <v>74</v>
      </c>
      <c r="BQ183" s="3" t="s">
        <v>74</v>
      </c>
      <c r="BR183" s="3" t="s">
        <v>101</v>
      </c>
      <c r="BS183" s="3" t="s">
        <v>3981</v>
      </c>
      <c r="BT183" s="3" t="str">
        <f>HYPERLINK("https%3A%2F%2Fwww.webofscience.com%2Fwos%2Fwoscc%2Ffull-record%2FWOS:000729667200038","View Full Record in Web of Science")</f>
        <v>View Full Record in Web of Science</v>
      </c>
      <c r="BU183" s="3"/>
      <c r="BV183" s="3"/>
      <c r="BW183" s="1"/>
    </row>
    <row r="184" spans="1:75" x14ac:dyDescent="0.25">
      <c r="A184" s="3" t="s">
        <v>72</v>
      </c>
      <c r="B184" s="3" t="s">
        <v>3982</v>
      </c>
      <c r="C184" s="3" t="s">
        <v>74</v>
      </c>
      <c r="D184" s="3" t="s">
        <v>74</v>
      </c>
      <c r="E184" s="3" t="s">
        <v>74</v>
      </c>
      <c r="F184" s="3" t="s">
        <v>3983</v>
      </c>
      <c r="G184" s="3" t="s">
        <v>74</v>
      </c>
      <c r="H184" s="3" t="s">
        <v>74</v>
      </c>
      <c r="I184" s="3" t="s">
        <v>3984</v>
      </c>
      <c r="J184" s="3" t="s">
        <v>3985</v>
      </c>
      <c r="K184" s="3" t="s">
        <v>74</v>
      </c>
      <c r="L184" s="3" t="s">
        <v>74</v>
      </c>
      <c r="M184" s="3" t="s">
        <v>110</v>
      </c>
      <c r="N184" s="3" t="s">
        <v>79</v>
      </c>
      <c r="O184" s="3" t="s">
        <v>74</v>
      </c>
      <c r="P184" s="3" t="s">
        <v>74</v>
      </c>
      <c r="Q184" s="3" t="s">
        <v>74</v>
      </c>
      <c r="R184" s="3" t="s">
        <v>74</v>
      </c>
      <c r="S184" s="3" t="s">
        <v>74</v>
      </c>
      <c r="T184" s="3" t="s">
        <v>3986</v>
      </c>
      <c r="U184" s="3" t="s">
        <v>3987</v>
      </c>
      <c r="V184" s="3" t="s">
        <v>3988</v>
      </c>
      <c r="W184" s="3" t="s">
        <v>3989</v>
      </c>
      <c r="X184" s="3" t="s">
        <v>3990</v>
      </c>
      <c r="Y184" s="3" t="s">
        <v>3991</v>
      </c>
      <c r="Z184" s="3" t="s">
        <v>3992</v>
      </c>
      <c r="AA184" s="3" t="s">
        <v>3993</v>
      </c>
      <c r="AB184" s="3" t="s">
        <v>3994</v>
      </c>
      <c r="AC184" s="3" t="s">
        <v>74</v>
      </c>
      <c r="AD184" s="3" t="s">
        <v>74</v>
      </c>
      <c r="AE184" s="3" t="s">
        <v>74</v>
      </c>
      <c r="AF184" s="3" t="s">
        <v>74</v>
      </c>
      <c r="AG184" s="3">
        <v>28</v>
      </c>
      <c r="AH184" s="3">
        <v>44</v>
      </c>
      <c r="AI184" s="3">
        <v>47</v>
      </c>
      <c r="AJ184" s="3">
        <v>0</v>
      </c>
      <c r="AK184" s="3">
        <v>12</v>
      </c>
      <c r="AL184" s="3" t="s">
        <v>401</v>
      </c>
      <c r="AM184" s="3" t="s">
        <v>402</v>
      </c>
      <c r="AN184" s="3" t="s">
        <v>403</v>
      </c>
      <c r="AO184" s="3" t="s">
        <v>3995</v>
      </c>
      <c r="AP184" s="3" t="s">
        <v>3996</v>
      </c>
      <c r="AQ184" s="3" t="s">
        <v>74</v>
      </c>
      <c r="AR184" s="3" t="s">
        <v>3997</v>
      </c>
      <c r="AS184" s="3" t="s">
        <v>3998</v>
      </c>
      <c r="AT184" s="3" t="s">
        <v>3999</v>
      </c>
      <c r="AU184" s="3">
        <v>2019</v>
      </c>
      <c r="AV184" s="3">
        <v>32</v>
      </c>
      <c r="AW184" s="3">
        <v>16</v>
      </c>
      <c r="AX184" s="3" t="s">
        <v>74</v>
      </c>
      <c r="AY184" s="3" t="s">
        <v>74</v>
      </c>
      <c r="AZ184" s="3" t="s">
        <v>74</v>
      </c>
      <c r="BA184" s="3" t="s">
        <v>74</v>
      </c>
      <c r="BB184" s="3" t="s">
        <v>74</v>
      </c>
      <c r="BC184" s="3" t="s">
        <v>74</v>
      </c>
      <c r="BD184" s="3" t="s">
        <v>4000</v>
      </c>
      <c r="BE184" s="3" t="s">
        <v>4001</v>
      </c>
      <c r="BF184" s="3" t="str">
        <f>HYPERLINK("http://dx.doi.org/10.1002/dac.4137","http://dx.doi.org/10.1002/dac.4137")</f>
        <v>http://dx.doi.org/10.1002/dac.4137</v>
      </c>
      <c r="BG184" s="3" t="s">
        <v>74</v>
      </c>
      <c r="BH184" s="3" t="s">
        <v>4002</v>
      </c>
      <c r="BI184" s="3">
        <v>16</v>
      </c>
      <c r="BJ184" s="3" t="s">
        <v>1225</v>
      </c>
      <c r="BK184" s="3" t="s">
        <v>179</v>
      </c>
      <c r="BL184" s="3" t="s">
        <v>1226</v>
      </c>
      <c r="BM184" s="3" t="s">
        <v>4003</v>
      </c>
      <c r="BN184" s="3" t="s">
        <v>74</v>
      </c>
      <c r="BO184" s="3" t="s">
        <v>74</v>
      </c>
      <c r="BP184" s="3" t="s">
        <v>74</v>
      </c>
      <c r="BQ184" s="3" t="s">
        <v>74</v>
      </c>
      <c r="BR184" s="3" t="s">
        <v>101</v>
      </c>
      <c r="BS184" s="3" t="s">
        <v>4004</v>
      </c>
      <c r="BT184" s="3" t="str">
        <f>HYPERLINK("https%3A%2F%2Fwww.webofscience.com%2Fwos%2Fwoscc%2Ffull-record%2FWOS:000482820100001","View Full Record in Web of Science")</f>
        <v>View Full Record in Web of Science</v>
      </c>
      <c r="BU184" s="3"/>
      <c r="BV184" s="3"/>
      <c r="BW184" s="1"/>
    </row>
    <row r="185" spans="1:75" x14ac:dyDescent="0.25">
      <c r="A185" s="3" t="s">
        <v>72</v>
      </c>
      <c r="B185" s="3" t="s">
        <v>4005</v>
      </c>
      <c r="C185" s="3" t="s">
        <v>74</v>
      </c>
      <c r="D185" s="3" t="s">
        <v>74</v>
      </c>
      <c r="E185" s="3" t="s">
        <v>74</v>
      </c>
      <c r="F185" s="3" t="s">
        <v>4006</v>
      </c>
      <c r="G185" s="3" t="s">
        <v>74</v>
      </c>
      <c r="H185" s="3" t="s">
        <v>74</v>
      </c>
      <c r="I185" s="3" t="s">
        <v>4007</v>
      </c>
      <c r="J185" s="3" t="s">
        <v>1861</v>
      </c>
      <c r="K185" s="3" t="s">
        <v>74</v>
      </c>
      <c r="L185" s="3" t="s">
        <v>74</v>
      </c>
      <c r="M185" s="3" t="s">
        <v>110</v>
      </c>
      <c r="N185" s="3" t="s">
        <v>79</v>
      </c>
      <c r="O185" s="3" t="s">
        <v>74</v>
      </c>
      <c r="P185" s="3" t="s">
        <v>74</v>
      </c>
      <c r="Q185" s="3" t="s">
        <v>74</v>
      </c>
      <c r="R185" s="3" t="s">
        <v>74</v>
      </c>
      <c r="S185" s="3" t="s">
        <v>74</v>
      </c>
      <c r="T185" s="3" t="s">
        <v>4008</v>
      </c>
      <c r="U185" s="3" t="s">
        <v>4009</v>
      </c>
      <c r="V185" s="3" t="s">
        <v>4010</v>
      </c>
      <c r="W185" s="3" t="s">
        <v>4011</v>
      </c>
      <c r="X185" s="3" t="s">
        <v>4012</v>
      </c>
      <c r="Y185" s="3" t="s">
        <v>4013</v>
      </c>
      <c r="Z185" s="3" t="s">
        <v>4014</v>
      </c>
      <c r="AA185" s="3" t="s">
        <v>4015</v>
      </c>
      <c r="AB185" s="3" t="s">
        <v>4016</v>
      </c>
      <c r="AC185" s="3" t="s">
        <v>4017</v>
      </c>
      <c r="AD185" s="3" t="s">
        <v>4018</v>
      </c>
      <c r="AE185" s="3" t="s">
        <v>4019</v>
      </c>
      <c r="AF185" s="3" t="s">
        <v>74</v>
      </c>
      <c r="AG185" s="3">
        <v>21</v>
      </c>
      <c r="AH185" s="3">
        <v>9</v>
      </c>
      <c r="AI185" s="3">
        <v>10</v>
      </c>
      <c r="AJ185" s="3">
        <v>1</v>
      </c>
      <c r="AK185" s="3">
        <v>4</v>
      </c>
      <c r="AL185" s="3" t="s">
        <v>145</v>
      </c>
      <c r="AM185" s="3" t="s">
        <v>146</v>
      </c>
      <c r="AN185" s="3" t="s">
        <v>147</v>
      </c>
      <c r="AO185" s="3" t="s">
        <v>74</v>
      </c>
      <c r="AP185" s="3" t="s">
        <v>1873</v>
      </c>
      <c r="AQ185" s="3" t="s">
        <v>74</v>
      </c>
      <c r="AR185" s="3" t="s">
        <v>1874</v>
      </c>
      <c r="AS185" s="3" t="s">
        <v>1875</v>
      </c>
      <c r="AT185" s="3" t="s">
        <v>1164</v>
      </c>
      <c r="AU185" s="3">
        <v>2021</v>
      </c>
      <c r="AV185" s="3">
        <v>11</v>
      </c>
      <c r="AW185" s="3">
        <v>20</v>
      </c>
      <c r="AX185" s="3" t="s">
        <v>74</v>
      </c>
      <c r="AY185" s="3" t="s">
        <v>74</v>
      </c>
      <c r="AZ185" s="3" t="s">
        <v>74</v>
      </c>
      <c r="BA185" s="3" t="s">
        <v>74</v>
      </c>
      <c r="BB185" s="3" t="s">
        <v>74</v>
      </c>
      <c r="BC185" s="3" t="s">
        <v>74</v>
      </c>
      <c r="BD185" s="3">
        <v>9700</v>
      </c>
      <c r="BE185" s="3" t="s">
        <v>4020</v>
      </c>
      <c r="BF185" s="3" t="str">
        <f>HYPERLINK("http://dx.doi.org/10.3390/app11209700","http://dx.doi.org/10.3390/app11209700")</f>
        <v>http://dx.doi.org/10.3390/app11209700</v>
      </c>
      <c r="BG185" s="3" t="s">
        <v>74</v>
      </c>
      <c r="BH185" s="3" t="s">
        <v>74</v>
      </c>
      <c r="BI185" s="3">
        <v>17</v>
      </c>
      <c r="BJ185" s="3" t="s">
        <v>1877</v>
      </c>
      <c r="BK185" s="3" t="s">
        <v>179</v>
      </c>
      <c r="BL185" s="3" t="s">
        <v>1878</v>
      </c>
      <c r="BM185" s="3" t="s">
        <v>4021</v>
      </c>
      <c r="BN185" s="3" t="s">
        <v>74</v>
      </c>
      <c r="BO185" s="3" t="s">
        <v>133</v>
      </c>
      <c r="BP185" s="3" t="s">
        <v>74</v>
      </c>
      <c r="BQ185" s="3" t="s">
        <v>74</v>
      </c>
      <c r="BR185" s="3" t="s">
        <v>101</v>
      </c>
      <c r="BS185" s="3" t="s">
        <v>4022</v>
      </c>
      <c r="BT185" s="3" t="str">
        <f>HYPERLINK("https%3A%2F%2Fwww.webofscience.com%2Fwos%2Fwoscc%2Ffull-record%2FWOS:000714567500001","View Full Record in Web of Science")</f>
        <v>View Full Record in Web of Science</v>
      </c>
      <c r="BU185" s="3"/>
      <c r="BV185" s="3"/>
      <c r="BW185" s="1"/>
    </row>
    <row r="186" spans="1:75" x14ac:dyDescent="0.25">
      <c r="A186" s="3" t="s">
        <v>72</v>
      </c>
      <c r="B186" s="3" t="s">
        <v>4023</v>
      </c>
      <c r="C186" s="3" t="s">
        <v>74</v>
      </c>
      <c r="D186" s="3" t="s">
        <v>74</v>
      </c>
      <c r="E186" s="3" t="s">
        <v>74</v>
      </c>
      <c r="F186" s="3" t="s">
        <v>4024</v>
      </c>
      <c r="G186" s="3" t="s">
        <v>74</v>
      </c>
      <c r="H186" s="3" t="s">
        <v>74</v>
      </c>
      <c r="I186" s="3" t="s">
        <v>4025</v>
      </c>
      <c r="J186" s="3" t="s">
        <v>3428</v>
      </c>
      <c r="K186" s="3" t="s">
        <v>74</v>
      </c>
      <c r="L186" s="3" t="s">
        <v>74</v>
      </c>
      <c r="M186" s="3" t="s">
        <v>110</v>
      </c>
      <c r="N186" s="3" t="s">
        <v>79</v>
      </c>
      <c r="O186" s="3" t="s">
        <v>74</v>
      </c>
      <c r="P186" s="3" t="s">
        <v>74</v>
      </c>
      <c r="Q186" s="3" t="s">
        <v>74</v>
      </c>
      <c r="R186" s="3" t="s">
        <v>74</v>
      </c>
      <c r="S186" s="3" t="s">
        <v>74</v>
      </c>
      <c r="T186" s="3" t="s">
        <v>4026</v>
      </c>
      <c r="U186" s="3" t="s">
        <v>4027</v>
      </c>
      <c r="V186" s="3" t="s">
        <v>4028</v>
      </c>
      <c r="W186" s="3" t="s">
        <v>4029</v>
      </c>
      <c r="X186" s="3" t="s">
        <v>4030</v>
      </c>
      <c r="Y186" s="3" t="s">
        <v>4031</v>
      </c>
      <c r="Z186" s="3" t="s">
        <v>4032</v>
      </c>
      <c r="AA186" s="3" t="s">
        <v>4033</v>
      </c>
      <c r="AB186" s="3" t="s">
        <v>4034</v>
      </c>
      <c r="AC186" s="3" t="s">
        <v>4035</v>
      </c>
      <c r="AD186" s="3" t="s">
        <v>4036</v>
      </c>
      <c r="AE186" s="3" t="s">
        <v>4037</v>
      </c>
      <c r="AF186" s="3" t="s">
        <v>74</v>
      </c>
      <c r="AG186" s="3">
        <v>18</v>
      </c>
      <c r="AH186" s="3">
        <v>9</v>
      </c>
      <c r="AI186" s="3">
        <v>9</v>
      </c>
      <c r="AJ186" s="3">
        <v>2</v>
      </c>
      <c r="AK186" s="3">
        <v>32</v>
      </c>
      <c r="AL186" s="3" t="s">
        <v>145</v>
      </c>
      <c r="AM186" s="3" t="s">
        <v>146</v>
      </c>
      <c r="AN186" s="3" t="s">
        <v>147</v>
      </c>
      <c r="AO186" s="3" t="s">
        <v>3441</v>
      </c>
      <c r="AP186" s="3" t="s">
        <v>74</v>
      </c>
      <c r="AQ186" s="3" t="s">
        <v>74</v>
      </c>
      <c r="AR186" s="3" t="s">
        <v>3442</v>
      </c>
      <c r="AS186" s="3" t="s">
        <v>3443</v>
      </c>
      <c r="AT186" s="3" t="s">
        <v>283</v>
      </c>
      <c r="AU186" s="3">
        <v>2021</v>
      </c>
      <c r="AV186" s="3">
        <v>10</v>
      </c>
      <c r="AW186" s="3">
        <v>15</v>
      </c>
      <c r="AX186" s="3" t="s">
        <v>74</v>
      </c>
      <c r="AY186" s="3" t="s">
        <v>74</v>
      </c>
      <c r="AZ186" s="3" t="s">
        <v>74</v>
      </c>
      <c r="BA186" s="3" t="s">
        <v>74</v>
      </c>
      <c r="BB186" s="3" t="s">
        <v>74</v>
      </c>
      <c r="BC186" s="3" t="s">
        <v>74</v>
      </c>
      <c r="BD186" s="3">
        <v>1753</v>
      </c>
      <c r="BE186" s="3" t="s">
        <v>4038</v>
      </c>
      <c r="BF186" s="3" t="str">
        <f>HYPERLINK("http://dx.doi.org/10.3390/electronics10151753","http://dx.doi.org/10.3390/electronics10151753")</f>
        <v>http://dx.doi.org/10.3390/electronics10151753</v>
      </c>
      <c r="BG186" s="3" t="s">
        <v>74</v>
      </c>
      <c r="BH186" s="3" t="s">
        <v>74</v>
      </c>
      <c r="BI186" s="3">
        <v>29</v>
      </c>
      <c r="BJ186" s="3" t="s">
        <v>3445</v>
      </c>
      <c r="BK186" s="3" t="s">
        <v>179</v>
      </c>
      <c r="BL186" s="3" t="s">
        <v>3446</v>
      </c>
      <c r="BM186" s="3" t="s">
        <v>4039</v>
      </c>
      <c r="BN186" s="3" t="s">
        <v>74</v>
      </c>
      <c r="BO186" s="3" t="s">
        <v>133</v>
      </c>
      <c r="BP186" s="3" t="s">
        <v>74</v>
      </c>
      <c r="BQ186" s="3" t="s">
        <v>74</v>
      </c>
      <c r="BR186" s="3" t="s">
        <v>101</v>
      </c>
      <c r="BS186" s="3" t="s">
        <v>4040</v>
      </c>
      <c r="BT186" s="3" t="str">
        <f>HYPERLINK("https%3A%2F%2Fwww.webofscience.com%2Fwos%2Fwoscc%2Ffull-record%2FWOS:000681863900001","View Full Record in Web of Science")</f>
        <v>View Full Record in Web of Science</v>
      </c>
      <c r="BU186" s="3"/>
      <c r="BV186" s="3"/>
      <c r="BW186" s="1"/>
    </row>
    <row r="187" spans="1:75" x14ac:dyDescent="0.25">
      <c r="A187" s="3" t="s">
        <v>103</v>
      </c>
      <c r="B187" s="3" t="s">
        <v>4041</v>
      </c>
      <c r="C187" s="3" t="s">
        <v>74</v>
      </c>
      <c r="D187" s="3" t="s">
        <v>74</v>
      </c>
      <c r="E187" s="3" t="s">
        <v>199</v>
      </c>
      <c r="F187" s="3" t="s">
        <v>4042</v>
      </c>
      <c r="G187" s="3" t="s">
        <v>74</v>
      </c>
      <c r="H187" s="3" t="s">
        <v>74</v>
      </c>
      <c r="I187" s="3" t="s">
        <v>4043</v>
      </c>
      <c r="J187" s="3" t="s">
        <v>4044</v>
      </c>
      <c r="K187" s="3" t="s">
        <v>4045</v>
      </c>
      <c r="L187" s="3" t="s">
        <v>74</v>
      </c>
      <c r="M187" s="3" t="s">
        <v>110</v>
      </c>
      <c r="N187" s="3" t="s">
        <v>111</v>
      </c>
      <c r="O187" s="3" t="s">
        <v>4046</v>
      </c>
      <c r="P187" s="3" t="s">
        <v>4047</v>
      </c>
      <c r="Q187" s="3" t="s">
        <v>4048</v>
      </c>
      <c r="R187" s="3" t="s">
        <v>74</v>
      </c>
      <c r="S187" s="3" t="s">
        <v>74</v>
      </c>
      <c r="T187" s="3" t="s">
        <v>4049</v>
      </c>
      <c r="U187" s="3" t="s">
        <v>242</v>
      </c>
      <c r="V187" s="3" t="s">
        <v>4050</v>
      </c>
      <c r="W187" s="3" t="s">
        <v>4051</v>
      </c>
      <c r="X187" s="3" t="s">
        <v>4052</v>
      </c>
      <c r="Y187" s="3" t="s">
        <v>4053</v>
      </c>
      <c r="Z187" s="3" t="s">
        <v>4054</v>
      </c>
      <c r="AA187" s="3" t="s">
        <v>4055</v>
      </c>
      <c r="AB187" s="3" t="s">
        <v>4056</v>
      </c>
      <c r="AC187" s="3" t="s">
        <v>74</v>
      </c>
      <c r="AD187" s="3" t="s">
        <v>74</v>
      </c>
      <c r="AE187" s="3" t="s">
        <v>74</v>
      </c>
      <c r="AF187" s="3" t="s">
        <v>74</v>
      </c>
      <c r="AG187" s="3">
        <v>17</v>
      </c>
      <c r="AH187" s="3">
        <v>50</v>
      </c>
      <c r="AI187" s="3">
        <v>57</v>
      </c>
      <c r="AJ187" s="3">
        <v>0</v>
      </c>
      <c r="AK187" s="3">
        <v>26</v>
      </c>
      <c r="AL187" s="3" t="s">
        <v>199</v>
      </c>
      <c r="AM187" s="3" t="s">
        <v>200</v>
      </c>
      <c r="AN187" s="3" t="s">
        <v>201</v>
      </c>
      <c r="AO187" s="3" t="s">
        <v>4057</v>
      </c>
      <c r="AP187" s="3" t="s">
        <v>74</v>
      </c>
      <c r="AQ187" s="3" t="s">
        <v>4058</v>
      </c>
      <c r="AR187" s="3" t="s">
        <v>4059</v>
      </c>
      <c r="AS187" s="3" t="s">
        <v>74</v>
      </c>
      <c r="AT187" s="3" t="s">
        <v>74</v>
      </c>
      <c r="AU187" s="3">
        <v>2017</v>
      </c>
      <c r="AV187" s="3" t="s">
        <v>74</v>
      </c>
      <c r="AW187" s="3" t="s">
        <v>74</v>
      </c>
      <c r="AX187" s="3" t="s">
        <v>74</v>
      </c>
      <c r="AY187" s="3" t="s">
        <v>74</v>
      </c>
      <c r="AZ187" s="3" t="s">
        <v>74</v>
      </c>
      <c r="BA187" s="3" t="s">
        <v>74</v>
      </c>
      <c r="BB187" s="3">
        <v>454</v>
      </c>
      <c r="BC187" s="3">
        <v>461</v>
      </c>
      <c r="BD187" s="3" t="s">
        <v>74</v>
      </c>
      <c r="BE187" s="3" t="s">
        <v>74</v>
      </c>
      <c r="BF187" s="3" t="s">
        <v>74</v>
      </c>
      <c r="BG187" s="3" t="s">
        <v>74</v>
      </c>
      <c r="BH187" s="3" t="s">
        <v>74</v>
      </c>
      <c r="BI187" s="3">
        <v>8</v>
      </c>
      <c r="BJ187" s="3" t="s">
        <v>4060</v>
      </c>
      <c r="BK187" s="3" t="s">
        <v>208</v>
      </c>
      <c r="BL187" s="3" t="s">
        <v>4061</v>
      </c>
      <c r="BM187" s="3" t="s">
        <v>4062</v>
      </c>
      <c r="BN187" s="3" t="s">
        <v>74</v>
      </c>
      <c r="BO187" s="3" t="s">
        <v>74</v>
      </c>
      <c r="BP187" s="3" t="s">
        <v>74</v>
      </c>
      <c r="BQ187" s="3" t="s">
        <v>74</v>
      </c>
      <c r="BR187" s="3" t="s">
        <v>101</v>
      </c>
      <c r="BS187" s="3" t="s">
        <v>4063</v>
      </c>
      <c r="BT187" s="3" t="str">
        <f>HYPERLINK("https%3A%2F%2Fwww.webofscience.com%2Fwos%2Fwoscc%2Ffull-record%2FWOS:000426708600070","View Full Record in Web of Science")</f>
        <v>View Full Record in Web of Science</v>
      </c>
      <c r="BU187" s="3"/>
      <c r="BV187" s="3"/>
      <c r="BW187" s="1"/>
    </row>
    <row r="188" spans="1:75" x14ac:dyDescent="0.25">
      <c r="A188" s="3" t="s">
        <v>72</v>
      </c>
      <c r="B188" s="3" t="s">
        <v>4064</v>
      </c>
      <c r="C188" s="3" t="s">
        <v>74</v>
      </c>
      <c r="D188" s="3" t="s">
        <v>74</v>
      </c>
      <c r="E188" s="3" t="s">
        <v>74</v>
      </c>
      <c r="F188" s="3" t="s">
        <v>4065</v>
      </c>
      <c r="G188" s="3" t="s">
        <v>74</v>
      </c>
      <c r="H188" s="3" t="s">
        <v>74</v>
      </c>
      <c r="I188" s="3" t="s">
        <v>4066</v>
      </c>
      <c r="J188" s="3" t="s">
        <v>1435</v>
      </c>
      <c r="K188" s="3" t="s">
        <v>74</v>
      </c>
      <c r="L188" s="3" t="s">
        <v>74</v>
      </c>
      <c r="M188" s="3" t="s">
        <v>110</v>
      </c>
      <c r="N188" s="3" t="s">
        <v>216</v>
      </c>
      <c r="O188" s="3" t="s">
        <v>74</v>
      </c>
      <c r="P188" s="3" t="s">
        <v>74</v>
      </c>
      <c r="Q188" s="3" t="s">
        <v>74</v>
      </c>
      <c r="R188" s="3" t="s">
        <v>74</v>
      </c>
      <c r="S188" s="3" t="s">
        <v>74</v>
      </c>
      <c r="T188" s="3" t="s">
        <v>4067</v>
      </c>
      <c r="U188" s="3" t="s">
        <v>4068</v>
      </c>
      <c r="V188" s="3" t="s">
        <v>4069</v>
      </c>
      <c r="W188" s="3" t="s">
        <v>4070</v>
      </c>
      <c r="X188" s="3" t="s">
        <v>4071</v>
      </c>
      <c r="Y188" s="3" t="s">
        <v>4072</v>
      </c>
      <c r="Z188" s="3" t="s">
        <v>4073</v>
      </c>
      <c r="AA188" s="3" t="s">
        <v>4074</v>
      </c>
      <c r="AB188" s="3" t="s">
        <v>4075</v>
      </c>
      <c r="AC188" s="3" t="s">
        <v>74</v>
      </c>
      <c r="AD188" s="3" t="s">
        <v>74</v>
      </c>
      <c r="AE188" s="3" t="s">
        <v>74</v>
      </c>
      <c r="AF188" s="3" t="s">
        <v>74</v>
      </c>
      <c r="AG188" s="3">
        <v>79</v>
      </c>
      <c r="AH188" s="3">
        <v>2</v>
      </c>
      <c r="AI188" s="3">
        <v>5</v>
      </c>
      <c r="AJ188" s="3">
        <v>1</v>
      </c>
      <c r="AK188" s="3">
        <v>12</v>
      </c>
      <c r="AL188" s="3" t="s">
        <v>145</v>
      </c>
      <c r="AM188" s="3" t="s">
        <v>146</v>
      </c>
      <c r="AN188" s="3" t="s">
        <v>147</v>
      </c>
      <c r="AO188" s="3" t="s">
        <v>74</v>
      </c>
      <c r="AP188" s="3" t="s">
        <v>1447</v>
      </c>
      <c r="AQ188" s="3" t="s">
        <v>74</v>
      </c>
      <c r="AR188" s="3" t="s">
        <v>1448</v>
      </c>
      <c r="AS188" s="3" t="s">
        <v>1449</v>
      </c>
      <c r="AT188" s="3" t="s">
        <v>283</v>
      </c>
      <c r="AU188" s="3">
        <v>2023</v>
      </c>
      <c r="AV188" s="3">
        <v>23</v>
      </c>
      <c r="AW188" s="3">
        <v>15</v>
      </c>
      <c r="AX188" s="3" t="s">
        <v>74</v>
      </c>
      <c r="AY188" s="3" t="s">
        <v>74</v>
      </c>
      <c r="AZ188" s="3" t="s">
        <v>74</v>
      </c>
      <c r="BA188" s="3" t="s">
        <v>74</v>
      </c>
      <c r="BB188" s="3" t="s">
        <v>74</v>
      </c>
      <c r="BC188" s="3" t="s">
        <v>74</v>
      </c>
      <c r="BD188" s="3">
        <v>6938</v>
      </c>
      <c r="BE188" s="3" t="s">
        <v>4076</v>
      </c>
      <c r="BF188" s="3" t="str">
        <f>HYPERLINK("http://dx.doi.org/10.3390/s23156938","http://dx.doi.org/10.3390/s23156938")</f>
        <v>http://dx.doi.org/10.3390/s23156938</v>
      </c>
      <c r="BG188" s="3" t="s">
        <v>74</v>
      </c>
      <c r="BH188" s="3" t="s">
        <v>74</v>
      </c>
      <c r="BI188" s="3">
        <v>27</v>
      </c>
      <c r="BJ188" s="3" t="s">
        <v>1452</v>
      </c>
      <c r="BK188" s="3" t="s">
        <v>179</v>
      </c>
      <c r="BL188" s="3" t="s">
        <v>1453</v>
      </c>
      <c r="BM188" s="3" t="s">
        <v>4077</v>
      </c>
      <c r="BN188" s="3">
        <v>37571721</v>
      </c>
      <c r="BO188" s="3" t="s">
        <v>133</v>
      </c>
      <c r="BP188" s="3" t="s">
        <v>74</v>
      </c>
      <c r="BQ188" s="3" t="s">
        <v>74</v>
      </c>
      <c r="BR188" s="3" t="s">
        <v>101</v>
      </c>
      <c r="BS188" s="3" t="s">
        <v>4078</v>
      </c>
      <c r="BT188" s="3" t="str">
        <f>HYPERLINK("https%3A%2F%2Fwww.webofscience.com%2Fwos%2Fwoscc%2Ffull-record%2FWOS:001045792900001","View Full Record in Web of Science")</f>
        <v>View Full Record in Web of Science</v>
      </c>
      <c r="BU188" s="3"/>
      <c r="BV188" s="3"/>
      <c r="BW188" s="1"/>
    </row>
    <row r="189" spans="1:75" x14ac:dyDescent="0.25">
      <c r="A189" s="3" t="s">
        <v>72</v>
      </c>
      <c r="B189" s="3" t="s">
        <v>4079</v>
      </c>
      <c r="C189" s="3" t="s">
        <v>74</v>
      </c>
      <c r="D189" s="3" t="s">
        <v>74</v>
      </c>
      <c r="E189" s="3" t="s">
        <v>74</v>
      </c>
      <c r="F189" s="3" t="s">
        <v>4080</v>
      </c>
      <c r="G189" s="3" t="s">
        <v>74</v>
      </c>
      <c r="H189" s="3" t="s">
        <v>74</v>
      </c>
      <c r="I189" s="3" t="s">
        <v>4081</v>
      </c>
      <c r="J189" s="3" t="s">
        <v>161</v>
      </c>
      <c r="K189" s="3" t="s">
        <v>74</v>
      </c>
      <c r="L189" s="3" t="s">
        <v>74</v>
      </c>
      <c r="M189" s="3" t="s">
        <v>110</v>
      </c>
      <c r="N189" s="3" t="s">
        <v>79</v>
      </c>
      <c r="O189" s="3" t="s">
        <v>74</v>
      </c>
      <c r="P189" s="3" t="s">
        <v>74</v>
      </c>
      <c r="Q189" s="3" t="s">
        <v>74</v>
      </c>
      <c r="R189" s="3" t="s">
        <v>74</v>
      </c>
      <c r="S189" s="3" t="s">
        <v>74</v>
      </c>
      <c r="T189" s="3" t="s">
        <v>4082</v>
      </c>
      <c r="U189" s="3" t="s">
        <v>600</v>
      </c>
      <c r="V189" s="3" t="s">
        <v>4083</v>
      </c>
      <c r="W189" s="3" t="s">
        <v>4084</v>
      </c>
      <c r="X189" s="3" t="s">
        <v>4085</v>
      </c>
      <c r="Y189" s="3" t="s">
        <v>4086</v>
      </c>
      <c r="Z189" s="3" t="s">
        <v>4087</v>
      </c>
      <c r="AA189" s="3" t="s">
        <v>4088</v>
      </c>
      <c r="AB189" s="3" t="s">
        <v>4089</v>
      </c>
      <c r="AC189" s="3" t="s">
        <v>74</v>
      </c>
      <c r="AD189" s="3" t="s">
        <v>74</v>
      </c>
      <c r="AE189" s="3" t="s">
        <v>74</v>
      </c>
      <c r="AF189" s="3" t="s">
        <v>74</v>
      </c>
      <c r="AG189" s="3">
        <v>27</v>
      </c>
      <c r="AH189" s="3">
        <v>5</v>
      </c>
      <c r="AI189" s="3">
        <v>6</v>
      </c>
      <c r="AJ189" s="3">
        <v>0</v>
      </c>
      <c r="AK189" s="3">
        <v>11</v>
      </c>
      <c r="AL189" s="3" t="s">
        <v>145</v>
      </c>
      <c r="AM189" s="3" t="s">
        <v>146</v>
      </c>
      <c r="AN189" s="3" t="s">
        <v>147</v>
      </c>
      <c r="AO189" s="3" t="s">
        <v>74</v>
      </c>
      <c r="AP189" s="3" t="s">
        <v>174</v>
      </c>
      <c r="AQ189" s="3" t="s">
        <v>74</v>
      </c>
      <c r="AR189" s="3" t="s">
        <v>161</v>
      </c>
      <c r="AS189" s="3" t="s">
        <v>175</v>
      </c>
      <c r="AT189" s="3" t="s">
        <v>283</v>
      </c>
      <c r="AU189" s="3">
        <v>2021</v>
      </c>
      <c r="AV189" s="3">
        <v>14</v>
      </c>
      <c r="AW189" s="3">
        <v>16</v>
      </c>
      <c r="AX189" s="3" t="s">
        <v>74</v>
      </c>
      <c r="AY189" s="3" t="s">
        <v>74</v>
      </c>
      <c r="AZ189" s="3" t="s">
        <v>74</v>
      </c>
      <c r="BA189" s="3" t="s">
        <v>74</v>
      </c>
      <c r="BB189" s="3" t="s">
        <v>74</v>
      </c>
      <c r="BC189" s="3" t="s">
        <v>74</v>
      </c>
      <c r="BD189" s="3">
        <v>5085</v>
      </c>
      <c r="BE189" s="3" t="s">
        <v>4090</v>
      </c>
      <c r="BF189" s="3" t="str">
        <f>HYPERLINK("http://dx.doi.org/10.3390/en14165085","http://dx.doi.org/10.3390/en14165085")</f>
        <v>http://dx.doi.org/10.3390/en14165085</v>
      </c>
      <c r="BG189" s="3" t="s">
        <v>74</v>
      </c>
      <c r="BH189" s="3" t="s">
        <v>74</v>
      </c>
      <c r="BI189" s="3">
        <v>13</v>
      </c>
      <c r="BJ189" s="3" t="s">
        <v>178</v>
      </c>
      <c r="BK189" s="3" t="s">
        <v>179</v>
      </c>
      <c r="BL189" s="3" t="s">
        <v>178</v>
      </c>
      <c r="BM189" s="3" t="s">
        <v>4091</v>
      </c>
      <c r="BN189" s="3" t="s">
        <v>74</v>
      </c>
      <c r="BO189" s="3" t="s">
        <v>133</v>
      </c>
      <c r="BP189" s="3" t="s">
        <v>74</v>
      </c>
      <c r="BQ189" s="3" t="s">
        <v>74</v>
      </c>
      <c r="BR189" s="3" t="s">
        <v>101</v>
      </c>
      <c r="BS189" s="3" t="s">
        <v>4092</v>
      </c>
      <c r="BT189" s="3" t="str">
        <f>HYPERLINK("https%3A%2F%2Fwww.webofscience.com%2Fwos%2Fwoscc%2Ffull-record%2FWOS:000690587100001","View Full Record in Web of Science")</f>
        <v>View Full Record in Web of Science</v>
      </c>
      <c r="BU189" s="3"/>
      <c r="BV189" s="3"/>
      <c r="BW189" s="1"/>
    </row>
    <row r="190" spans="1:75" x14ac:dyDescent="0.25">
      <c r="A190" s="3" t="s">
        <v>72</v>
      </c>
      <c r="B190" s="3" t="s">
        <v>4093</v>
      </c>
      <c r="C190" s="3" t="s">
        <v>74</v>
      </c>
      <c r="D190" s="3" t="s">
        <v>74</v>
      </c>
      <c r="E190" s="3" t="s">
        <v>74</v>
      </c>
      <c r="F190" s="3" t="s">
        <v>4094</v>
      </c>
      <c r="G190" s="3" t="s">
        <v>74</v>
      </c>
      <c r="H190" s="3" t="s">
        <v>74</v>
      </c>
      <c r="I190" s="3" t="s">
        <v>4095</v>
      </c>
      <c r="J190" s="3" t="s">
        <v>835</v>
      </c>
      <c r="K190" s="3" t="s">
        <v>74</v>
      </c>
      <c r="L190" s="3" t="s">
        <v>74</v>
      </c>
      <c r="M190" s="3" t="s">
        <v>110</v>
      </c>
      <c r="N190" s="3" t="s">
        <v>79</v>
      </c>
      <c r="O190" s="3" t="s">
        <v>74</v>
      </c>
      <c r="P190" s="3" t="s">
        <v>74</v>
      </c>
      <c r="Q190" s="3" t="s">
        <v>74</v>
      </c>
      <c r="R190" s="3" t="s">
        <v>74</v>
      </c>
      <c r="S190" s="3" t="s">
        <v>74</v>
      </c>
      <c r="T190" s="3" t="s">
        <v>4096</v>
      </c>
      <c r="U190" s="3" t="s">
        <v>4097</v>
      </c>
      <c r="V190" s="3" t="s">
        <v>4098</v>
      </c>
      <c r="W190" s="3" t="s">
        <v>4099</v>
      </c>
      <c r="X190" s="3" t="s">
        <v>4100</v>
      </c>
      <c r="Y190" s="3" t="s">
        <v>4101</v>
      </c>
      <c r="Z190" s="3" t="s">
        <v>4102</v>
      </c>
      <c r="AA190" s="3" t="s">
        <v>4103</v>
      </c>
      <c r="AB190" s="3" t="s">
        <v>4104</v>
      </c>
      <c r="AC190" s="3" t="s">
        <v>74</v>
      </c>
      <c r="AD190" s="3" t="s">
        <v>74</v>
      </c>
      <c r="AE190" s="3" t="s">
        <v>74</v>
      </c>
      <c r="AF190" s="3" t="s">
        <v>74</v>
      </c>
      <c r="AG190" s="3">
        <v>58</v>
      </c>
      <c r="AH190" s="3">
        <v>17</v>
      </c>
      <c r="AI190" s="3">
        <v>19</v>
      </c>
      <c r="AJ190" s="3">
        <v>3</v>
      </c>
      <c r="AK190" s="3">
        <v>33</v>
      </c>
      <c r="AL190" s="3" t="s">
        <v>846</v>
      </c>
      <c r="AM190" s="3" t="s">
        <v>847</v>
      </c>
      <c r="AN190" s="3" t="s">
        <v>848</v>
      </c>
      <c r="AO190" s="3" t="s">
        <v>849</v>
      </c>
      <c r="AP190" s="3" t="s">
        <v>74</v>
      </c>
      <c r="AQ190" s="3" t="s">
        <v>74</v>
      </c>
      <c r="AR190" s="3" t="s">
        <v>835</v>
      </c>
      <c r="AS190" s="3" t="s">
        <v>850</v>
      </c>
      <c r="AT190" s="3" t="s">
        <v>74</v>
      </c>
      <c r="AU190" s="3">
        <v>2020</v>
      </c>
      <c r="AV190" s="3">
        <v>8</v>
      </c>
      <c r="AW190" s="3" t="s">
        <v>74</v>
      </c>
      <c r="AX190" s="3" t="s">
        <v>74</v>
      </c>
      <c r="AY190" s="3" t="s">
        <v>74</v>
      </c>
      <c r="AZ190" s="3" t="s">
        <v>74</v>
      </c>
      <c r="BA190" s="3" t="s">
        <v>74</v>
      </c>
      <c r="BB190" s="3">
        <v>90280</v>
      </c>
      <c r="BC190" s="3">
        <v>90293</v>
      </c>
      <c r="BD190" s="3" t="s">
        <v>74</v>
      </c>
      <c r="BE190" s="3" t="s">
        <v>4105</v>
      </c>
      <c r="BF190" s="3" t="str">
        <f>HYPERLINK("http://dx.doi.org/10.1109/ACCESS.2020.2994186","http://dx.doi.org/10.1109/ACCESS.2020.2994186")</f>
        <v>http://dx.doi.org/10.1109/ACCESS.2020.2994186</v>
      </c>
      <c r="BG190" s="3" t="s">
        <v>74</v>
      </c>
      <c r="BH190" s="3" t="s">
        <v>74</v>
      </c>
      <c r="BI190" s="3">
        <v>14</v>
      </c>
      <c r="BJ190" s="3" t="s">
        <v>852</v>
      </c>
      <c r="BK190" s="3" t="s">
        <v>154</v>
      </c>
      <c r="BL190" s="3" t="s">
        <v>853</v>
      </c>
      <c r="BM190" s="3" t="s">
        <v>4106</v>
      </c>
      <c r="BN190" s="3" t="s">
        <v>74</v>
      </c>
      <c r="BO190" s="3" t="s">
        <v>100</v>
      </c>
      <c r="BP190" s="3" t="s">
        <v>74</v>
      </c>
      <c r="BQ190" s="3" t="s">
        <v>74</v>
      </c>
      <c r="BR190" s="3" t="s">
        <v>101</v>
      </c>
      <c r="BS190" s="3" t="s">
        <v>4107</v>
      </c>
      <c r="BT190" s="3" t="str">
        <f>HYPERLINK("https%3A%2F%2Fwww.webofscience.com%2Fwos%2Fwoscc%2Ffull-record%2FWOS:000538727700109","View Full Record in Web of Science")</f>
        <v>View Full Record in Web of Science</v>
      </c>
      <c r="BU190" s="3"/>
      <c r="BV190" s="3"/>
      <c r="BW190" s="1"/>
    </row>
    <row r="191" spans="1:75" x14ac:dyDescent="0.25">
      <c r="A191" s="3" t="s">
        <v>72</v>
      </c>
      <c r="B191" s="3" t="s">
        <v>4108</v>
      </c>
      <c r="C191" s="3" t="s">
        <v>74</v>
      </c>
      <c r="D191" s="3" t="s">
        <v>74</v>
      </c>
      <c r="E191" s="3" t="s">
        <v>74</v>
      </c>
      <c r="F191" s="3" t="s">
        <v>4109</v>
      </c>
      <c r="G191" s="3" t="s">
        <v>74</v>
      </c>
      <c r="H191" s="3" t="s">
        <v>74</v>
      </c>
      <c r="I191" s="3" t="s">
        <v>4110</v>
      </c>
      <c r="J191" s="3" t="s">
        <v>1743</v>
      </c>
      <c r="K191" s="3" t="s">
        <v>74</v>
      </c>
      <c r="L191" s="3" t="s">
        <v>74</v>
      </c>
      <c r="M191" s="3" t="s">
        <v>110</v>
      </c>
      <c r="N191" s="3" t="s">
        <v>79</v>
      </c>
      <c r="O191" s="3" t="s">
        <v>74</v>
      </c>
      <c r="P191" s="3" t="s">
        <v>74</v>
      </c>
      <c r="Q191" s="3" t="s">
        <v>74</v>
      </c>
      <c r="R191" s="3" t="s">
        <v>74</v>
      </c>
      <c r="S191" s="3" t="s">
        <v>74</v>
      </c>
      <c r="T191" s="3" t="s">
        <v>4111</v>
      </c>
      <c r="U191" s="3" t="s">
        <v>4112</v>
      </c>
      <c r="V191" s="3" t="s">
        <v>4113</v>
      </c>
      <c r="W191" s="3" t="s">
        <v>4114</v>
      </c>
      <c r="X191" s="3" t="s">
        <v>4115</v>
      </c>
      <c r="Y191" s="3" t="s">
        <v>4116</v>
      </c>
      <c r="Z191" s="3" t="s">
        <v>4117</v>
      </c>
      <c r="AA191" s="3" t="s">
        <v>4118</v>
      </c>
      <c r="AB191" s="3" t="s">
        <v>4119</v>
      </c>
      <c r="AC191" s="3" t="s">
        <v>74</v>
      </c>
      <c r="AD191" s="3" t="s">
        <v>74</v>
      </c>
      <c r="AE191" s="3" t="s">
        <v>74</v>
      </c>
      <c r="AF191" s="3" t="s">
        <v>74</v>
      </c>
      <c r="AG191" s="3">
        <v>38</v>
      </c>
      <c r="AH191" s="3">
        <v>5</v>
      </c>
      <c r="AI191" s="3">
        <v>6</v>
      </c>
      <c r="AJ191" s="3">
        <v>1</v>
      </c>
      <c r="AK191" s="3">
        <v>7</v>
      </c>
      <c r="AL191" s="3" t="s">
        <v>401</v>
      </c>
      <c r="AM191" s="3" t="s">
        <v>402</v>
      </c>
      <c r="AN191" s="3" t="s">
        <v>403</v>
      </c>
      <c r="AO191" s="3" t="s">
        <v>74</v>
      </c>
      <c r="AP191" s="3" t="s">
        <v>1754</v>
      </c>
      <c r="AQ191" s="3" t="s">
        <v>74</v>
      </c>
      <c r="AR191" s="3" t="s">
        <v>1743</v>
      </c>
      <c r="AS191" s="3" t="s">
        <v>1755</v>
      </c>
      <c r="AT191" s="3" t="s">
        <v>333</v>
      </c>
      <c r="AU191" s="3">
        <v>2021</v>
      </c>
      <c r="AV191" s="3">
        <v>3</v>
      </c>
      <c r="AW191" s="3">
        <v>3</v>
      </c>
      <c r="AX191" s="3" t="s">
        <v>74</v>
      </c>
      <c r="AY191" s="3" t="s">
        <v>74</v>
      </c>
      <c r="AZ191" s="3" t="s">
        <v>880</v>
      </c>
      <c r="BA191" s="3" t="s">
        <v>74</v>
      </c>
      <c r="BB191" s="3">
        <v>142</v>
      </c>
      <c r="BC191" s="3">
        <v>157</v>
      </c>
      <c r="BD191" s="3" t="s">
        <v>74</v>
      </c>
      <c r="BE191" s="3" t="s">
        <v>4120</v>
      </c>
      <c r="BF191" s="3" t="str">
        <f>HYPERLINK("http://dx.doi.org/10.1049/smc2.12014","http://dx.doi.org/10.1049/smc2.12014")</f>
        <v>http://dx.doi.org/10.1049/smc2.12014</v>
      </c>
      <c r="BG191" s="3" t="s">
        <v>74</v>
      </c>
      <c r="BH191" s="3" t="s">
        <v>74</v>
      </c>
      <c r="BI191" s="3">
        <v>16</v>
      </c>
      <c r="BJ191" s="3" t="s">
        <v>852</v>
      </c>
      <c r="BK191" s="3" t="s">
        <v>97</v>
      </c>
      <c r="BL191" s="3" t="s">
        <v>853</v>
      </c>
      <c r="BM191" s="3" t="s">
        <v>4121</v>
      </c>
      <c r="BN191" s="3" t="s">
        <v>74</v>
      </c>
      <c r="BO191" s="3" t="s">
        <v>100</v>
      </c>
      <c r="BP191" s="3" t="s">
        <v>74</v>
      </c>
      <c r="BQ191" s="3" t="s">
        <v>74</v>
      </c>
      <c r="BR191" s="3" t="s">
        <v>101</v>
      </c>
      <c r="BS191" s="3" t="s">
        <v>4122</v>
      </c>
      <c r="BT191" s="3" t="str">
        <f>HYPERLINK("https%3A%2F%2Fwww.webofscience.com%2Fwos%2Fwoscc%2Ffull-record%2FWOS:000826947700003","View Full Record in Web of Science")</f>
        <v>View Full Record in Web of Science</v>
      </c>
      <c r="BU191" s="3"/>
      <c r="BV191" s="3"/>
      <c r="BW191" s="1"/>
    </row>
    <row r="192" spans="1:75" x14ac:dyDescent="0.25">
      <c r="A192" s="4" t="s">
        <v>72</v>
      </c>
      <c r="B192" s="4" t="s">
        <v>4123</v>
      </c>
      <c r="C192" s="4" t="s">
        <v>74</v>
      </c>
      <c r="D192" s="4" t="s">
        <v>74</v>
      </c>
      <c r="E192" s="4" t="s">
        <v>74</v>
      </c>
      <c r="F192" s="4" t="s">
        <v>4124</v>
      </c>
      <c r="G192" s="4" t="s">
        <v>74</v>
      </c>
      <c r="H192" s="4" t="s">
        <v>74</v>
      </c>
      <c r="I192" s="4" t="s">
        <v>4125</v>
      </c>
      <c r="J192" s="4" t="s">
        <v>4126</v>
      </c>
      <c r="K192" s="4" t="s">
        <v>74</v>
      </c>
      <c r="L192" s="4" t="s">
        <v>74</v>
      </c>
      <c r="M192" s="4" t="s">
        <v>110</v>
      </c>
      <c r="N192" s="4" t="s">
        <v>216</v>
      </c>
      <c r="O192" s="4" t="s">
        <v>74</v>
      </c>
      <c r="P192" s="4" t="s">
        <v>74</v>
      </c>
      <c r="Q192" s="4" t="s">
        <v>74</v>
      </c>
      <c r="R192" s="4" t="s">
        <v>74</v>
      </c>
      <c r="S192" s="4" t="s">
        <v>74</v>
      </c>
      <c r="T192" s="4" t="s">
        <v>4127</v>
      </c>
      <c r="U192" s="4" t="s">
        <v>4128</v>
      </c>
      <c r="V192" s="4" t="s">
        <v>4129</v>
      </c>
      <c r="W192" s="4" t="s">
        <v>4130</v>
      </c>
      <c r="X192" s="4" t="s">
        <v>4131</v>
      </c>
      <c r="Y192" s="4" t="s">
        <v>4132</v>
      </c>
      <c r="Z192" s="4" t="s">
        <v>4133</v>
      </c>
      <c r="AA192" s="4" t="s">
        <v>4134</v>
      </c>
      <c r="AB192" s="4" t="s">
        <v>4135</v>
      </c>
      <c r="AC192" s="4" t="s">
        <v>4136</v>
      </c>
      <c r="AD192" s="4" t="s">
        <v>4136</v>
      </c>
      <c r="AE192" s="4" t="s">
        <v>4137</v>
      </c>
      <c r="AF192" s="4" t="s">
        <v>74</v>
      </c>
      <c r="AG192" s="4">
        <v>155</v>
      </c>
      <c r="AH192" s="4">
        <v>234</v>
      </c>
      <c r="AI192" s="4">
        <v>274</v>
      </c>
      <c r="AJ192" s="4">
        <v>14</v>
      </c>
      <c r="AK192" s="4">
        <v>490</v>
      </c>
      <c r="AL192" s="4" t="s">
        <v>123</v>
      </c>
      <c r="AM192" s="4" t="s">
        <v>124</v>
      </c>
      <c r="AN192" s="4" t="s">
        <v>4138</v>
      </c>
      <c r="AO192" s="4" t="s">
        <v>4139</v>
      </c>
      <c r="AP192" s="4" t="s">
        <v>4140</v>
      </c>
      <c r="AQ192" s="4" t="s">
        <v>74</v>
      </c>
      <c r="AR192" s="4" t="s">
        <v>4141</v>
      </c>
      <c r="AS192" s="4" t="s">
        <v>4142</v>
      </c>
      <c r="AT192" s="4" t="s">
        <v>4143</v>
      </c>
      <c r="AU192" s="4">
        <v>2019</v>
      </c>
      <c r="AV192" s="4">
        <v>273</v>
      </c>
      <c r="AW192" s="4">
        <v>3</v>
      </c>
      <c r="AX192" s="4" t="s">
        <v>74</v>
      </c>
      <c r="AY192" s="4" t="s">
        <v>74</v>
      </c>
      <c r="AZ192" s="4" t="s">
        <v>74</v>
      </c>
      <c r="BA192" s="4" t="s">
        <v>74</v>
      </c>
      <c r="BB192" s="4">
        <v>801</v>
      </c>
      <c r="BC192" s="4">
        <v>816</v>
      </c>
      <c r="BD192" s="4" t="s">
        <v>74</v>
      </c>
      <c r="BE192" s="4" t="s">
        <v>4144</v>
      </c>
      <c r="BF192" s="4" t="str">
        <f>HYPERLINK("http://dx.doi.org/10.1016/j.ejor.2018.04.037","http://dx.doi.org/10.1016/j.ejor.2018.04.037")</f>
        <v>http://dx.doi.org/10.1016/j.ejor.2018.04.037</v>
      </c>
      <c r="BG192" s="4" t="s">
        <v>74</v>
      </c>
      <c r="BH192" s="4" t="s">
        <v>74</v>
      </c>
      <c r="BI192" s="4">
        <v>16</v>
      </c>
      <c r="BJ192" s="4" t="s">
        <v>3346</v>
      </c>
      <c r="BK192" s="4" t="s">
        <v>154</v>
      </c>
      <c r="BL192" s="4" t="s">
        <v>3347</v>
      </c>
      <c r="BM192" s="4" t="s">
        <v>4145</v>
      </c>
      <c r="BN192" s="4" t="s">
        <v>74</v>
      </c>
      <c r="BO192" s="4" t="s">
        <v>74</v>
      </c>
      <c r="BP192" s="4" t="s">
        <v>74</v>
      </c>
      <c r="BQ192" s="4" t="s">
        <v>74</v>
      </c>
      <c r="BR192" s="4" t="s">
        <v>101</v>
      </c>
      <c r="BS192" s="4" t="s">
        <v>4146</v>
      </c>
      <c r="BT192" s="4" t="str">
        <f>HYPERLINK("https%3A%2F%2Fwww.webofscience.com%2Fwos%2Fwoscc%2Ffull-record%2FWOS:000455069000001","View Full Record in Web of Science")</f>
        <v>View Full Record in Web of Science</v>
      </c>
      <c r="BU192" s="4"/>
      <c r="BV192" s="4"/>
      <c r="BW192" s="5"/>
    </row>
    <row r="193" spans="1:75" x14ac:dyDescent="0.25">
      <c r="A193" s="3" t="s">
        <v>72</v>
      </c>
      <c r="B193" s="3" t="s">
        <v>4147</v>
      </c>
      <c r="C193" s="3" t="s">
        <v>74</v>
      </c>
      <c r="D193" s="3" t="s">
        <v>74</v>
      </c>
      <c r="E193" s="3" t="s">
        <v>74</v>
      </c>
      <c r="F193" s="3" t="s">
        <v>4148</v>
      </c>
      <c r="G193" s="3" t="s">
        <v>74</v>
      </c>
      <c r="H193" s="3" t="s">
        <v>74</v>
      </c>
      <c r="I193" s="3" t="s">
        <v>4149</v>
      </c>
      <c r="J193" s="3" t="s">
        <v>4150</v>
      </c>
      <c r="K193" s="3" t="s">
        <v>74</v>
      </c>
      <c r="L193" s="3" t="s">
        <v>74</v>
      </c>
      <c r="M193" s="3" t="s">
        <v>110</v>
      </c>
      <c r="N193" s="3" t="s">
        <v>1784</v>
      </c>
      <c r="O193" s="3" t="s">
        <v>4151</v>
      </c>
      <c r="P193" s="3" t="s">
        <v>4152</v>
      </c>
      <c r="Q193" s="3" t="s">
        <v>4153</v>
      </c>
      <c r="R193" s="3" t="s">
        <v>74</v>
      </c>
      <c r="S193" s="3" t="s">
        <v>74</v>
      </c>
      <c r="T193" s="3" t="s">
        <v>4154</v>
      </c>
      <c r="U193" s="3" t="s">
        <v>2477</v>
      </c>
      <c r="V193" s="3" t="s">
        <v>4155</v>
      </c>
      <c r="W193" s="3" t="s">
        <v>4156</v>
      </c>
      <c r="X193" s="3" t="s">
        <v>4157</v>
      </c>
      <c r="Y193" s="3" t="s">
        <v>4158</v>
      </c>
      <c r="Z193" s="3" t="s">
        <v>4159</v>
      </c>
      <c r="AA193" s="3" t="s">
        <v>4160</v>
      </c>
      <c r="AB193" s="3" t="s">
        <v>4161</v>
      </c>
      <c r="AC193" s="3" t="s">
        <v>74</v>
      </c>
      <c r="AD193" s="3" t="s">
        <v>74</v>
      </c>
      <c r="AE193" s="3" t="s">
        <v>74</v>
      </c>
      <c r="AF193" s="3" t="s">
        <v>74</v>
      </c>
      <c r="AG193" s="3">
        <v>21</v>
      </c>
      <c r="AH193" s="3">
        <v>22</v>
      </c>
      <c r="AI193" s="3">
        <v>27</v>
      </c>
      <c r="AJ193" s="3">
        <v>4</v>
      </c>
      <c r="AK193" s="3">
        <v>93</v>
      </c>
      <c r="AL193" s="3" t="s">
        <v>1120</v>
      </c>
      <c r="AM193" s="3" t="s">
        <v>200</v>
      </c>
      <c r="AN193" s="3" t="s">
        <v>4162</v>
      </c>
      <c r="AO193" s="3" t="s">
        <v>4163</v>
      </c>
      <c r="AP193" s="3" t="s">
        <v>4164</v>
      </c>
      <c r="AQ193" s="3" t="s">
        <v>74</v>
      </c>
      <c r="AR193" s="3" t="s">
        <v>4165</v>
      </c>
      <c r="AS193" s="3" t="s">
        <v>4166</v>
      </c>
      <c r="AT193" s="3" t="s">
        <v>1240</v>
      </c>
      <c r="AU193" s="3">
        <v>2019</v>
      </c>
      <c r="AV193" s="3">
        <v>106</v>
      </c>
      <c r="AW193" s="3">
        <v>1</v>
      </c>
      <c r="AX193" s="3" t="s">
        <v>74</v>
      </c>
      <c r="AY193" s="3" t="s">
        <v>74</v>
      </c>
      <c r="AZ193" s="3" t="s">
        <v>880</v>
      </c>
      <c r="BA193" s="3" t="s">
        <v>74</v>
      </c>
      <c r="BB193" s="3">
        <v>27</v>
      </c>
      <c r="BC193" s="3">
        <v>40</v>
      </c>
      <c r="BD193" s="3" t="s">
        <v>74</v>
      </c>
      <c r="BE193" s="3" t="s">
        <v>4167</v>
      </c>
      <c r="BF193" s="3" t="str">
        <f>HYPERLINK("http://dx.doi.org/10.1007/s11277-019-06259-4","http://dx.doi.org/10.1007/s11277-019-06259-4")</f>
        <v>http://dx.doi.org/10.1007/s11277-019-06259-4</v>
      </c>
      <c r="BG193" s="3" t="s">
        <v>74</v>
      </c>
      <c r="BH193" s="3" t="s">
        <v>74</v>
      </c>
      <c r="BI193" s="3">
        <v>14</v>
      </c>
      <c r="BJ193" s="3" t="s">
        <v>3955</v>
      </c>
      <c r="BK193" s="3" t="s">
        <v>4168</v>
      </c>
      <c r="BL193" s="3" t="s">
        <v>3955</v>
      </c>
      <c r="BM193" s="3" t="s">
        <v>4169</v>
      </c>
      <c r="BN193" s="3" t="s">
        <v>74</v>
      </c>
      <c r="BO193" s="3" t="s">
        <v>74</v>
      </c>
      <c r="BP193" s="3" t="s">
        <v>74</v>
      </c>
      <c r="BQ193" s="3" t="s">
        <v>74</v>
      </c>
      <c r="BR193" s="3" t="s">
        <v>101</v>
      </c>
      <c r="BS193" s="3" t="s">
        <v>4170</v>
      </c>
      <c r="BT193" s="3" t="str">
        <f>HYPERLINK("https%3A%2F%2Fwww.webofscience.com%2Fwos%2Fwoscc%2Ffull-record%2FWOS:000464910800003","View Full Record in Web of Science")</f>
        <v>View Full Record in Web of Science</v>
      </c>
      <c r="BU193" s="3"/>
      <c r="BV193" s="3"/>
      <c r="BW193" s="1"/>
    </row>
    <row r="194" spans="1:75" x14ac:dyDescent="0.25">
      <c r="A194" s="3" t="s">
        <v>72</v>
      </c>
      <c r="B194" s="3" t="s">
        <v>4171</v>
      </c>
      <c r="C194" s="3" t="s">
        <v>74</v>
      </c>
      <c r="D194" s="3" t="s">
        <v>74</v>
      </c>
      <c r="E194" s="3" t="s">
        <v>74</v>
      </c>
      <c r="F194" s="3" t="s">
        <v>4172</v>
      </c>
      <c r="G194" s="3" t="s">
        <v>74</v>
      </c>
      <c r="H194" s="3" t="s">
        <v>74</v>
      </c>
      <c r="I194" s="3" t="s">
        <v>4173</v>
      </c>
      <c r="J194" s="3" t="s">
        <v>1435</v>
      </c>
      <c r="K194" s="3" t="s">
        <v>74</v>
      </c>
      <c r="L194" s="3" t="s">
        <v>74</v>
      </c>
      <c r="M194" s="3" t="s">
        <v>110</v>
      </c>
      <c r="N194" s="3" t="s">
        <v>79</v>
      </c>
      <c r="O194" s="3" t="s">
        <v>74</v>
      </c>
      <c r="P194" s="3" t="s">
        <v>74</v>
      </c>
      <c r="Q194" s="3" t="s">
        <v>74</v>
      </c>
      <c r="R194" s="3" t="s">
        <v>74</v>
      </c>
      <c r="S194" s="3" t="s">
        <v>74</v>
      </c>
      <c r="T194" s="3" t="s">
        <v>4174</v>
      </c>
      <c r="U194" s="3" t="s">
        <v>4175</v>
      </c>
      <c r="V194" s="3" t="s">
        <v>4176</v>
      </c>
      <c r="W194" s="3" t="s">
        <v>4177</v>
      </c>
      <c r="X194" s="3" t="s">
        <v>4178</v>
      </c>
      <c r="Y194" s="3" t="s">
        <v>4179</v>
      </c>
      <c r="Z194" s="3" t="s">
        <v>4180</v>
      </c>
      <c r="AA194" s="3" t="s">
        <v>4181</v>
      </c>
      <c r="AB194" s="3" t="s">
        <v>4182</v>
      </c>
      <c r="AC194" s="3" t="s">
        <v>4183</v>
      </c>
      <c r="AD194" s="3" t="s">
        <v>4184</v>
      </c>
      <c r="AE194" s="3" t="s">
        <v>4185</v>
      </c>
      <c r="AF194" s="3" t="s">
        <v>74</v>
      </c>
      <c r="AG194" s="3">
        <v>62</v>
      </c>
      <c r="AH194" s="3">
        <v>31</v>
      </c>
      <c r="AI194" s="3">
        <v>34</v>
      </c>
      <c r="AJ194" s="3">
        <v>1</v>
      </c>
      <c r="AK194" s="3">
        <v>19</v>
      </c>
      <c r="AL194" s="3" t="s">
        <v>4186</v>
      </c>
      <c r="AM194" s="3" t="s">
        <v>146</v>
      </c>
      <c r="AN194" s="3" t="s">
        <v>279</v>
      </c>
      <c r="AO194" s="3" t="s">
        <v>1447</v>
      </c>
      <c r="AP194" s="3" t="s">
        <v>74</v>
      </c>
      <c r="AQ194" s="3" t="s">
        <v>74</v>
      </c>
      <c r="AR194" s="3" t="s">
        <v>1448</v>
      </c>
      <c r="AS194" s="3" t="s">
        <v>1449</v>
      </c>
      <c r="AT194" s="3" t="s">
        <v>592</v>
      </c>
      <c r="AU194" s="3">
        <v>2017</v>
      </c>
      <c r="AV194" s="3">
        <v>17</v>
      </c>
      <c r="AW194" s="3">
        <v>11</v>
      </c>
      <c r="AX194" s="3" t="s">
        <v>74</v>
      </c>
      <c r="AY194" s="3" t="s">
        <v>74</v>
      </c>
      <c r="AZ194" s="3" t="s">
        <v>74</v>
      </c>
      <c r="BA194" s="3" t="s">
        <v>74</v>
      </c>
      <c r="BB194" s="3" t="s">
        <v>74</v>
      </c>
      <c r="BC194" s="3" t="s">
        <v>74</v>
      </c>
      <c r="BD194" s="3">
        <v>2588</v>
      </c>
      <c r="BE194" s="3" t="s">
        <v>4187</v>
      </c>
      <c r="BF194" s="3" t="str">
        <f>HYPERLINK("http://dx.doi.org/10.3390/s17112588","http://dx.doi.org/10.3390/s17112588")</f>
        <v>http://dx.doi.org/10.3390/s17112588</v>
      </c>
      <c r="BG194" s="3" t="s">
        <v>74</v>
      </c>
      <c r="BH194" s="3" t="s">
        <v>74</v>
      </c>
      <c r="BI194" s="3">
        <v>25</v>
      </c>
      <c r="BJ194" s="3" t="s">
        <v>1452</v>
      </c>
      <c r="BK194" s="3" t="s">
        <v>179</v>
      </c>
      <c r="BL194" s="3" t="s">
        <v>1453</v>
      </c>
      <c r="BM194" s="3" t="s">
        <v>4188</v>
      </c>
      <c r="BN194" s="3">
        <v>29125535</v>
      </c>
      <c r="BO194" s="3" t="s">
        <v>133</v>
      </c>
      <c r="BP194" s="3" t="s">
        <v>74</v>
      </c>
      <c r="BQ194" s="3" t="s">
        <v>74</v>
      </c>
      <c r="BR194" s="3" t="s">
        <v>101</v>
      </c>
      <c r="BS194" s="3" t="s">
        <v>4189</v>
      </c>
      <c r="BT194" s="3" t="str">
        <f>HYPERLINK("https%3A%2F%2Fwww.webofscience.com%2Fwos%2Fwoscc%2Ffull-record%2FWOS:000416790500150","View Full Record in Web of Science")</f>
        <v>View Full Record in Web of Science</v>
      </c>
      <c r="BU194" s="3"/>
      <c r="BV194" s="3"/>
      <c r="BW194" s="1"/>
    </row>
    <row r="195" spans="1:75" x14ac:dyDescent="0.25">
      <c r="A195" s="3" t="s">
        <v>72</v>
      </c>
      <c r="B195" s="3" t="s">
        <v>4190</v>
      </c>
      <c r="C195" s="3" t="s">
        <v>74</v>
      </c>
      <c r="D195" s="3" t="s">
        <v>74</v>
      </c>
      <c r="E195" s="3" t="s">
        <v>74</v>
      </c>
      <c r="F195" s="3" t="s">
        <v>4191</v>
      </c>
      <c r="G195" s="3" t="s">
        <v>74</v>
      </c>
      <c r="H195" s="3" t="s">
        <v>74</v>
      </c>
      <c r="I195" s="3" t="s">
        <v>4192</v>
      </c>
      <c r="J195" s="3" t="s">
        <v>4193</v>
      </c>
      <c r="K195" s="3" t="s">
        <v>74</v>
      </c>
      <c r="L195" s="3" t="s">
        <v>74</v>
      </c>
      <c r="M195" s="3" t="s">
        <v>110</v>
      </c>
      <c r="N195" s="3" t="s">
        <v>79</v>
      </c>
      <c r="O195" s="3" t="s">
        <v>74</v>
      </c>
      <c r="P195" s="3" t="s">
        <v>74</v>
      </c>
      <c r="Q195" s="3" t="s">
        <v>74</v>
      </c>
      <c r="R195" s="3" t="s">
        <v>74</v>
      </c>
      <c r="S195" s="3" t="s">
        <v>74</v>
      </c>
      <c r="T195" s="3" t="s">
        <v>74</v>
      </c>
      <c r="U195" s="3" t="s">
        <v>4194</v>
      </c>
      <c r="V195" s="3" t="s">
        <v>4195</v>
      </c>
      <c r="W195" s="3" t="s">
        <v>4196</v>
      </c>
      <c r="X195" s="3" t="s">
        <v>4197</v>
      </c>
      <c r="Y195" s="3" t="s">
        <v>4198</v>
      </c>
      <c r="Z195" s="3" t="s">
        <v>4199</v>
      </c>
      <c r="AA195" s="3" t="s">
        <v>4200</v>
      </c>
      <c r="AB195" s="3" t="s">
        <v>4201</v>
      </c>
      <c r="AC195" s="3" t="s">
        <v>4202</v>
      </c>
      <c r="AD195" s="3" t="s">
        <v>4203</v>
      </c>
      <c r="AE195" s="3" t="s">
        <v>4204</v>
      </c>
      <c r="AF195" s="3" t="s">
        <v>74</v>
      </c>
      <c r="AG195" s="3">
        <v>32</v>
      </c>
      <c r="AH195" s="3">
        <v>32</v>
      </c>
      <c r="AI195" s="3">
        <v>36</v>
      </c>
      <c r="AJ195" s="3">
        <v>0</v>
      </c>
      <c r="AK195" s="3">
        <v>31</v>
      </c>
      <c r="AL195" s="3" t="s">
        <v>2788</v>
      </c>
      <c r="AM195" s="3" t="s">
        <v>2789</v>
      </c>
      <c r="AN195" s="3" t="s">
        <v>2790</v>
      </c>
      <c r="AO195" s="3" t="s">
        <v>4205</v>
      </c>
      <c r="AP195" s="3" t="s">
        <v>74</v>
      </c>
      <c r="AQ195" s="3" t="s">
        <v>74</v>
      </c>
      <c r="AR195" s="3" t="s">
        <v>4206</v>
      </c>
      <c r="AS195" s="3" t="s">
        <v>4207</v>
      </c>
      <c r="AT195" s="3" t="s">
        <v>74</v>
      </c>
      <c r="AU195" s="3">
        <v>2015</v>
      </c>
      <c r="AV195" s="3" t="s">
        <v>74</v>
      </c>
      <c r="AW195" s="3" t="s">
        <v>74</v>
      </c>
      <c r="AX195" s="3" t="s">
        <v>74</v>
      </c>
      <c r="AY195" s="3" t="s">
        <v>74</v>
      </c>
      <c r="AZ195" s="3" t="s">
        <v>74</v>
      </c>
      <c r="BA195" s="3" t="s">
        <v>74</v>
      </c>
      <c r="BB195" s="3" t="s">
        <v>74</v>
      </c>
      <c r="BC195" s="3" t="s">
        <v>74</v>
      </c>
      <c r="BD195" s="3">
        <v>785061</v>
      </c>
      <c r="BE195" s="3" t="s">
        <v>4208</v>
      </c>
      <c r="BF195" s="3" t="str">
        <f>HYPERLINK("http://dx.doi.org/10.1155/2015/785061","http://dx.doi.org/10.1155/2015/785061")</f>
        <v>http://dx.doi.org/10.1155/2015/785061</v>
      </c>
      <c r="BG195" s="3" t="s">
        <v>74</v>
      </c>
      <c r="BH195" s="3" t="s">
        <v>74</v>
      </c>
      <c r="BI195" s="3">
        <v>15</v>
      </c>
      <c r="BJ195" s="3" t="s">
        <v>1825</v>
      </c>
      <c r="BK195" s="3" t="s">
        <v>179</v>
      </c>
      <c r="BL195" s="3" t="s">
        <v>1826</v>
      </c>
      <c r="BM195" s="3" t="s">
        <v>4209</v>
      </c>
      <c r="BN195" s="3" t="s">
        <v>74</v>
      </c>
      <c r="BO195" s="3" t="s">
        <v>133</v>
      </c>
      <c r="BP195" s="3" t="s">
        <v>74</v>
      </c>
      <c r="BQ195" s="3" t="s">
        <v>74</v>
      </c>
      <c r="BR195" s="3" t="s">
        <v>101</v>
      </c>
      <c r="BS195" s="3" t="s">
        <v>4210</v>
      </c>
      <c r="BT195" s="3" t="str">
        <f>HYPERLINK("https%3A%2F%2Fwww.webofscience.com%2Fwos%2Fwoscc%2Ffull-record%2FWOS:000360477100001","View Full Record in Web of Science")</f>
        <v>View Full Record in Web of Science</v>
      </c>
      <c r="BU195" s="3"/>
      <c r="BV195" s="3"/>
      <c r="BW195" s="1"/>
    </row>
    <row r="196" spans="1:75" x14ac:dyDescent="0.25">
      <c r="A196" s="3" t="s">
        <v>103</v>
      </c>
      <c r="B196" s="3" t="s">
        <v>4211</v>
      </c>
      <c r="C196" s="3" t="s">
        <v>74</v>
      </c>
      <c r="D196" s="3" t="s">
        <v>4212</v>
      </c>
      <c r="E196" s="3" t="s">
        <v>74</v>
      </c>
      <c r="F196" s="3" t="s">
        <v>4213</v>
      </c>
      <c r="G196" s="3" t="s">
        <v>74</v>
      </c>
      <c r="H196" s="3" t="s">
        <v>74</v>
      </c>
      <c r="I196" s="3" t="s">
        <v>4214</v>
      </c>
      <c r="J196" s="3" t="s">
        <v>4215</v>
      </c>
      <c r="K196" s="3" t="s">
        <v>4216</v>
      </c>
      <c r="L196" s="3" t="s">
        <v>74</v>
      </c>
      <c r="M196" s="3" t="s">
        <v>110</v>
      </c>
      <c r="N196" s="3" t="s">
        <v>111</v>
      </c>
      <c r="O196" s="3" t="s">
        <v>4217</v>
      </c>
      <c r="P196" s="3" t="s">
        <v>4218</v>
      </c>
      <c r="Q196" s="3" t="s">
        <v>773</v>
      </c>
      <c r="R196" s="3" t="s">
        <v>74</v>
      </c>
      <c r="S196" s="3" t="s">
        <v>74</v>
      </c>
      <c r="T196" s="3" t="s">
        <v>4219</v>
      </c>
      <c r="U196" s="3" t="s">
        <v>74</v>
      </c>
      <c r="V196" s="3" t="s">
        <v>4220</v>
      </c>
      <c r="W196" s="3" t="s">
        <v>4221</v>
      </c>
      <c r="X196" s="3" t="s">
        <v>1843</v>
      </c>
      <c r="Y196" s="3" t="s">
        <v>4222</v>
      </c>
      <c r="Z196" s="3" t="s">
        <v>4223</v>
      </c>
      <c r="AA196" s="3" t="s">
        <v>1846</v>
      </c>
      <c r="AB196" s="3" t="s">
        <v>4224</v>
      </c>
      <c r="AC196" s="3" t="s">
        <v>74</v>
      </c>
      <c r="AD196" s="3" t="s">
        <v>74</v>
      </c>
      <c r="AE196" s="3" t="s">
        <v>74</v>
      </c>
      <c r="AF196" s="3" t="s">
        <v>74</v>
      </c>
      <c r="AG196" s="3">
        <v>10</v>
      </c>
      <c r="AH196" s="3">
        <v>16</v>
      </c>
      <c r="AI196" s="3">
        <v>18</v>
      </c>
      <c r="AJ196" s="3">
        <v>1</v>
      </c>
      <c r="AK196" s="3">
        <v>15</v>
      </c>
      <c r="AL196" s="3" t="s">
        <v>374</v>
      </c>
      <c r="AM196" s="3" t="s">
        <v>375</v>
      </c>
      <c r="AN196" s="3" t="s">
        <v>376</v>
      </c>
      <c r="AO196" s="3" t="s">
        <v>4225</v>
      </c>
      <c r="AP196" s="3" t="s">
        <v>4226</v>
      </c>
      <c r="AQ196" s="3" t="s">
        <v>4227</v>
      </c>
      <c r="AR196" s="3" t="s">
        <v>4228</v>
      </c>
      <c r="AS196" s="3" t="s">
        <v>74</v>
      </c>
      <c r="AT196" s="3" t="s">
        <v>74</v>
      </c>
      <c r="AU196" s="3">
        <v>2019</v>
      </c>
      <c r="AV196" s="3">
        <v>879</v>
      </c>
      <c r="AW196" s="3" t="s">
        <v>74</v>
      </c>
      <c r="AX196" s="3" t="s">
        <v>74</v>
      </c>
      <c r="AY196" s="3" t="s">
        <v>74</v>
      </c>
      <c r="AZ196" s="3" t="s">
        <v>74</v>
      </c>
      <c r="BA196" s="3" t="s">
        <v>74</v>
      </c>
      <c r="BB196" s="3">
        <v>614</v>
      </c>
      <c r="BC196" s="3">
        <v>621</v>
      </c>
      <c r="BD196" s="3" t="s">
        <v>74</v>
      </c>
      <c r="BE196" s="3" t="s">
        <v>4229</v>
      </c>
      <c r="BF196" s="3" t="str">
        <f>HYPERLINK("http://dx.doi.org/10.1007/978-3-030-02305-8_74","http://dx.doi.org/10.1007/978-3-030-02305-8_74")</f>
        <v>http://dx.doi.org/10.1007/978-3-030-02305-8_74</v>
      </c>
      <c r="BG196" s="3" t="s">
        <v>74</v>
      </c>
      <c r="BH196" s="3" t="s">
        <v>74</v>
      </c>
      <c r="BI196" s="3">
        <v>8</v>
      </c>
      <c r="BJ196" s="3" t="s">
        <v>4230</v>
      </c>
      <c r="BK196" s="3" t="s">
        <v>208</v>
      </c>
      <c r="BL196" s="3" t="s">
        <v>4231</v>
      </c>
      <c r="BM196" s="3" t="s">
        <v>4232</v>
      </c>
      <c r="BN196" s="3" t="s">
        <v>74</v>
      </c>
      <c r="BO196" s="3" t="s">
        <v>74</v>
      </c>
      <c r="BP196" s="3" t="s">
        <v>74</v>
      </c>
      <c r="BQ196" s="3" t="s">
        <v>74</v>
      </c>
      <c r="BR196" s="3" t="s">
        <v>101</v>
      </c>
      <c r="BS196" s="3" t="s">
        <v>4233</v>
      </c>
      <c r="BT196" s="3" t="str">
        <f>HYPERLINK("https%3A%2F%2Fwww.webofscience.com%2Fwos%2Fwoscc%2Ffull-record%2FWOS:000589182700074","View Full Record in Web of Science")</f>
        <v>View Full Record in Web of Science</v>
      </c>
      <c r="BU196" s="3"/>
      <c r="BV196" s="3"/>
      <c r="BW196" s="1"/>
    </row>
    <row r="197" spans="1:75" x14ac:dyDescent="0.25">
      <c r="A197" s="3" t="s">
        <v>72</v>
      </c>
      <c r="B197" s="3" t="s">
        <v>4234</v>
      </c>
      <c r="C197" s="3" t="s">
        <v>74</v>
      </c>
      <c r="D197" s="3" t="s">
        <v>74</v>
      </c>
      <c r="E197" s="3" t="s">
        <v>74</v>
      </c>
      <c r="F197" s="3" t="s">
        <v>4235</v>
      </c>
      <c r="G197" s="3" t="s">
        <v>74</v>
      </c>
      <c r="H197" s="3" t="s">
        <v>74</v>
      </c>
      <c r="I197" s="3" t="s">
        <v>4236</v>
      </c>
      <c r="J197" s="3" t="s">
        <v>517</v>
      </c>
      <c r="K197" s="3" t="s">
        <v>74</v>
      </c>
      <c r="L197" s="3" t="s">
        <v>74</v>
      </c>
      <c r="M197" s="3" t="s">
        <v>110</v>
      </c>
      <c r="N197" s="3" t="s">
        <v>216</v>
      </c>
      <c r="O197" s="3" t="s">
        <v>74</v>
      </c>
      <c r="P197" s="3" t="s">
        <v>74</v>
      </c>
      <c r="Q197" s="3" t="s">
        <v>74</v>
      </c>
      <c r="R197" s="3" t="s">
        <v>74</v>
      </c>
      <c r="S197" s="3" t="s">
        <v>74</v>
      </c>
      <c r="T197" s="3" t="s">
        <v>4237</v>
      </c>
      <c r="U197" s="3" t="s">
        <v>4238</v>
      </c>
      <c r="V197" s="3" t="s">
        <v>4239</v>
      </c>
      <c r="W197" s="3" t="s">
        <v>4240</v>
      </c>
      <c r="X197" s="3" t="s">
        <v>4241</v>
      </c>
      <c r="Y197" s="3" t="s">
        <v>4242</v>
      </c>
      <c r="Z197" s="3" t="s">
        <v>4243</v>
      </c>
      <c r="AA197" s="3" t="s">
        <v>4244</v>
      </c>
      <c r="AB197" s="3" t="s">
        <v>4245</v>
      </c>
      <c r="AC197" s="3" t="s">
        <v>74</v>
      </c>
      <c r="AD197" s="3" t="s">
        <v>74</v>
      </c>
      <c r="AE197" s="3" t="s">
        <v>74</v>
      </c>
      <c r="AF197" s="3" t="s">
        <v>74</v>
      </c>
      <c r="AG197" s="3">
        <v>102</v>
      </c>
      <c r="AH197" s="3">
        <v>48</v>
      </c>
      <c r="AI197" s="3">
        <v>51</v>
      </c>
      <c r="AJ197" s="3">
        <v>6</v>
      </c>
      <c r="AK197" s="3">
        <v>114</v>
      </c>
      <c r="AL197" s="3" t="s">
        <v>527</v>
      </c>
      <c r="AM197" s="3" t="s">
        <v>528</v>
      </c>
      <c r="AN197" s="3" t="s">
        <v>529</v>
      </c>
      <c r="AO197" s="3" t="s">
        <v>530</v>
      </c>
      <c r="AP197" s="3" t="s">
        <v>4246</v>
      </c>
      <c r="AQ197" s="3" t="s">
        <v>74</v>
      </c>
      <c r="AR197" s="3" t="s">
        <v>531</v>
      </c>
      <c r="AS197" s="3" t="s">
        <v>532</v>
      </c>
      <c r="AT197" s="3" t="s">
        <v>176</v>
      </c>
      <c r="AU197" s="3">
        <v>2021</v>
      </c>
      <c r="AV197" s="3">
        <v>61</v>
      </c>
      <c r="AW197" s="3" t="s">
        <v>74</v>
      </c>
      <c r="AX197" s="3" t="s">
        <v>74</v>
      </c>
      <c r="AY197" s="3" t="s">
        <v>74</v>
      </c>
      <c r="AZ197" s="3" t="s">
        <v>74</v>
      </c>
      <c r="BA197" s="3" t="s">
        <v>74</v>
      </c>
      <c r="BB197" s="3" t="s">
        <v>74</v>
      </c>
      <c r="BC197" s="3" t="s">
        <v>74</v>
      </c>
      <c r="BD197" s="3">
        <v>127094</v>
      </c>
      <c r="BE197" s="3" t="s">
        <v>4247</v>
      </c>
      <c r="BF197" s="3" t="str">
        <f>HYPERLINK("http://dx.doi.org/10.1016/j.ufug.2021.127094","http://dx.doi.org/10.1016/j.ufug.2021.127094")</f>
        <v>http://dx.doi.org/10.1016/j.ufug.2021.127094</v>
      </c>
      <c r="BG197" s="3" t="s">
        <v>74</v>
      </c>
      <c r="BH197" s="3" t="s">
        <v>4248</v>
      </c>
      <c r="BI197" s="3">
        <v>17</v>
      </c>
      <c r="BJ197" s="3" t="s">
        <v>535</v>
      </c>
      <c r="BK197" s="3" t="s">
        <v>154</v>
      </c>
      <c r="BL197" s="3" t="s">
        <v>536</v>
      </c>
      <c r="BM197" s="3" t="s">
        <v>4249</v>
      </c>
      <c r="BN197" s="3" t="s">
        <v>74</v>
      </c>
      <c r="BO197" s="3" t="s">
        <v>74</v>
      </c>
      <c r="BP197" s="3" t="s">
        <v>74</v>
      </c>
      <c r="BQ197" s="3" t="s">
        <v>74</v>
      </c>
      <c r="BR197" s="3" t="s">
        <v>101</v>
      </c>
      <c r="BS197" s="3" t="s">
        <v>4250</v>
      </c>
      <c r="BT197" s="3" t="str">
        <f>HYPERLINK("https%3A%2F%2Fwww.webofscience.com%2Fwos%2Fwoscc%2Ffull-record%2FWOS:000641971700010","View Full Record in Web of Science")</f>
        <v>View Full Record in Web of Science</v>
      </c>
      <c r="BU197" s="3"/>
      <c r="BV197" s="3"/>
      <c r="BW197" s="1"/>
    </row>
    <row r="198" spans="1:75" x14ac:dyDescent="0.25">
      <c r="A198" s="3" t="s">
        <v>72</v>
      </c>
      <c r="B198" s="3" t="s">
        <v>4251</v>
      </c>
      <c r="C198" s="3" t="s">
        <v>74</v>
      </c>
      <c r="D198" s="3" t="s">
        <v>74</v>
      </c>
      <c r="E198" s="3" t="s">
        <v>74</v>
      </c>
      <c r="F198" s="3" t="s">
        <v>4252</v>
      </c>
      <c r="G198" s="3" t="s">
        <v>74</v>
      </c>
      <c r="H198" s="3" t="s">
        <v>74</v>
      </c>
      <c r="I198" s="3" t="s">
        <v>4253</v>
      </c>
      <c r="J198" s="3" t="s">
        <v>4254</v>
      </c>
      <c r="K198" s="3" t="s">
        <v>74</v>
      </c>
      <c r="L198" s="3" t="s">
        <v>74</v>
      </c>
      <c r="M198" s="3" t="s">
        <v>110</v>
      </c>
      <c r="N198" s="3" t="s">
        <v>79</v>
      </c>
      <c r="O198" s="3" t="s">
        <v>74</v>
      </c>
      <c r="P198" s="3" t="s">
        <v>74</v>
      </c>
      <c r="Q198" s="3" t="s">
        <v>74</v>
      </c>
      <c r="R198" s="3" t="s">
        <v>74</v>
      </c>
      <c r="S198" s="3" t="s">
        <v>74</v>
      </c>
      <c r="T198" s="3" t="s">
        <v>4255</v>
      </c>
      <c r="U198" s="3" t="s">
        <v>4256</v>
      </c>
      <c r="V198" s="3" t="s">
        <v>4257</v>
      </c>
      <c r="W198" s="3" t="s">
        <v>4258</v>
      </c>
      <c r="X198" s="3" t="s">
        <v>4259</v>
      </c>
      <c r="Y198" s="3" t="s">
        <v>4260</v>
      </c>
      <c r="Z198" s="3" t="s">
        <v>4261</v>
      </c>
      <c r="AA198" s="3" t="s">
        <v>4262</v>
      </c>
      <c r="AB198" s="3" t="s">
        <v>4263</v>
      </c>
      <c r="AC198" s="3" t="s">
        <v>74</v>
      </c>
      <c r="AD198" s="3" t="s">
        <v>74</v>
      </c>
      <c r="AE198" s="3" t="s">
        <v>74</v>
      </c>
      <c r="AF198" s="3" t="s">
        <v>74</v>
      </c>
      <c r="AG198" s="3">
        <v>42</v>
      </c>
      <c r="AH198" s="3">
        <v>16</v>
      </c>
      <c r="AI198" s="3">
        <v>19</v>
      </c>
      <c r="AJ198" s="3">
        <v>0</v>
      </c>
      <c r="AK198" s="3">
        <v>12</v>
      </c>
      <c r="AL198" s="3" t="s">
        <v>145</v>
      </c>
      <c r="AM198" s="3" t="s">
        <v>146</v>
      </c>
      <c r="AN198" s="3" t="s">
        <v>147</v>
      </c>
      <c r="AO198" s="3" t="s">
        <v>74</v>
      </c>
      <c r="AP198" s="3" t="s">
        <v>4264</v>
      </c>
      <c r="AQ198" s="3" t="s">
        <v>74</v>
      </c>
      <c r="AR198" s="3" t="s">
        <v>4265</v>
      </c>
      <c r="AS198" s="3" t="s">
        <v>4266</v>
      </c>
      <c r="AT198" s="3" t="s">
        <v>1450</v>
      </c>
      <c r="AU198" s="3">
        <v>2019</v>
      </c>
      <c r="AV198" s="3">
        <v>8</v>
      </c>
      <c r="AW198" s="3">
        <v>7</v>
      </c>
      <c r="AX198" s="3" t="s">
        <v>74</v>
      </c>
      <c r="AY198" s="3" t="s">
        <v>74</v>
      </c>
      <c r="AZ198" s="3" t="s">
        <v>74</v>
      </c>
      <c r="BA198" s="3" t="s">
        <v>74</v>
      </c>
      <c r="BB198" s="3" t="s">
        <v>74</v>
      </c>
      <c r="BC198" s="3" t="s">
        <v>74</v>
      </c>
      <c r="BD198" s="3">
        <v>298</v>
      </c>
      <c r="BE198" s="3" t="s">
        <v>4267</v>
      </c>
      <c r="BF198" s="3" t="str">
        <f>HYPERLINK("http://dx.doi.org/10.3390/ijgi8070298","http://dx.doi.org/10.3390/ijgi8070298")</f>
        <v>http://dx.doi.org/10.3390/ijgi8070298</v>
      </c>
      <c r="BG198" s="3" t="s">
        <v>74</v>
      </c>
      <c r="BH198" s="3" t="s">
        <v>74</v>
      </c>
      <c r="BI198" s="3">
        <v>17</v>
      </c>
      <c r="BJ198" s="3" t="s">
        <v>4268</v>
      </c>
      <c r="BK198" s="3" t="s">
        <v>179</v>
      </c>
      <c r="BL198" s="3" t="s">
        <v>4269</v>
      </c>
      <c r="BM198" s="3" t="s">
        <v>4270</v>
      </c>
      <c r="BN198" s="3" t="s">
        <v>74</v>
      </c>
      <c r="BO198" s="3" t="s">
        <v>133</v>
      </c>
      <c r="BP198" s="3" t="s">
        <v>74</v>
      </c>
      <c r="BQ198" s="3" t="s">
        <v>74</v>
      </c>
      <c r="BR198" s="3" t="s">
        <v>101</v>
      </c>
      <c r="BS198" s="3" t="s">
        <v>4271</v>
      </c>
      <c r="BT198" s="3" t="str">
        <f>HYPERLINK("https%3A%2F%2Fwww.webofscience.com%2Fwos%2Fwoscc%2Ffull-record%2FWOS:000478616400009","View Full Record in Web of Science")</f>
        <v>View Full Record in Web of Science</v>
      </c>
      <c r="BU198" s="3"/>
      <c r="BV198" s="3"/>
      <c r="BW198" s="1"/>
    </row>
    <row r="199" spans="1:75" x14ac:dyDescent="0.25">
      <c r="A199" s="3" t="s">
        <v>103</v>
      </c>
      <c r="B199" s="3" t="s">
        <v>4272</v>
      </c>
      <c r="C199" s="3" t="s">
        <v>74</v>
      </c>
      <c r="D199" s="3" t="s">
        <v>74</v>
      </c>
      <c r="E199" s="3" t="s">
        <v>199</v>
      </c>
      <c r="F199" s="3" t="s">
        <v>4273</v>
      </c>
      <c r="G199" s="3" t="s">
        <v>74</v>
      </c>
      <c r="H199" s="3" t="s">
        <v>74</v>
      </c>
      <c r="I199" s="3" t="s">
        <v>4274</v>
      </c>
      <c r="J199" s="3" t="s">
        <v>4275</v>
      </c>
      <c r="K199" s="3" t="s">
        <v>2415</v>
      </c>
      <c r="L199" s="3" t="s">
        <v>74</v>
      </c>
      <c r="M199" s="3" t="s">
        <v>110</v>
      </c>
      <c r="N199" s="3" t="s">
        <v>111</v>
      </c>
      <c r="O199" s="3" t="s">
        <v>4276</v>
      </c>
      <c r="P199" s="3" t="s">
        <v>4277</v>
      </c>
      <c r="Q199" s="3" t="s">
        <v>4278</v>
      </c>
      <c r="R199" s="3" t="s">
        <v>74</v>
      </c>
      <c r="S199" s="3" t="s">
        <v>74</v>
      </c>
      <c r="T199" s="3" t="s">
        <v>4279</v>
      </c>
      <c r="U199" s="3" t="s">
        <v>74</v>
      </c>
      <c r="V199" s="3" t="s">
        <v>4280</v>
      </c>
      <c r="W199" s="3" t="s">
        <v>4281</v>
      </c>
      <c r="X199" s="3" t="s">
        <v>1176</v>
      </c>
      <c r="Y199" s="3" t="s">
        <v>4282</v>
      </c>
      <c r="Z199" s="3" t="s">
        <v>4283</v>
      </c>
      <c r="AA199" s="3" t="s">
        <v>4284</v>
      </c>
      <c r="AB199" s="3" t="s">
        <v>4285</v>
      </c>
      <c r="AC199" s="3" t="s">
        <v>4286</v>
      </c>
      <c r="AD199" s="3" t="s">
        <v>4286</v>
      </c>
      <c r="AE199" s="3" t="s">
        <v>4287</v>
      </c>
      <c r="AF199" s="3" t="s">
        <v>74</v>
      </c>
      <c r="AG199" s="3">
        <v>22</v>
      </c>
      <c r="AH199" s="3">
        <v>15</v>
      </c>
      <c r="AI199" s="3">
        <v>16</v>
      </c>
      <c r="AJ199" s="3">
        <v>0</v>
      </c>
      <c r="AK199" s="3">
        <v>3</v>
      </c>
      <c r="AL199" s="3" t="s">
        <v>199</v>
      </c>
      <c r="AM199" s="3" t="s">
        <v>200</v>
      </c>
      <c r="AN199" s="3" t="s">
        <v>201</v>
      </c>
      <c r="AO199" s="3" t="s">
        <v>2424</v>
      </c>
      <c r="AP199" s="3" t="s">
        <v>74</v>
      </c>
      <c r="AQ199" s="3" t="s">
        <v>4288</v>
      </c>
      <c r="AR199" s="3" t="s">
        <v>2426</v>
      </c>
      <c r="AS199" s="3" t="s">
        <v>74</v>
      </c>
      <c r="AT199" s="3" t="s">
        <v>74</v>
      </c>
      <c r="AU199" s="3">
        <v>2019</v>
      </c>
      <c r="AV199" s="3" t="s">
        <v>74</v>
      </c>
      <c r="AW199" s="3" t="s">
        <v>74</v>
      </c>
      <c r="AX199" s="3" t="s">
        <v>74</v>
      </c>
      <c r="AY199" s="3" t="s">
        <v>74</v>
      </c>
      <c r="AZ199" s="3" t="s">
        <v>74</v>
      </c>
      <c r="BA199" s="3" t="s">
        <v>74</v>
      </c>
      <c r="BB199" s="3" t="s">
        <v>74</v>
      </c>
      <c r="BC199" s="3" t="s">
        <v>74</v>
      </c>
      <c r="BD199" s="3" t="s">
        <v>74</v>
      </c>
      <c r="BE199" s="3" t="s">
        <v>4289</v>
      </c>
      <c r="BF199" s="3" t="str">
        <f>HYPERLINK("http://dx.doi.org/10.1109/vtcfall.2019.8891320","http://dx.doi.org/10.1109/vtcfall.2019.8891320")</f>
        <v>http://dx.doi.org/10.1109/vtcfall.2019.8891320</v>
      </c>
      <c r="BG199" s="3" t="s">
        <v>74</v>
      </c>
      <c r="BH199" s="3" t="s">
        <v>74</v>
      </c>
      <c r="BI199" s="3">
        <v>5</v>
      </c>
      <c r="BJ199" s="3" t="s">
        <v>4290</v>
      </c>
      <c r="BK199" s="3" t="s">
        <v>208</v>
      </c>
      <c r="BL199" s="3" t="s">
        <v>4291</v>
      </c>
      <c r="BM199" s="3" t="s">
        <v>4292</v>
      </c>
      <c r="BN199" s="3" t="s">
        <v>74</v>
      </c>
      <c r="BO199" s="3" t="s">
        <v>74</v>
      </c>
      <c r="BP199" s="3" t="s">
        <v>74</v>
      </c>
      <c r="BQ199" s="3" t="s">
        <v>74</v>
      </c>
      <c r="BR199" s="3" t="s">
        <v>101</v>
      </c>
      <c r="BS199" s="3" t="s">
        <v>4293</v>
      </c>
      <c r="BT199" s="3" t="str">
        <f>HYPERLINK("https%3A%2F%2Fwww.webofscience.com%2Fwos%2Fwoscc%2Ffull-record%2FWOS:000610542200264","View Full Record in Web of Science")</f>
        <v>View Full Record in Web of Science</v>
      </c>
      <c r="BU199" s="3"/>
      <c r="BV199" s="3"/>
      <c r="BW199" s="1"/>
    </row>
    <row r="200" spans="1:75" x14ac:dyDescent="0.25">
      <c r="A200" s="3" t="s">
        <v>103</v>
      </c>
      <c r="B200" s="3" t="s">
        <v>4294</v>
      </c>
      <c r="C200" s="3" t="s">
        <v>74</v>
      </c>
      <c r="D200" s="3" t="s">
        <v>74</v>
      </c>
      <c r="E200" s="3" t="s">
        <v>199</v>
      </c>
      <c r="F200" s="3" t="s">
        <v>4295</v>
      </c>
      <c r="G200" s="3" t="s">
        <v>74</v>
      </c>
      <c r="H200" s="3" t="s">
        <v>74</v>
      </c>
      <c r="I200" s="3" t="s">
        <v>4296</v>
      </c>
      <c r="J200" s="3" t="s">
        <v>4297</v>
      </c>
      <c r="K200" s="3" t="s">
        <v>74</v>
      </c>
      <c r="L200" s="3" t="s">
        <v>74</v>
      </c>
      <c r="M200" s="3" t="s">
        <v>110</v>
      </c>
      <c r="N200" s="3" t="s">
        <v>111</v>
      </c>
      <c r="O200" s="3" t="s">
        <v>4298</v>
      </c>
      <c r="P200" s="3" t="s">
        <v>4299</v>
      </c>
      <c r="Q200" s="3" t="s">
        <v>4300</v>
      </c>
      <c r="R200" s="3" t="s">
        <v>74</v>
      </c>
      <c r="S200" s="3" t="s">
        <v>74</v>
      </c>
      <c r="T200" s="3" t="s">
        <v>4301</v>
      </c>
      <c r="U200" s="3" t="s">
        <v>74</v>
      </c>
      <c r="V200" s="3" t="s">
        <v>4302</v>
      </c>
      <c r="W200" s="3" t="s">
        <v>4303</v>
      </c>
      <c r="X200" s="3" t="s">
        <v>4304</v>
      </c>
      <c r="Y200" s="3" t="s">
        <v>4305</v>
      </c>
      <c r="Z200" s="3" t="s">
        <v>4306</v>
      </c>
      <c r="AA200" s="3" t="s">
        <v>4307</v>
      </c>
      <c r="AB200" s="3" t="s">
        <v>4308</v>
      </c>
      <c r="AC200" s="3" t="s">
        <v>74</v>
      </c>
      <c r="AD200" s="3" t="s">
        <v>74</v>
      </c>
      <c r="AE200" s="3" t="s">
        <v>74</v>
      </c>
      <c r="AF200" s="3" t="s">
        <v>74</v>
      </c>
      <c r="AG200" s="3">
        <v>16</v>
      </c>
      <c r="AH200" s="3">
        <v>17</v>
      </c>
      <c r="AI200" s="3">
        <v>21</v>
      </c>
      <c r="AJ200" s="3">
        <v>0</v>
      </c>
      <c r="AK200" s="3">
        <v>1</v>
      </c>
      <c r="AL200" s="3" t="s">
        <v>199</v>
      </c>
      <c r="AM200" s="3" t="s">
        <v>200</v>
      </c>
      <c r="AN200" s="3" t="s">
        <v>201</v>
      </c>
      <c r="AO200" s="3" t="s">
        <v>74</v>
      </c>
      <c r="AP200" s="3" t="s">
        <v>74</v>
      </c>
      <c r="AQ200" s="3" t="s">
        <v>4309</v>
      </c>
      <c r="AR200" s="3" t="s">
        <v>74</v>
      </c>
      <c r="AS200" s="3" t="s">
        <v>74</v>
      </c>
      <c r="AT200" s="3" t="s">
        <v>74</v>
      </c>
      <c r="AU200" s="3">
        <v>2018</v>
      </c>
      <c r="AV200" s="3" t="s">
        <v>74</v>
      </c>
      <c r="AW200" s="3" t="s">
        <v>74</v>
      </c>
      <c r="AX200" s="3" t="s">
        <v>74</v>
      </c>
      <c r="AY200" s="3" t="s">
        <v>74</v>
      </c>
      <c r="AZ200" s="3" t="s">
        <v>74</v>
      </c>
      <c r="BA200" s="3" t="s">
        <v>74</v>
      </c>
      <c r="BB200" s="3">
        <v>6</v>
      </c>
      <c r="BC200" s="3">
        <v>11</v>
      </c>
      <c r="BD200" s="3" t="s">
        <v>74</v>
      </c>
      <c r="BE200" s="3" t="s">
        <v>74</v>
      </c>
      <c r="BF200" s="3" t="s">
        <v>74</v>
      </c>
      <c r="BG200" s="3" t="s">
        <v>74</v>
      </c>
      <c r="BH200" s="3" t="s">
        <v>74</v>
      </c>
      <c r="BI200" s="3">
        <v>6</v>
      </c>
      <c r="BJ200" s="3" t="s">
        <v>1566</v>
      </c>
      <c r="BK200" s="3" t="s">
        <v>208</v>
      </c>
      <c r="BL200" s="3" t="s">
        <v>486</v>
      </c>
      <c r="BM200" s="3" t="s">
        <v>4310</v>
      </c>
      <c r="BN200" s="3" t="s">
        <v>74</v>
      </c>
      <c r="BO200" s="3" t="s">
        <v>74</v>
      </c>
      <c r="BP200" s="3" t="s">
        <v>74</v>
      </c>
      <c r="BQ200" s="3" t="s">
        <v>74</v>
      </c>
      <c r="BR200" s="3" t="s">
        <v>101</v>
      </c>
      <c r="BS200" s="3" t="s">
        <v>4311</v>
      </c>
      <c r="BT200" s="3" t="str">
        <f>HYPERLINK("https%3A%2F%2Fwww.webofscience.com%2Fwos%2Fwoscc%2Ffull-record%2FWOS:000458103500002","View Full Record in Web of Science")</f>
        <v>View Full Record in Web of Science</v>
      </c>
      <c r="BU200" s="3"/>
      <c r="BV200" s="3"/>
      <c r="BW200" s="1"/>
    </row>
    <row r="201" spans="1:75" x14ac:dyDescent="0.25">
      <c r="A201" s="3" t="s">
        <v>72</v>
      </c>
      <c r="B201" s="3" t="s">
        <v>4312</v>
      </c>
      <c r="C201" s="3" t="s">
        <v>74</v>
      </c>
      <c r="D201" s="3" t="s">
        <v>74</v>
      </c>
      <c r="E201" s="3" t="s">
        <v>74</v>
      </c>
      <c r="F201" s="3" t="s">
        <v>4313</v>
      </c>
      <c r="G201" s="3" t="s">
        <v>74</v>
      </c>
      <c r="H201" s="3" t="s">
        <v>74</v>
      </c>
      <c r="I201" s="3" t="s">
        <v>4314</v>
      </c>
      <c r="J201" s="3" t="s">
        <v>138</v>
      </c>
      <c r="K201" s="3" t="s">
        <v>74</v>
      </c>
      <c r="L201" s="3" t="s">
        <v>74</v>
      </c>
      <c r="M201" s="3" t="s">
        <v>110</v>
      </c>
      <c r="N201" s="3" t="s">
        <v>442</v>
      </c>
      <c r="O201" s="3" t="s">
        <v>74</v>
      </c>
      <c r="P201" s="3" t="s">
        <v>74</v>
      </c>
      <c r="Q201" s="3" t="s">
        <v>74</v>
      </c>
      <c r="R201" s="3" t="s">
        <v>74</v>
      </c>
      <c r="S201" s="3" t="s">
        <v>74</v>
      </c>
      <c r="T201" s="3" t="s">
        <v>4315</v>
      </c>
      <c r="U201" s="3" t="s">
        <v>4316</v>
      </c>
      <c r="V201" s="3" t="s">
        <v>4317</v>
      </c>
      <c r="W201" s="3" t="s">
        <v>4318</v>
      </c>
      <c r="X201" s="3" t="s">
        <v>4319</v>
      </c>
      <c r="Y201" s="3" t="s">
        <v>4320</v>
      </c>
      <c r="Z201" s="3" t="s">
        <v>4321</v>
      </c>
      <c r="AA201" s="3" t="s">
        <v>4322</v>
      </c>
      <c r="AB201" s="3" t="s">
        <v>4323</v>
      </c>
      <c r="AC201" s="3" t="s">
        <v>4324</v>
      </c>
      <c r="AD201" s="3" t="s">
        <v>4325</v>
      </c>
      <c r="AE201" s="3" t="s">
        <v>4326</v>
      </c>
      <c r="AF201" s="3" t="s">
        <v>74</v>
      </c>
      <c r="AG201" s="3">
        <v>103</v>
      </c>
      <c r="AH201" s="3">
        <v>11</v>
      </c>
      <c r="AI201" s="3">
        <v>13</v>
      </c>
      <c r="AJ201" s="3">
        <v>1</v>
      </c>
      <c r="AK201" s="3">
        <v>41</v>
      </c>
      <c r="AL201" s="3" t="s">
        <v>145</v>
      </c>
      <c r="AM201" s="3" t="s">
        <v>146</v>
      </c>
      <c r="AN201" s="3" t="s">
        <v>279</v>
      </c>
      <c r="AO201" s="3" t="s">
        <v>74</v>
      </c>
      <c r="AP201" s="3" t="s">
        <v>148</v>
      </c>
      <c r="AQ201" s="3" t="s">
        <v>74</v>
      </c>
      <c r="AR201" s="3" t="s">
        <v>149</v>
      </c>
      <c r="AS201" s="3" t="s">
        <v>150</v>
      </c>
      <c r="AT201" s="3" t="s">
        <v>283</v>
      </c>
      <c r="AU201" s="3">
        <v>2019</v>
      </c>
      <c r="AV201" s="3">
        <v>11</v>
      </c>
      <c r="AW201" s="3">
        <v>16</v>
      </c>
      <c r="AX201" s="3" t="s">
        <v>74</v>
      </c>
      <c r="AY201" s="3" t="s">
        <v>74</v>
      </c>
      <c r="AZ201" s="3" t="s">
        <v>74</v>
      </c>
      <c r="BA201" s="3" t="s">
        <v>74</v>
      </c>
      <c r="BB201" s="3" t="s">
        <v>74</v>
      </c>
      <c r="BC201" s="3" t="s">
        <v>74</v>
      </c>
      <c r="BD201" s="3">
        <v>4422</v>
      </c>
      <c r="BE201" s="3" t="s">
        <v>4327</v>
      </c>
      <c r="BF201" s="3" t="str">
        <f>HYPERLINK("http://dx.doi.org/10.3390/su11164422","http://dx.doi.org/10.3390/su11164422")</f>
        <v>http://dx.doi.org/10.3390/su11164422</v>
      </c>
      <c r="BG201" s="3" t="s">
        <v>74</v>
      </c>
      <c r="BH201" s="3" t="s">
        <v>74</v>
      </c>
      <c r="BI201" s="3">
        <v>11</v>
      </c>
      <c r="BJ201" s="3" t="s">
        <v>153</v>
      </c>
      <c r="BK201" s="3" t="s">
        <v>154</v>
      </c>
      <c r="BL201" s="3" t="s">
        <v>155</v>
      </c>
      <c r="BM201" s="3" t="s">
        <v>4328</v>
      </c>
      <c r="BN201" s="3" t="s">
        <v>74</v>
      </c>
      <c r="BO201" s="3" t="s">
        <v>133</v>
      </c>
      <c r="BP201" s="3" t="s">
        <v>74</v>
      </c>
      <c r="BQ201" s="3" t="s">
        <v>74</v>
      </c>
      <c r="BR201" s="3" t="s">
        <v>101</v>
      </c>
      <c r="BS201" s="3" t="s">
        <v>4329</v>
      </c>
      <c r="BT201" s="3" t="str">
        <f>HYPERLINK("https%3A%2F%2Fwww.webofscience.com%2Fwos%2Fwoscc%2Ffull-record%2FWOS:000484472500166","View Full Record in Web of Science")</f>
        <v>View Full Record in Web of Science</v>
      </c>
      <c r="BU201" s="3"/>
      <c r="BV201" s="3"/>
      <c r="BW201" s="1"/>
    </row>
    <row r="202" spans="1:75" x14ac:dyDescent="0.25">
      <c r="A202" s="3" t="s">
        <v>72</v>
      </c>
      <c r="B202" s="3" t="s">
        <v>4330</v>
      </c>
      <c r="C202" s="3" t="s">
        <v>74</v>
      </c>
      <c r="D202" s="3" t="s">
        <v>74</v>
      </c>
      <c r="E202" s="3" t="s">
        <v>74</v>
      </c>
      <c r="F202" s="3" t="s">
        <v>4331</v>
      </c>
      <c r="G202" s="3" t="s">
        <v>74</v>
      </c>
      <c r="H202" s="3" t="s">
        <v>74</v>
      </c>
      <c r="I202" s="3" t="s">
        <v>4332</v>
      </c>
      <c r="J202" s="3" t="s">
        <v>138</v>
      </c>
      <c r="K202" s="3" t="s">
        <v>74</v>
      </c>
      <c r="L202" s="3" t="s">
        <v>74</v>
      </c>
      <c r="M202" s="3" t="s">
        <v>110</v>
      </c>
      <c r="N202" s="3" t="s">
        <v>79</v>
      </c>
      <c r="O202" s="3" t="s">
        <v>74</v>
      </c>
      <c r="P202" s="3" t="s">
        <v>74</v>
      </c>
      <c r="Q202" s="3" t="s">
        <v>74</v>
      </c>
      <c r="R202" s="3" t="s">
        <v>74</v>
      </c>
      <c r="S202" s="3" t="s">
        <v>74</v>
      </c>
      <c r="T202" s="3" t="s">
        <v>4333</v>
      </c>
      <c r="U202" s="3" t="s">
        <v>4334</v>
      </c>
      <c r="V202" s="3" t="s">
        <v>4335</v>
      </c>
      <c r="W202" s="3" t="s">
        <v>4336</v>
      </c>
      <c r="X202" s="3" t="s">
        <v>4337</v>
      </c>
      <c r="Y202" s="3" t="s">
        <v>4338</v>
      </c>
      <c r="Z202" s="3" t="s">
        <v>4339</v>
      </c>
      <c r="AA202" s="3" t="s">
        <v>4340</v>
      </c>
      <c r="AB202" s="3" t="s">
        <v>4341</v>
      </c>
      <c r="AC202" s="3" t="s">
        <v>4342</v>
      </c>
      <c r="AD202" s="3" t="s">
        <v>4342</v>
      </c>
      <c r="AE202" s="3" t="s">
        <v>4343</v>
      </c>
      <c r="AF202" s="3" t="s">
        <v>74</v>
      </c>
      <c r="AG202" s="3">
        <v>39</v>
      </c>
      <c r="AH202" s="3">
        <v>6</v>
      </c>
      <c r="AI202" s="3">
        <v>7</v>
      </c>
      <c r="AJ202" s="3">
        <v>0</v>
      </c>
      <c r="AK202" s="3">
        <v>17</v>
      </c>
      <c r="AL202" s="3" t="s">
        <v>145</v>
      </c>
      <c r="AM202" s="3" t="s">
        <v>146</v>
      </c>
      <c r="AN202" s="3" t="s">
        <v>147</v>
      </c>
      <c r="AO202" s="3" t="s">
        <v>74</v>
      </c>
      <c r="AP202" s="3" t="s">
        <v>148</v>
      </c>
      <c r="AQ202" s="3" t="s">
        <v>74</v>
      </c>
      <c r="AR202" s="3" t="s">
        <v>149</v>
      </c>
      <c r="AS202" s="3" t="s">
        <v>150</v>
      </c>
      <c r="AT202" s="3" t="s">
        <v>592</v>
      </c>
      <c r="AU202" s="3">
        <v>2020</v>
      </c>
      <c r="AV202" s="3">
        <v>12</v>
      </c>
      <c r="AW202" s="3">
        <v>22</v>
      </c>
      <c r="AX202" s="3" t="s">
        <v>74</v>
      </c>
      <c r="AY202" s="3" t="s">
        <v>74</v>
      </c>
      <c r="AZ202" s="3" t="s">
        <v>74</v>
      </c>
      <c r="BA202" s="3" t="s">
        <v>74</v>
      </c>
      <c r="BB202" s="3" t="s">
        <v>74</v>
      </c>
      <c r="BC202" s="3" t="s">
        <v>74</v>
      </c>
      <c r="BD202" s="3">
        <v>9633</v>
      </c>
      <c r="BE202" s="3" t="s">
        <v>4344</v>
      </c>
      <c r="BF202" s="3" t="str">
        <f>HYPERLINK("http://dx.doi.org/10.3390/su12229633","http://dx.doi.org/10.3390/su12229633")</f>
        <v>http://dx.doi.org/10.3390/su12229633</v>
      </c>
      <c r="BG202" s="3" t="s">
        <v>74</v>
      </c>
      <c r="BH202" s="3" t="s">
        <v>74</v>
      </c>
      <c r="BI202" s="3">
        <v>29</v>
      </c>
      <c r="BJ202" s="3" t="s">
        <v>153</v>
      </c>
      <c r="BK202" s="3" t="s">
        <v>154</v>
      </c>
      <c r="BL202" s="3" t="s">
        <v>155</v>
      </c>
      <c r="BM202" s="3" t="s">
        <v>4345</v>
      </c>
      <c r="BN202" s="3" t="s">
        <v>74</v>
      </c>
      <c r="BO202" s="3" t="s">
        <v>133</v>
      </c>
      <c r="BP202" s="3" t="s">
        <v>74</v>
      </c>
      <c r="BQ202" s="3" t="s">
        <v>74</v>
      </c>
      <c r="BR202" s="3" t="s">
        <v>101</v>
      </c>
      <c r="BS202" s="3" t="s">
        <v>4346</v>
      </c>
      <c r="BT202" s="3" t="str">
        <f>HYPERLINK("https%3A%2F%2Fwww.webofscience.com%2Fwos%2Fwoscc%2Ffull-record%2FWOS:000594571300001","View Full Record in Web of Science")</f>
        <v>View Full Record in Web of Science</v>
      </c>
      <c r="BU202" s="3"/>
      <c r="BV202" s="3"/>
      <c r="BW202" s="1"/>
    </row>
    <row r="203" spans="1:75" x14ac:dyDescent="0.25">
      <c r="A203" s="3" t="s">
        <v>72</v>
      </c>
      <c r="B203" s="3" t="s">
        <v>4347</v>
      </c>
      <c r="C203" s="3" t="s">
        <v>74</v>
      </c>
      <c r="D203" s="3" t="s">
        <v>74</v>
      </c>
      <c r="E203" s="3" t="s">
        <v>74</v>
      </c>
      <c r="F203" s="3" t="s">
        <v>4348</v>
      </c>
      <c r="G203" s="3" t="s">
        <v>74</v>
      </c>
      <c r="H203" s="3" t="s">
        <v>74</v>
      </c>
      <c r="I203" s="3" t="s">
        <v>4349</v>
      </c>
      <c r="J203" s="3" t="s">
        <v>4350</v>
      </c>
      <c r="K203" s="3" t="s">
        <v>74</v>
      </c>
      <c r="L203" s="3" t="s">
        <v>74</v>
      </c>
      <c r="M203" s="3" t="s">
        <v>110</v>
      </c>
      <c r="N203" s="3" t="s">
        <v>79</v>
      </c>
      <c r="O203" s="3" t="s">
        <v>74</v>
      </c>
      <c r="P203" s="3" t="s">
        <v>74</v>
      </c>
      <c r="Q203" s="3" t="s">
        <v>74</v>
      </c>
      <c r="R203" s="3" t="s">
        <v>74</v>
      </c>
      <c r="S203" s="3" t="s">
        <v>74</v>
      </c>
      <c r="T203" s="3" t="s">
        <v>4351</v>
      </c>
      <c r="U203" s="3" t="s">
        <v>4352</v>
      </c>
      <c r="V203" s="3" t="s">
        <v>4353</v>
      </c>
      <c r="W203" s="3" t="s">
        <v>4354</v>
      </c>
      <c r="X203" s="3" t="s">
        <v>4355</v>
      </c>
      <c r="Y203" s="3" t="s">
        <v>4356</v>
      </c>
      <c r="Z203" s="3" t="s">
        <v>4357</v>
      </c>
      <c r="AA203" s="3" t="s">
        <v>4358</v>
      </c>
      <c r="AB203" s="3" t="s">
        <v>4359</v>
      </c>
      <c r="AC203" s="3" t="s">
        <v>74</v>
      </c>
      <c r="AD203" s="3" t="s">
        <v>74</v>
      </c>
      <c r="AE203" s="3" t="s">
        <v>74</v>
      </c>
      <c r="AF203" s="3" t="s">
        <v>74</v>
      </c>
      <c r="AG203" s="3">
        <v>25</v>
      </c>
      <c r="AH203" s="3">
        <v>6</v>
      </c>
      <c r="AI203" s="3">
        <v>7</v>
      </c>
      <c r="AJ203" s="3">
        <v>0</v>
      </c>
      <c r="AK203" s="3">
        <v>13</v>
      </c>
      <c r="AL203" s="3" t="s">
        <v>2239</v>
      </c>
      <c r="AM203" s="3" t="s">
        <v>2240</v>
      </c>
      <c r="AN203" s="3" t="s">
        <v>2241</v>
      </c>
      <c r="AO203" s="3" t="s">
        <v>4360</v>
      </c>
      <c r="AP203" s="3" t="s">
        <v>4361</v>
      </c>
      <c r="AQ203" s="3" t="s">
        <v>74</v>
      </c>
      <c r="AR203" s="3" t="s">
        <v>4362</v>
      </c>
      <c r="AS203" s="3" t="s">
        <v>4363</v>
      </c>
      <c r="AT203" s="3" t="s">
        <v>4364</v>
      </c>
      <c r="AU203" s="3">
        <v>2020</v>
      </c>
      <c r="AV203" s="3">
        <v>9</v>
      </c>
      <c r="AW203" s="3">
        <v>2</v>
      </c>
      <c r="AX203" s="3" t="s">
        <v>74</v>
      </c>
      <c r="AY203" s="3" t="s">
        <v>74</v>
      </c>
      <c r="AZ203" s="3" t="s">
        <v>74</v>
      </c>
      <c r="BA203" s="3" t="s">
        <v>74</v>
      </c>
      <c r="BB203" s="3">
        <v>73</v>
      </c>
      <c r="BC203" s="3">
        <v>90</v>
      </c>
      <c r="BD203" s="3" t="s">
        <v>74</v>
      </c>
      <c r="BE203" s="3" t="s">
        <v>4365</v>
      </c>
      <c r="BF203" s="3" t="str">
        <f>HYPERLINK("http://dx.doi.org/10.1108/SASBE-05-2019-0060","http://dx.doi.org/10.1108/SASBE-05-2019-0060")</f>
        <v>http://dx.doi.org/10.1108/SASBE-05-2019-0060</v>
      </c>
      <c r="BG203" s="3" t="s">
        <v>74</v>
      </c>
      <c r="BH203" s="3" t="s">
        <v>74</v>
      </c>
      <c r="BI203" s="3">
        <v>18</v>
      </c>
      <c r="BJ203" s="3" t="s">
        <v>4366</v>
      </c>
      <c r="BK203" s="3" t="s">
        <v>97</v>
      </c>
      <c r="BL203" s="3" t="s">
        <v>4367</v>
      </c>
      <c r="BM203" s="3" t="s">
        <v>4368</v>
      </c>
      <c r="BN203" s="3" t="s">
        <v>74</v>
      </c>
      <c r="BO203" s="3" t="s">
        <v>74</v>
      </c>
      <c r="BP203" s="3" t="s">
        <v>74</v>
      </c>
      <c r="BQ203" s="3" t="s">
        <v>74</v>
      </c>
      <c r="BR203" s="3" t="s">
        <v>101</v>
      </c>
      <c r="BS203" s="3" t="s">
        <v>4369</v>
      </c>
      <c r="BT203" s="3" t="str">
        <f>HYPERLINK("https%3A%2F%2Fwww.webofscience.com%2Fwos%2Fwoscc%2Ffull-record%2FWOS:000534656500001","View Full Record in Web of Science")</f>
        <v>View Full Record in Web of Science</v>
      </c>
      <c r="BU203" s="3"/>
      <c r="BV203" s="3"/>
      <c r="BW203" s="1"/>
    </row>
    <row r="204" spans="1:75" x14ac:dyDescent="0.25">
      <c r="A204" s="3" t="s">
        <v>72</v>
      </c>
      <c r="B204" s="3" t="s">
        <v>4370</v>
      </c>
      <c r="C204" s="3" t="s">
        <v>74</v>
      </c>
      <c r="D204" s="3" t="s">
        <v>74</v>
      </c>
      <c r="E204" s="3" t="s">
        <v>74</v>
      </c>
      <c r="F204" s="3" t="s">
        <v>4371</v>
      </c>
      <c r="G204" s="3" t="s">
        <v>74</v>
      </c>
      <c r="H204" s="3" t="s">
        <v>74</v>
      </c>
      <c r="I204" s="3" t="s">
        <v>4372</v>
      </c>
      <c r="J204" s="3" t="s">
        <v>661</v>
      </c>
      <c r="K204" s="3" t="s">
        <v>74</v>
      </c>
      <c r="L204" s="3" t="s">
        <v>74</v>
      </c>
      <c r="M204" s="3" t="s">
        <v>110</v>
      </c>
      <c r="N204" s="3" t="s">
        <v>79</v>
      </c>
      <c r="O204" s="3" t="s">
        <v>74</v>
      </c>
      <c r="P204" s="3" t="s">
        <v>74</v>
      </c>
      <c r="Q204" s="3" t="s">
        <v>74</v>
      </c>
      <c r="R204" s="3" t="s">
        <v>74</v>
      </c>
      <c r="S204" s="3" t="s">
        <v>74</v>
      </c>
      <c r="T204" s="3" t="s">
        <v>4373</v>
      </c>
      <c r="U204" s="3" t="s">
        <v>4374</v>
      </c>
      <c r="V204" s="3" t="s">
        <v>4375</v>
      </c>
      <c r="W204" s="3" t="s">
        <v>4376</v>
      </c>
      <c r="X204" s="3" t="s">
        <v>4377</v>
      </c>
      <c r="Y204" s="3" t="s">
        <v>4378</v>
      </c>
      <c r="Z204" s="3" t="s">
        <v>4379</v>
      </c>
      <c r="AA204" s="3" t="s">
        <v>4380</v>
      </c>
      <c r="AB204" s="3" t="s">
        <v>4381</v>
      </c>
      <c r="AC204" s="3" t="s">
        <v>74</v>
      </c>
      <c r="AD204" s="3" t="s">
        <v>74</v>
      </c>
      <c r="AE204" s="3" t="s">
        <v>74</v>
      </c>
      <c r="AF204" s="3" t="s">
        <v>74</v>
      </c>
      <c r="AG204" s="3">
        <v>49</v>
      </c>
      <c r="AH204" s="3">
        <v>77</v>
      </c>
      <c r="AI204" s="3">
        <v>89</v>
      </c>
      <c r="AJ204" s="3">
        <v>7</v>
      </c>
      <c r="AK204" s="3">
        <v>181</v>
      </c>
      <c r="AL204" s="3" t="s">
        <v>671</v>
      </c>
      <c r="AM204" s="3" t="s">
        <v>124</v>
      </c>
      <c r="AN204" s="3" t="s">
        <v>672</v>
      </c>
      <c r="AO204" s="3" t="s">
        <v>673</v>
      </c>
      <c r="AP204" s="3" t="s">
        <v>674</v>
      </c>
      <c r="AQ204" s="3" t="s">
        <v>74</v>
      </c>
      <c r="AR204" s="3" t="s">
        <v>675</v>
      </c>
      <c r="AS204" s="3" t="s">
        <v>676</v>
      </c>
      <c r="AT204" s="3" t="s">
        <v>1164</v>
      </c>
      <c r="AU204" s="3">
        <v>2018</v>
      </c>
      <c r="AV204" s="3">
        <v>42</v>
      </c>
      <c r="AW204" s="3" t="s">
        <v>74</v>
      </c>
      <c r="AX204" s="3" t="s">
        <v>74</v>
      </c>
      <c r="AY204" s="3" t="s">
        <v>74</v>
      </c>
      <c r="AZ204" s="3" t="s">
        <v>74</v>
      </c>
      <c r="BA204" s="3" t="s">
        <v>74</v>
      </c>
      <c r="BB204" s="3">
        <v>471</v>
      </c>
      <c r="BC204" s="3">
        <v>481</v>
      </c>
      <c r="BD204" s="3" t="s">
        <v>74</v>
      </c>
      <c r="BE204" s="3" t="s">
        <v>4382</v>
      </c>
      <c r="BF204" s="3" t="str">
        <f>HYPERLINK("http://dx.doi.org/10.1016/j.scs.2018.08.011","http://dx.doi.org/10.1016/j.scs.2018.08.011")</f>
        <v>http://dx.doi.org/10.1016/j.scs.2018.08.011</v>
      </c>
      <c r="BG204" s="3" t="s">
        <v>74</v>
      </c>
      <c r="BH204" s="3" t="s">
        <v>74</v>
      </c>
      <c r="BI204" s="3">
        <v>11</v>
      </c>
      <c r="BJ204" s="3" t="s">
        <v>680</v>
      </c>
      <c r="BK204" s="3" t="s">
        <v>154</v>
      </c>
      <c r="BL204" s="3" t="s">
        <v>681</v>
      </c>
      <c r="BM204" s="3" t="s">
        <v>4383</v>
      </c>
      <c r="BN204" s="3" t="s">
        <v>74</v>
      </c>
      <c r="BO204" s="3" t="s">
        <v>74</v>
      </c>
      <c r="BP204" s="3" t="s">
        <v>74</v>
      </c>
      <c r="BQ204" s="3" t="s">
        <v>74</v>
      </c>
      <c r="BR204" s="3" t="s">
        <v>101</v>
      </c>
      <c r="BS204" s="3" t="s">
        <v>4384</v>
      </c>
      <c r="BT204" s="3" t="str">
        <f>HYPERLINK("https%3A%2F%2Fwww.webofscience.com%2Fwos%2Fwoscc%2Ffull-record%2FWOS:000443741600040","View Full Record in Web of Science")</f>
        <v>View Full Record in Web of Science</v>
      </c>
      <c r="BU204" s="3"/>
      <c r="BV204" s="3"/>
      <c r="BW204" s="1"/>
    </row>
    <row r="205" spans="1:75" x14ac:dyDescent="0.25">
      <c r="A205" s="3" t="s">
        <v>103</v>
      </c>
      <c r="B205" s="3" t="s">
        <v>4385</v>
      </c>
      <c r="C205" s="3" t="s">
        <v>74</v>
      </c>
      <c r="D205" s="3" t="s">
        <v>4386</v>
      </c>
      <c r="E205" s="3" t="s">
        <v>74</v>
      </c>
      <c r="F205" s="3" t="s">
        <v>4387</v>
      </c>
      <c r="G205" s="3" t="s">
        <v>74</v>
      </c>
      <c r="H205" s="3" t="s">
        <v>74</v>
      </c>
      <c r="I205" s="3" t="s">
        <v>4388</v>
      </c>
      <c r="J205" s="3" t="s">
        <v>4389</v>
      </c>
      <c r="K205" s="3" t="s">
        <v>74</v>
      </c>
      <c r="L205" s="3" t="s">
        <v>74</v>
      </c>
      <c r="M205" s="3" t="s">
        <v>110</v>
      </c>
      <c r="N205" s="3" t="s">
        <v>111</v>
      </c>
      <c r="O205" s="3" t="s">
        <v>4390</v>
      </c>
      <c r="P205" s="3" t="s">
        <v>4391</v>
      </c>
      <c r="Q205" s="3" t="s">
        <v>4392</v>
      </c>
      <c r="R205" s="3" t="s">
        <v>74</v>
      </c>
      <c r="S205" s="3" t="s">
        <v>4393</v>
      </c>
      <c r="T205" s="3" t="s">
        <v>4394</v>
      </c>
      <c r="U205" s="3" t="s">
        <v>4395</v>
      </c>
      <c r="V205" s="3" t="s">
        <v>4396</v>
      </c>
      <c r="W205" s="3" t="s">
        <v>4397</v>
      </c>
      <c r="X205" s="3" t="s">
        <v>74</v>
      </c>
      <c r="Y205" s="3" t="s">
        <v>4398</v>
      </c>
      <c r="Z205" s="3" t="s">
        <v>4399</v>
      </c>
      <c r="AA205" s="3" t="s">
        <v>4400</v>
      </c>
      <c r="AB205" s="3" t="s">
        <v>4401</v>
      </c>
      <c r="AC205" s="3" t="s">
        <v>74</v>
      </c>
      <c r="AD205" s="3" t="s">
        <v>74</v>
      </c>
      <c r="AE205" s="3" t="s">
        <v>74</v>
      </c>
      <c r="AF205" s="3" t="s">
        <v>74</v>
      </c>
      <c r="AG205" s="3">
        <v>77</v>
      </c>
      <c r="AH205" s="3">
        <v>0</v>
      </c>
      <c r="AI205" s="3">
        <v>0</v>
      </c>
      <c r="AJ205" s="3">
        <v>1</v>
      </c>
      <c r="AK205" s="3">
        <v>12</v>
      </c>
      <c r="AL205" s="3" t="s">
        <v>199</v>
      </c>
      <c r="AM205" s="3" t="s">
        <v>200</v>
      </c>
      <c r="AN205" s="3" t="s">
        <v>201</v>
      </c>
      <c r="AO205" s="3" t="s">
        <v>74</v>
      </c>
      <c r="AP205" s="3" t="s">
        <v>74</v>
      </c>
      <c r="AQ205" s="3" t="s">
        <v>4402</v>
      </c>
      <c r="AR205" s="3" t="s">
        <v>74</v>
      </c>
      <c r="AS205" s="3" t="s">
        <v>74</v>
      </c>
      <c r="AT205" s="3" t="s">
        <v>74</v>
      </c>
      <c r="AU205" s="3">
        <v>2021</v>
      </c>
      <c r="AV205" s="3" t="s">
        <v>74</v>
      </c>
      <c r="AW205" s="3" t="s">
        <v>74</v>
      </c>
      <c r="AX205" s="3" t="s">
        <v>74</v>
      </c>
      <c r="AY205" s="3" t="s">
        <v>74</v>
      </c>
      <c r="AZ205" s="3" t="s">
        <v>74</v>
      </c>
      <c r="BA205" s="3" t="s">
        <v>74</v>
      </c>
      <c r="BB205" s="3">
        <v>585</v>
      </c>
      <c r="BC205" s="3">
        <v>591</v>
      </c>
      <c r="BD205" s="3" t="s">
        <v>74</v>
      </c>
      <c r="BE205" s="3" t="s">
        <v>4403</v>
      </c>
      <c r="BF205" s="3" t="str">
        <f>HYPERLINK("http://dx.doi.org/10.1109/ComPE53109.2021.9752040","http://dx.doi.org/10.1109/ComPE53109.2021.9752040")</f>
        <v>http://dx.doi.org/10.1109/ComPE53109.2021.9752040</v>
      </c>
      <c r="BG205" s="3" t="s">
        <v>74</v>
      </c>
      <c r="BH205" s="3" t="s">
        <v>74</v>
      </c>
      <c r="BI205" s="3">
        <v>7</v>
      </c>
      <c r="BJ205" s="3" t="s">
        <v>4404</v>
      </c>
      <c r="BK205" s="3" t="s">
        <v>208</v>
      </c>
      <c r="BL205" s="3" t="s">
        <v>383</v>
      </c>
      <c r="BM205" s="3" t="s">
        <v>4405</v>
      </c>
      <c r="BN205" s="3" t="s">
        <v>74</v>
      </c>
      <c r="BO205" s="3" t="s">
        <v>74</v>
      </c>
      <c r="BP205" s="3" t="s">
        <v>74</v>
      </c>
      <c r="BQ205" s="3" t="s">
        <v>74</v>
      </c>
      <c r="BR205" s="3" t="s">
        <v>101</v>
      </c>
      <c r="BS205" s="3" t="s">
        <v>4406</v>
      </c>
      <c r="BT205" s="3" t="str">
        <f>HYPERLINK("https%3A%2F%2Fwww.webofscience.com%2Fwos%2Fwoscc%2Ffull-record%2FWOS:000942046000132","View Full Record in Web of Science")</f>
        <v>View Full Record in Web of Science</v>
      </c>
      <c r="BU205" s="3"/>
      <c r="BV205" s="3"/>
      <c r="BW205" s="1"/>
    </row>
    <row r="206" spans="1:75" x14ac:dyDescent="0.25">
      <c r="A206" s="3" t="s">
        <v>103</v>
      </c>
      <c r="B206" s="3" t="s">
        <v>4407</v>
      </c>
      <c r="C206" s="3" t="s">
        <v>74</v>
      </c>
      <c r="D206" s="3" t="s">
        <v>4408</v>
      </c>
      <c r="E206" s="3" t="s">
        <v>74</v>
      </c>
      <c r="F206" s="3" t="s">
        <v>4409</v>
      </c>
      <c r="G206" s="3" t="s">
        <v>74</v>
      </c>
      <c r="H206" s="3" t="s">
        <v>74</v>
      </c>
      <c r="I206" s="3" t="s">
        <v>4410</v>
      </c>
      <c r="J206" s="3" t="s">
        <v>4411</v>
      </c>
      <c r="K206" s="3" t="s">
        <v>639</v>
      </c>
      <c r="L206" s="3" t="s">
        <v>74</v>
      </c>
      <c r="M206" s="3" t="s">
        <v>110</v>
      </c>
      <c r="N206" s="3" t="s">
        <v>111</v>
      </c>
      <c r="O206" s="3" t="s">
        <v>4412</v>
      </c>
      <c r="P206" s="3" t="s">
        <v>4413</v>
      </c>
      <c r="Q206" s="3" t="s">
        <v>4414</v>
      </c>
      <c r="R206" s="3" t="s">
        <v>74</v>
      </c>
      <c r="S206" s="3" t="s">
        <v>74</v>
      </c>
      <c r="T206" s="3" t="s">
        <v>4415</v>
      </c>
      <c r="U206" s="3" t="s">
        <v>4416</v>
      </c>
      <c r="V206" s="3" t="s">
        <v>4417</v>
      </c>
      <c r="W206" s="3" t="s">
        <v>4418</v>
      </c>
      <c r="X206" s="3" t="s">
        <v>4419</v>
      </c>
      <c r="Y206" s="3" t="s">
        <v>4420</v>
      </c>
      <c r="Z206" s="3" t="s">
        <v>4421</v>
      </c>
      <c r="AA206" s="3" t="s">
        <v>4422</v>
      </c>
      <c r="AB206" s="3" t="s">
        <v>4423</v>
      </c>
      <c r="AC206" s="3" t="s">
        <v>4424</v>
      </c>
      <c r="AD206" s="3" t="s">
        <v>4425</v>
      </c>
      <c r="AE206" s="3" t="s">
        <v>4426</v>
      </c>
      <c r="AF206" s="3" t="s">
        <v>74</v>
      </c>
      <c r="AG206" s="3">
        <v>30</v>
      </c>
      <c r="AH206" s="3">
        <v>13</v>
      </c>
      <c r="AI206" s="3">
        <v>14</v>
      </c>
      <c r="AJ206" s="3">
        <v>2</v>
      </c>
      <c r="AK206" s="3">
        <v>18</v>
      </c>
      <c r="AL206" s="3" t="s">
        <v>4427</v>
      </c>
      <c r="AM206" s="3" t="s">
        <v>4428</v>
      </c>
      <c r="AN206" s="3" t="s">
        <v>4429</v>
      </c>
      <c r="AO206" s="3" t="s">
        <v>650</v>
      </c>
      <c r="AP206" s="3" t="s">
        <v>74</v>
      </c>
      <c r="AQ206" s="3" t="s">
        <v>4430</v>
      </c>
      <c r="AR206" s="3" t="s">
        <v>653</v>
      </c>
      <c r="AS206" s="3" t="s">
        <v>74</v>
      </c>
      <c r="AT206" s="3" t="s">
        <v>74</v>
      </c>
      <c r="AU206" s="3">
        <v>2018</v>
      </c>
      <c r="AV206" s="3">
        <v>262</v>
      </c>
      <c r="AW206" s="3" t="s">
        <v>74</v>
      </c>
      <c r="AX206" s="3" t="s">
        <v>74</v>
      </c>
      <c r="AY206" s="3" t="s">
        <v>74</v>
      </c>
      <c r="AZ206" s="3" t="s">
        <v>74</v>
      </c>
      <c r="BA206" s="3" t="s">
        <v>74</v>
      </c>
      <c r="BB206" s="3">
        <v>28</v>
      </c>
      <c r="BC206" s="3">
        <v>46</v>
      </c>
      <c r="BD206" s="3" t="s">
        <v>74</v>
      </c>
      <c r="BE206" s="3" t="s">
        <v>4431</v>
      </c>
      <c r="BF206" s="3" t="str">
        <f>HYPERLINK("http://dx.doi.org/10.1007/978-3-319-73758-4_3","http://dx.doi.org/10.1007/978-3-319-73758-4_3")</f>
        <v>http://dx.doi.org/10.1007/978-3-319-73758-4_3</v>
      </c>
      <c r="BG206" s="3" t="s">
        <v>74</v>
      </c>
      <c r="BH206" s="3" t="s">
        <v>74</v>
      </c>
      <c r="BI206" s="3">
        <v>19</v>
      </c>
      <c r="BJ206" s="3" t="s">
        <v>4432</v>
      </c>
      <c r="BK206" s="3" t="s">
        <v>208</v>
      </c>
      <c r="BL206" s="3" t="s">
        <v>4433</v>
      </c>
      <c r="BM206" s="3" t="s">
        <v>4434</v>
      </c>
      <c r="BN206" s="3" t="s">
        <v>74</v>
      </c>
      <c r="BO206" s="3" t="s">
        <v>74</v>
      </c>
      <c r="BP206" s="3" t="s">
        <v>74</v>
      </c>
      <c r="BQ206" s="3" t="s">
        <v>74</v>
      </c>
      <c r="BR206" s="3" t="s">
        <v>101</v>
      </c>
      <c r="BS206" s="3" t="s">
        <v>4435</v>
      </c>
      <c r="BT206" s="3" t="str">
        <f>HYPERLINK("https%3A%2F%2Fwww.webofscience.com%2Fwos%2Fwoscc%2Ffull-record%2FWOS:000432887800003","View Full Record in Web of Science")</f>
        <v>View Full Record in Web of Science</v>
      </c>
      <c r="BU206" s="3"/>
      <c r="BV206" s="3"/>
      <c r="BW206" s="1"/>
    </row>
    <row r="207" spans="1:75" x14ac:dyDescent="0.25">
      <c r="A207" s="3" t="s">
        <v>103</v>
      </c>
      <c r="B207" s="3" t="s">
        <v>4436</v>
      </c>
      <c r="C207" s="3" t="s">
        <v>74</v>
      </c>
      <c r="D207" s="3" t="s">
        <v>4437</v>
      </c>
      <c r="E207" s="3" t="s">
        <v>74</v>
      </c>
      <c r="F207" s="3" t="s">
        <v>4438</v>
      </c>
      <c r="G207" s="3" t="s">
        <v>74</v>
      </c>
      <c r="H207" s="3" t="s">
        <v>74</v>
      </c>
      <c r="I207" s="3" t="s">
        <v>4439</v>
      </c>
      <c r="J207" s="3" t="s">
        <v>4440</v>
      </c>
      <c r="K207" s="3" t="s">
        <v>74</v>
      </c>
      <c r="L207" s="3" t="s">
        <v>74</v>
      </c>
      <c r="M207" s="3" t="s">
        <v>110</v>
      </c>
      <c r="N207" s="3" t="s">
        <v>111</v>
      </c>
      <c r="O207" s="3" t="s">
        <v>4441</v>
      </c>
      <c r="P207" s="3" t="s">
        <v>4442</v>
      </c>
      <c r="Q207" s="3" t="s">
        <v>4443</v>
      </c>
      <c r="R207" s="3" t="s">
        <v>74</v>
      </c>
      <c r="S207" s="3" t="s">
        <v>4444</v>
      </c>
      <c r="T207" s="3" t="s">
        <v>4445</v>
      </c>
      <c r="U207" s="3" t="s">
        <v>4446</v>
      </c>
      <c r="V207" s="3" t="s">
        <v>4447</v>
      </c>
      <c r="W207" s="3" t="s">
        <v>4448</v>
      </c>
      <c r="X207" s="3" t="s">
        <v>4449</v>
      </c>
      <c r="Y207" s="3" t="s">
        <v>4450</v>
      </c>
      <c r="Z207" s="3" t="s">
        <v>4451</v>
      </c>
      <c r="AA207" s="3" t="s">
        <v>4452</v>
      </c>
      <c r="AB207" s="3" t="s">
        <v>4453</v>
      </c>
      <c r="AC207" s="3" t="s">
        <v>74</v>
      </c>
      <c r="AD207" s="3" t="s">
        <v>74</v>
      </c>
      <c r="AE207" s="3" t="s">
        <v>74</v>
      </c>
      <c r="AF207" s="3" t="s">
        <v>74</v>
      </c>
      <c r="AG207" s="3">
        <v>14</v>
      </c>
      <c r="AH207" s="3">
        <v>10</v>
      </c>
      <c r="AI207" s="3">
        <v>10</v>
      </c>
      <c r="AJ207" s="3">
        <v>0</v>
      </c>
      <c r="AK207" s="3">
        <v>0</v>
      </c>
      <c r="AL207" s="3" t="s">
        <v>199</v>
      </c>
      <c r="AM207" s="3" t="s">
        <v>200</v>
      </c>
      <c r="AN207" s="3" t="s">
        <v>201</v>
      </c>
      <c r="AO207" s="3" t="s">
        <v>74</v>
      </c>
      <c r="AP207" s="3" t="s">
        <v>74</v>
      </c>
      <c r="AQ207" s="3" t="s">
        <v>4454</v>
      </c>
      <c r="AR207" s="3" t="s">
        <v>74</v>
      </c>
      <c r="AS207" s="3" t="s">
        <v>74</v>
      </c>
      <c r="AT207" s="3" t="s">
        <v>74</v>
      </c>
      <c r="AU207" s="3">
        <v>2018</v>
      </c>
      <c r="AV207" s="3" t="s">
        <v>74</v>
      </c>
      <c r="AW207" s="3" t="s">
        <v>74</v>
      </c>
      <c r="AX207" s="3" t="s">
        <v>74</v>
      </c>
      <c r="AY207" s="3" t="s">
        <v>74</v>
      </c>
      <c r="AZ207" s="3" t="s">
        <v>74</v>
      </c>
      <c r="BA207" s="3" t="s">
        <v>74</v>
      </c>
      <c r="BB207" s="3">
        <v>145</v>
      </c>
      <c r="BC207" s="3">
        <v>150</v>
      </c>
      <c r="BD207" s="3" t="s">
        <v>74</v>
      </c>
      <c r="BE207" s="3" t="s">
        <v>74</v>
      </c>
      <c r="BF207" s="3" t="s">
        <v>74</v>
      </c>
      <c r="BG207" s="3" t="s">
        <v>74</v>
      </c>
      <c r="BH207" s="3" t="s">
        <v>74</v>
      </c>
      <c r="BI207" s="3">
        <v>6</v>
      </c>
      <c r="BJ207" s="3" t="s">
        <v>1225</v>
      </c>
      <c r="BK207" s="3" t="s">
        <v>208</v>
      </c>
      <c r="BL207" s="3" t="s">
        <v>1226</v>
      </c>
      <c r="BM207" s="3" t="s">
        <v>4455</v>
      </c>
      <c r="BN207" s="3" t="s">
        <v>74</v>
      </c>
      <c r="BO207" s="3" t="s">
        <v>74</v>
      </c>
      <c r="BP207" s="3" t="s">
        <v>74</v>
      </c>
      <c r="BQ207" s="3" t="s">
        <v>74</v>
      </c>
      <c r="BR207" s="3" t="s">
        <v>101</v>
      </c>
      <c r="BS207" s="3" t="s">
        <v>4456</v>
      </c>
      <c r="BT207" s="3" t="str">
        <f>HYPERLINK("https%3A%2F%2Fwww.webofscience.com%2Fwos%2Fwoscc%2Ffull-record%2FWOS:000461314200024","View Full Record in Web of Science")</f>
        <v>View Full Record in Web of Science</v>
      </c>
      <c r="BU207" s="3"/>
      <c r="BV207" s="3"/>
      <c r="BW207" s="1"/>
    </row>
    <row r="208" spans="1:75" x14ac:dyDescent="0.25">
      <c r="A208" s="3" t="s">
        <v>103</v>
      </c>
      <c r="B208" s="3" t="s">
        <v>4457</v>
      </c>
      <c r="C208" s="3" t="s">
        <v>74</v>
      </c>
      <c r="D208" s="3" t="s">
        <v>4458</v>
      </c>
      <c r="E208" s="3" t="s">
        <v>74</v>
      </c>
      <c r="F208" s="3" t="s">
        <v>4459</v>
      </c>
      <c r="G208" s="3" t="s">
        <v>74</v>
      </c>
      <c r="H208" s="3" t="s">
        <v>74</v>
      </c>
      <c r="I208" s="3" t="s">
        <v>4460</v>
      </c>
      <c r="J208" s="3" t="s">
        <v>4461</v>
      </c>
      <c r="K208" s="3" t="s">
        <v>74</v>
      </c>
      <c r="L208" s="3" t="s">
        <v>74</v>
      </c>
      <c r="M208" s="3" t="s">
        <v>110</v>
      </c>
      <c r="N208" s="3" t="s">
        <v>111</v>
      </c>
      <c r="O208" s="3" t="s">
        <v>4462</v>
      </c>
      <c r="P208" s="3" t="s">
        <v>4463</v>
      </c>
      <c r="Q208" s="3" t="s">
        <v>4464</v>
      </c>
      <c r="R208" s="3" t="s">
        <v>74</v>
      </c>
      <c r="S208" s="3" t="s">
        <v>74</v>
      </c>
      <c r="T208" s="3" t="s">
        <v>4465</v>
      </c>
      <c r="U208" s="3" t="s">
        <v>74</v>
      </c>
      <c r="V208" s="3" t="s">
        <v>4466</v>
      </c>
      <c r="W208" s="3" t="s">
        <v>4467</v>
      </c>
      <c r="X208" s="3" t="s">
        <v>4468</v>
      </c>
      <c r="Y208" s="3" t="s">
        <v>4469</v>
      </c>
      <c r="Z208" s="3" t="s">
        <v>4470</v>
      </c>
      <c r="AA208" s="3" t="s">
        <v>4471</v>
      </c>
      <c r="AB208" s="3" t="s">
        <v>4472</v>
      </c>
      <c r="AC208" s="3" t="s">
        <v>74</v>
      </c>
      <c r="AD208" s="3" t="s">
        <v>74</v>
      </c>
      <c r="AE208" s="3" t="s">
        <v>74</v>
      </c>
      <c r="AF208" s="3" t="s">
        <v>74</v>
      </c>
      <c r="AG208" s="3">
        <v>9</v>
      </c>
      <c r="AH208" s="3">
        <v>11</v>
      </c>
      <c r="AI208" s="3">
        <v>13</v>
      </c>
      <c r="AJ208" s="3">
        <v>0</v>
      </c>
      <c r="AK208" s="3">
        <v>5</v>
      </c>
      <c r="AL208" s="3" t="s">
        <v>199</v>
      </c>
      <c r="AM208" s="3" t="s">
        <v>200</v>
      </c>
      <c r="AN208" s="3" t="s">
        <v>201</v>
      </c>
      <c r="AO208" s="3" t="s">
        <v>74</v>
      </c>
      <c r="AP208" s="3" t="s">
        <v>74</v>
      </c>
      <c r="AQ208" s="3" t="s">
        <v>4473</v>
      </c>
      <c r="AR208" s="3" t="s">
        <v>74</v>
      </c>
      <c r="AS208" s="3" t="s">
        <v>74</v>
      </c>
      <c r="AT208" s="3" t="s">
        <v>74</v>
      </c>
      <c r="AU208" s="3">
        <v>2016</v>
      </c>
      <c r="AV208" s="3" t="s">
        <v>74</v>
      </c>
      <c r="AW208" s="3" t="s">
        <v>74</v>
      </c>
      <c r="AX208" s="3" t="s">
        <v>74</v>
      </c>
      <c r="AY208" s="3" t="s">
        <v>74</v>
      </c>
      <c r="AZ208" s="3" t="s">
        <v>74</v>
      </c>
      <c r="BA208" s="3" t="s">
        <v>74</v>
      </c>
      <c r="BB208" s="3">
        <v>437</v>
      </c>
      <c r="BC208" s="3">
        <v>440</v>
      </c>
      <c r="BD208" s="3" t="s">
        <v>74</v>
      </c>
      <c r="BE208" s="3" t="s">
        <v>74</v>
      </c>
      <c r="BF208" s="3" t="s">
        <v>74</v>
      </c>
      <c r="BG208" s="3" t="s">
        <v>74</v>
      </c>
      <c r="BH208" s="3" t="s">
        <v>74</v>
      </c>
      <c r="BI208" s="3">
        <v>4</v>
      </c>
      <c r="BJ208" s="3" t="s">
        <v>4474</v>
      </c>
      <c r="BK208" s="3" t="s">
        <v>208</v>
      </c>
      <c r="BL208" s="3" t="s">
        <v>853</v>
      </c>
      <c r="BM208" s="3" t="s">
        <v>4475</v>
      </c>
      <c r="BN208" s="3" t="s">
        <v>74</v>
      </c>
      <c r="BO208" s="3" t="s">
        <v>74</v>
      </c>
      <c r="BP208" s="3" t="s">
        <v>74</v>
      </c>
      <c r="BQ208" s="3" t="s">
        <v>74</v>
      </c>
      <c r="BR208" s="3" t="s">
        <v>101</v>
      </c>
      <c r="BS208" s="3" t="s">
        <v>4476</v>
      </c>
      <c r="BT208" s="3" t="str">
        <f>HYPERLINK("https%3A%2F%2Fwww.webofscience.com%2Fwos%2Fwoscc%2Ffull-record%2FWOS:000450045100075","View Full Record in Web of Science")</f>
        <v>View Full Record in Web of Science</v>
      </c>
      <c r="BU208" s="3"/>
      <c r="BV208" s="3"/>
      <c r="BW208" s="1"/>
    </row>
    <row r="209" spans="1:75" x14ac:dyDescent="0.25">
      <c r="A209" s="3" t="s">
        <v>103</v>
      </c>
      <c r="B209" s="3" t="s">
        <v>4477</v>
      </c>
      <c r="C209" s="3" t="s">
        <v>74</v>
      </c>
      <c r="D209" s="3" t="s">
        <v>4478</v>
      </c>
      <c r="E209" s="3" t="s">
        <v>74</v>
      </c>
      <c r="F209" s="3" t="s">
        <v>4479</v>
      </c>
      <c r="G209" s="3" t="s">
        <v>74</v>
      </c>
      <c r="H209" s="3" t="s">
        <v>74</v>
      </c>
      <c r="I209" s="3" t="s">
        <v>4480</v>
      </c>
      <c r="J209" s="3" t="s">
        <v>4481</v>
      </c>
      <c r="K209" s="3" t="s">
        <v>4482</v>
      </c>
      <c r="L209" s="3" t="s">
        <v>74</v>
      </c>
      <c r="M209" s="3" t="s">
        <v>110</v>
      </c>
      <c r="N209" s="3" t="s">
        <v>111</v>
      </c>
      <c r="O209" s="3" t="s">
        <v>4483</v>
      </c>
      <c r="P209" s="3" t="s">
        <v>4484</v>
      </c>
      <c r="Q209" s="3" t="s">
        <v>4485</v>
      </c>
      <c r="R209" s="3" t="s">
        <v>74</v>
      </c>
      <c r="S209" s="3" t="s">
        <v>4486</v>
      </c>
      <c r="T209" s="3" t="s">
        <v>4487</v>
      </c>
      <c r="U209" s="3" t="s">
        <v>4488</v>
      </c>
      <c r="V209" s="3" t="s">
        <v>4489</v>
      </c>
      <c r="W209" s="3" t="s">
        <v>4490</v>
      </c>
      <c r="X209" s="3" t="s">
        <v>4491</v>
      </c>
      <c r="Y209" s="3" t="s">
        <v>4492</v>
      </c>
      <c r="Z209" s="3" t="s">
        <v>4493</v>
      </c>
      <c r="AA209" s="3" t="s">
        <v>4494</v>
      </c>
      <c r="AB209" s="3" t="s">
        <v>4495</v>
      </c>
      <c r="AC209" s="3" t="s">
        <v>74</v>
      </c>
      <c r="AD209" s="3" t="s">
        <v>74</v>
      </c>
      <c r="AE209" s="3" t="s">
        <v>74</v>
      </c>
      <c r="AF209" s="3" t="s">
        <v>74</v>
      </c>
      <c r="AG209" s="3">
        <v>64</v>
      </c>
      <c r="AH209" s="3">
        <v>6</v>
      </c>
      <c r="AI209" s="3">
        <v>7</v>
      </c>
      <c r="AJ209" s="3">
        <v>0</v>
      </c>
      <c r="AK209" s="3">
        <v>2</v>
      </c>
      <c r="AL209" s="3" t="s">
        <v>4496</v>
      </c>
      <c r="AM209" s="3" t="s">
        <v>4497</v>
      </c>
      <c r="AN209" s="3" t="s">
        <v>4498</v>
      </c>
      <c r="AO209" s="3" t="s">
        <v>4499</v>
      </c>
      <c r="AP209" s="3" t="s">
        <v>74</v>
      </c>
      <c r="AQ209" s="3" t="s">
        <v>4500</v>
      </c>
      <c r="AR209" s="3" t="s">
        <v>4501</v>
      </c>
      <c r="AS209" s="3" t="s">
        <v>74</v>
      </c>
      <c r="AT209" s="3" t="s">
        <v>74</v>
      </c>
      <c r="AU209" s="3">
        <v>2018</v>
      </c>
      <c r="AV209" s="3" t="s">
        <v>74</v>
      </c>
      <c r="AW209" s="3" t="s">
        <v>74</v>
      </c>
      <c r="AX209" s="3" t="s">
        <v>74</v>
      </c>
      <c r="AY209" s="3" t="s">
        <v>74</v>
      </c>
      <c r="AZ209" s="3" t="s">
        <v>74</v>
      </c>
      <c r="BA209" s="3" t="s">
        <v>74</v>
      </c>
      <c r="BB209" s="3">
        <v>700</v>
      </c>
      <c r="BC209" s="3">
        <v>707</v>
      </c>
      <c r="BD209" s="3" t="s">
        <v>74</v>
      </c>
      <c r="BE209" s="3" t="s">
        <v>74</v>
      </c>
      <c r="BF209" s="3" t="s">
        <v>74</v>
      </c>
      <c r="BG209" s="3" t="s">
        <v>74</v>
      </c>
      <c r="BH209" s="3" t="s">
        <v>74</v>
      </c>
      <c r="BI209" s="3">
        <v>8</v>
      </c>
      <c r="BJ209" s="3" t="s">
        <v>4502</v>
      </c>
      <c r="BK209" s="3" t="s">
        <v>2556</v>
      </c>
      <c r="BL209" s="3" t="s">
        <v>4503</v>
      </c>
      <c r="BM209" s="3" t="s">
        <v>4504</v>
      </c>
      <c r="BN209" s="3" t="s">
        <v>74</v>
      </c>
      <c r="BO209" s="3" t="s">
        <v>74</v>
      </c>
      <c r="BP209" s="3" t="s">
        <v>74</v>
      </c>
      <c r="BQ209" s="3" t="s">
        <v>74</v>
      </c>
      <c r="BR209" s="3" t="s">
        <v>101</v>
      </c>
      <c r="BS209" s="3" t="s">
        <v>4505</v>
      </c>
      <c r="BT209" s="3" t="str">
        <f>HYPERLINK("https%3A%2F%2Fwww.webofscience.com%2Fwos%2Fwoscc%2Ffull-record%2FWOS:000684210700082","View Full Record in Web of Science")</f>
        <v>View Full Record in Web of Science</v>
      </c>
      <c r="BU209" s="3"/>
      <c r="BV209" s="3"/>
      <c r="BW209" s="1"/>
    </row>
    <row r="210" spans="1:75" x14ac:dyDescent="0.25">
      <c r="A210" s="3" t="s">
        <v>103</v>
      </c>
      <c r="B210" s="3" t="s">
        <v>4506</v>
      </c>
      <c r="C210" s="3" t="s">
        <v>74</v>
      </c>
      <c r="D210" s="3" t="s">
        <v>74</v>
      </c>
      <c r="E210" s="3" t="s">
        <v>199</v>
      </c>
      <c r="F210" s="3" t="s">
        <v>4507</v>
      </c>
      <c r="G210" s="3" t="s">
        <v>74</v>
      </c>
      <c r="H210" s="3" t="s">
        <v>74</v>
      </c>
      <c r="I210" s="3" t="s">
        <v>4508</v>
      </c>
      <c r="J210" s="3" t="s">
        <v>4509</v>
      </c>
      <c r="K210" s="3" t="s">
        <v>74</v>
      </c>
      <c r="L210" s="3" t="s">
        <v>74</v>
      </c>
      <c r="M210" s="3" t="s">
        <v>110</v>
      </c>
      <c r="N210" s="3" t="s">
        <v>111</v>
      </c>
      <c r="O210" s="3" t="s">
        <v>4510</v>
      </c>
      <c r="P210" s="3" t="s">
        <v>4511</v>
      </c>
      <c r="Q210" s="3" t="s">
        <v>4512</v>
      </c>
      <c r="R210" s="3" t="s">
        <v>74</v>
      </c>
      <c r="S210" s="3" t="s">
        <v>74</v>
      </c>
      <c r="T210" s="3" t="s">
        <v>4513</v>
      </c>
      <c r="U210" s="3" t="s">
        <v>4514</v>
      </c>
      <c r="V210" s="3" t="s">
        <v>4515</v>
      </c>
      <c r="W210" s="3" t="s">
        <v>4516</v>
      </c>
      <c r="X210" s="3" t="s">
        <v>4517</v>
      </c>
      <c r="Y210" s="3" t="s">
        <v>4518</v>
      </c>
      <c r="Z210" s="3" t="s">
        <v>4519</v>
      </c>
      <c r="AA210" s="3" t="s">
        <v>4520</v>
      </c>
      <c r="AB210" s="3" t="s">
        <v>74</v>
      </c>
      <c r="AC210" s="3" t="s">
        <v>4521</v>
      </c>
      <c r="AD210" s="3" t="s">
        <v>4521</v>
      </c>
      <c r="AE210" s="3" t="s">
        <v>4522</v>
      </c>
      <c r="AF210" s="3" t="s">
        <v>74</v>
      </c>
      <c r="AG210" s="3">
        <v>14</v>
      </c>
      <c r="AH210" s="3">
        <v>7</v>
      </c>
      <c r="AI210" s="3">
        <v>8</v>
      </c>
      <c r="AJ210" s="3">
        <v>0</v>
      </c>
      <c r="AK210" s="3">
        <v>16</v>
      </c>
      <c r="AL210" s="3" t="s">
        <v>199</v>
      </c>
      <c r="AM210" s="3" t="s">
        <v>200</v>
      </c>
      <c r="AN210" s="3" t="s">
        <v>201</v>
      </c>
      <c r="AO210" s="3" t="s">
        <v>74</v>
      </c>
      <c r="AP210" s="3" t="s">
        <v>74</v>
      </c>
      <c r="AQ210" s="3" t="s">
        <v>4523</v>
      </c>
      <c r="AR210" s="3" t="s">
        <v>74</v>
      </c>
      <c r="AS210" s="3" t="s">
        <v>74</v>
      </c>
      <c r="AT210" s="3" t="s">
        <v>74</v>
      </c>
      <c r="AU210" s="3">
        <v>2016</v>
      </c>
      <c r="AV210" s="3" t="s">
        <v>74</v>
      </c>
      <c r="AW210" s="3" t="s">
        <v>74</v>
      </c>
      <c r="AX210" s="3" t="s">
        <v>74</v>
      </c>
      <c r="AY210" s="3" t="s">
        <v>74</v>
      </c>
      <c r="AZ210" s="3" t="s">
        <v>74</v>
      </c>
      <c r="BA210" s="3" t="s">
        <v>74</v>
      </c>
      <c r="BB210" s="3">
        <v>106</v>
      </c>
      <c r="BC210" s="3">
        <v>109</v>
      </c>
      <c r="BD210" s="3" t="s">
        <v>74</v>
      </c>
      <c r="BE210" s="3" t="s">
        <v>74</v>
      </c>
      <c r="BF210" s="3" t="s">
        <v>74</v>
      </c>
      <c r="BG210" s="3" t="s">
        <v>74</v>
      </c>
      <c r="BH210" s="3" t="s">
        <v>74</v>
      </c>
      <c r="BI210" s="3">
        <v>4</v>
      </c>
      <c r="BJ210" s="3" t="s">
        <v>4524</v>
      </c>
      <c r="BK210" s="3" t="s">
        <v>208</v>
      </c>
      <c r="BL210" s="3" t="s">
        <v>2601</v>
      </c>
      <c r="BM210" s="3" t="s">
        <v>4525</v>
      </c>
      <c r="BN210" s="3" t="s">
        <v>74</v>
      </c>
      <c r="BO210" s="3" t="s">
        <v>74</v>
      </c>
      <c r="BP210" s="3" t="s">
        <v>74</v>
      </c>
      <c r="BQ210" s="3" t="s">
        <v>74</v>
      </c>
      <c r="BR210" s="3" t="s">
        <v>101</v>
      </c>
      <c r="BS210" s="3" t="s">
        <v>4526</v>
      </c>
      <c r="BT210" s="3" t="str">
        <f>HYPERLINK("https%3A%2F%2Fwww.webofscience.com%2Fwos%2Fwoscc%2Ffull-record%2FWOS:000392263700020","View Full Record in Web of Science")</f>
        <v>View Full Record in Web of Science</v>
      </c>
      <c r="BU210" s="3"/>
      <c r="BV210" s="3"/>
      <c r="BW210" s="1"/>
    </row>
    <row r="211" spans="1:75" x14ac:dyDescent="0.25">
      <c r="A211" s="3" t="s">
        <v>103</v>
      </c>
      <c r="B211" s="3" t="s">
        <v>4527</v>
      </c>
      <c r="C211" s="3" t="s">
        <v>74</v>
      </c>
      <c r="D211" s="3" t="s">
        <v>4528</v>
      </c>
      <c r="E211" s="3" t="s">
        <v>74</v>
      </c>
      <c r="F211" s="3" t="s">
        <v>4529</v>
      </c>
      <c r="G211" s="3" t="s">
        <v>74</v>
      </c>
      <c r="H211" s="3" t="s">
        <v>74</v>
      </c>
      <c r="I211" s="3" t="s">
        <v>4530</v>
      </c>
      <c r="J211" s="3" t="s">
        <v>4531</v>
      </c>
      <c r="K211" s="3" t="s">
        <v>4532</v>
      </c>
      <c r="L211" s="3" t="s">
        <v>74</v>
      </c>
      <c r="M211" s="3" t="s">
        <v>110</v>
      </c>
      <c r="N211" s="3" t="s">
        <v>111</v>
      </c>
      <c r="O211" s="3" t="s">
        <v>4533</v>
      </c>
      <c r="P211" s="3" t="s">
        <v>4534</v>
      </c>
      <c r="Q211" s="3" t="s">
        <v>4535</v>
      </c>
      <c r="R211" s="3" t="s">
        <v>74</v>
      </c>
      <c r="S211" s="3" t="s">
        <v>74</v>
      </c>
      <c r="T211" s="3" t="s">
        <v>4536</v>
      </c>
      <c r="U211" s="3" t="s">
        <v>74</v>
      </c>
      <c r="V211" s="3" t="s">
        <v>4537</v>
      </c>
      <c r="W211" s="3" t="s">
        <v>4538</v>
      </c>
      <c r="X211" s="3" t="s">
        <v>4539</v>
      </c>
      <c r="Y211" s="3" t="s">
        <v>4540</v>
      </c>
      <c r="Z211" s="3" t="s">
        <v>4541</v>
      </c>
      <c r="AA211" s="3" t="s">
        <v>4542</v>
      </c>
      <c r="AB211" s="3" t="s">
        <v>4543</v>
      </c>
      <c r="AC211" s="3" t="s">
        <v>4544</v>
      </c>
      <c r="AD211" s="3" t="s">
        <v>4545</v>
      </c>
      <c r="AE211" s="3" t="s">
        <v>4546</v>
      </c>
      <c r="AF211" s="3" t="s">
        <v>74</v>
      </c>
      <c r="AG211" s="3">
        <v>13</v>
      </c>
      <c r="AH211" s="3">
        <v>2</v>
      </c>
      <c r="AI211" s="3">
        <v>2</v>
      </c>
      <c r="AJ211" s="3">
        <v>0</v>
      </c>
      <c r="AK211" s="3">
        <v>6</v>
      </c>
      <c r="AL211" s="3" t="s">
        <v>199</v>
      </c>
      <c r="AM211" s="3" t="s">
        <v>200</v>
      </c>
      <c r="AN211" s="3" t="s">
        <v>201</v>
      </c>
      <c r="AO211" s="3" t="s">
        <v>4547</v>
      </c>
      <c r="AP211" s="3" t="s">
        <v>74</v>
      </c>
      <c r="AQ211" s="3" t="s">
        <v>4548</v>
      </c>
      <c r="AR211" s="3" t="s">
        <v>4549</v>
      </c>
      <c r="AS211" s="3" t="s">
        <v>74</v>
      </c>
      <c r="AT211" s="3" t="s">
        <v>74</v>
      </c>
      <c r="AU211" s="3">
        <v>2019</v>
      </c>
      <c r="AV211" s="3" t="s">
        <v>74</v>
      </c>
      <c r="AW211" s="3" t="s">
        <v>74</v>
      </c>
      <c r="AX211" s="3" t="s">
        <v>74</v>
      </c>
      <c r="AY211" s="3" t="s">
        <v>74</v>
      </c>
      <c r="AZ211" s="3" t="s">
        <v>74</v>
      </c>
      <c r="BA211" s="3" t="s">
        <v>74</v>
      </c>
      <c r="BB211" s="3">
        <v>522</v>
      </c>
      <c r="BC211" s="3">
        <v>525</v>
      </c>
      <c r="BD211" s="3" t="s">
        <v>74</v>
      </c>
      <c r="BE211" s="3" t="s">
        <v>4550</v>
      </c>
      <c r="BF211" s="3" t="str">
        <f>HYPERLINK("http://dx.doi.org/10.1109/DeSE.2019.00101","http://dx.doi.org/10.1109/DeSE.2019.00101")</f>
        <v>http://dx.doi.org/10.1109/DeSE.2019.00101</v>
      </c>
      <c r="BG211" s="3" t="s">
        <v>74</v>
      </c>
      <c r="BH211" s="3" t="s">
        <v>74</v>
      </c>
      <c r="BI211" s="3">
        <v>4</v>
      </c>
      <c r="BJ211" s="3" t="s">
        <v>4551</v>
      </c>
      <c r="BK211" s="3" t="s">
        <v>208</v>
      </c>
      <c r="BL211" s="3" t="s">
        <v>486</v>
      </c>
      <c r="BM211" s="3" t="s">
        <v>4552</v>
      </c>
      <c r="BN211" s="3" t="s">
        <v>74</v>
      </c>
      <c r="BO211" s="3" t="s">
        <v>74</v>
      </c>
      <c r="BP211" s="3" t="s">
        <v>74</v>
      </c>
      <c r="BQ211" s="3" t="s">
        <v>74</v>
      </c>
      <c r="BR211" s="3" t="s">
        <v>101</v>
      </c>
      <c r="BS211" s="3" t="s">
        <v>4553</v>
      </c>
      <c r="BT211" s="3" t="str">
        <f>HYPERLINK("https%3A%2F%2Fwww.webofscience.com%2Fwos%2Fwoscc%2Ffull-record%2FWOS:000570021300090","View Full Record in Web of Science")</f>
        <v>View Full Record in Web of Science</v>
      </c>
      <c r="BU211" s="3"/>
      <c r="BV211" s="3"/>
      <c r="BW211" s="1"/>
    </row>
    <row r="212" spans="1:75" x14ac:dyDescent="0.25">
      <c r="A212" s="3" t="s">
        <v>72</v>
      </c>
      <c r="B212" s="3" t="s">
        <v>4554</v>
      </c>
      <c r="C212" s="3" t="s">
        <v>74</v>
      </c>
      <c r="D212" s="3" t="s">
        <v>74</v>
      </c>
      <c r="E212" s="3" t="s">
        <v>74</v>
      </c>
      <c r="F212" s="3" t="s">
        <v>4555</v>
      </c>
      <c r="G212" s="3" t="s">
        <v>74</v>
      </c>
      <c r="H212" s="3" t="s">
        <v>74</v>
      </c>
      <c r="I212" s="3" t="s">
        <v>4556</v>
      </c>
      <c r="J212" s="3" t="s">
        <v>1861</v>
      </c>
      <c r="K212" s="3" t="s">
        <v>74</v>
      </c>
      <c r="L212" s="3" t="s">
        <v>74</v>
      </c>
      <c r="M212" s="3" t="s">
        <v>110</v>
      </c>
      <c r="N212" s="3" t="s">
        <v>79</v>
      </c>
      <c r="O212" s="3" t="s">
        <v>74</v>
      </c>
      <c r="P212" s="3" t="s">
        <v>74</v>
      </c>
      <c r="Q212" s="3" t="s">
        <v>74</v>
      </c>
      <c r="R212" s="3" t="s">
        <v>74</v>
      </c>
      <c r="S212" s="3" t="s">
        <v>74</v>
      </c>
      <c r="T212" s="3" t="s">
        <v>4557</v>
      </c>
      <c r="U212" s="3" t="s">
        <v>4558</v>
      </c>
      <c r="V212" s="3" t="s">
        <v>4559</v>
      </c>
      <c r="W212" s="3" t="s">
        <v>4560</v>
      </c>
      <c r="X212" s="3" t="s">
        <v>4561</v>
      </c>
      <c r="Y212" s="3" t="s">
        <v>4562</v>
      </c>
      <c r="Z212" s="3" t="s">
        <v>4563</v>
      </c>
      <c r="AA212" s="3" t="s">
        <v>4564</v>
      </c>
      <c r="AB212" s="3" t="s">
        <v>4565</v>
      </c>
      <c r="AC212" s="3" t="s">
        <v>74</v>
      </c>
      <c r="AD212" s="3" t="s">
        <v>74</v>
      </c>
      <c r="AE212" s="3" t="s">
        <v>74</v>
      </c>
      <c r="AF212" s="3" t="s">
        <v>74</v>
      </c>
      <c r="AG212" s="3">
        <v>63</v>
      </c>
      <c r="AH212" s="3">
        <v>18</v>
      </c>
      <c r="AI212" s="3">
        <v>25</v>
      </c>
      <c r="AJ212" s="3">
        <v>1</v>
      </c>
      <c r="AK212" s="3">
        <v>39</v>
      </c>
      <c r="AL212" s="3" t="s">
        <v>145</v>
      </c>
      <c r="AM212" s="3" t="s">
        <v>146</v>
      </c>
      <c r="AN212" s="3" t="s">
        <v>147</v>
      </c>
      <c r="AO212" s="3" t="s">
        <v>74</v>
      </c>
      <c r="AP212" s="3" t="s">
        <v>1873</v>
      </c>
      <c r="AQ212" s="3" t="s">
        <v>74</v>
      </c>
      <c r="AR212" s="3" t="s">
        <v>1874</v>
      </c>
      <c r="AS212" s="3" t="s">
        <v>1875</v>
      </c>
      <c r="AT212" s="3" t="s">
        <v>1240</v>
      </c>
      <c r="AU212" s="3">
        <v>2021</v>
      </c>
      <c r="AV212" s="3">
        <v>11</v>
      </c>
      <c r="AW212" s="3">
        <v>10</v>
      </c>
      <c r="AX212" s="3" t="s">
        <v>74</v>
      </c>
      <c r="AY212" s="3" t="s">
        <v>74</v>
      </c>
      <c r="AZ212" s="3" t="s">
        <v>74</v>
      </c>
      <c r="BA212" s="3" t="s">
        <v>74</v>
      </c>
      <c r="BB212" s="3" t="s">
        <v>74</v>
      </c>
      <c r="BC212" s="3" t="s">
        <v>74</v>
      </c>
      <c r="BD212" s="3">
        <v>4557</v>
      </c>
      <c r="BE212" s="3" t="s">
        <v>4566</v>
      </c>
      <c r="BF212" s="3" t="str">
        <f>HYPERLINK("http://dx.doi.org/10.3390/app11104557","http://dx.doi.org/10.3390/app11104557")</f>
        <v>http://dx.doi.org/10.3390/app11104557</v>
      </c>
      <c r="BG212" s="3" t="s">
        <v>74</v>
      </c>
      <c r="BH212" s="3" t="s">
        <v>74</v>
      </c>
      <c r="BI212" s="3">
        <v>27</v>
      </c>
      <c r="BJ212" s="3" t="s">
        <v>1877</v>
      </c>
      <c r="BK212" s="3" t="s">
        <v>179</v>
      </c>
      <c r="BL212" s="3" t="s">
        <v>1878</v>
      </c>
      <c r="BM212" s="3" t="s">
        <v>4567</v>
      </c>
      <c r="BN212" s="3" t="s">
        <v>74</v>
      </c>
      <c r="BO212" s="3" t="s">
        <v>133</v>
      </c>
      <c r="BP212" s="3" t="s">
        <v>74</v>
      </c>
      <c r="BQ212" s="3" t="s">
        <v>74</v>
      </c>
      <c r="BR212" s="3" t="s">
        <v>101</v>
      </c>
      <c r="BS212" s="3" t="s">
        <v>4568</v>
      </c>
      <c r="BT212" s="3" t="str">
        <f>HYPERLINK("https%3A%2F%2Fwww.webofscience.com%2Fwos%2Fwoscc%2Ffull-record%2FWOS:000662651600001","View Full Record in Web of Science")</f>
        <v>View Full Record in Web of Science</v>
      </c>
      <c r="BU212" s="3"/>
      <c r="BV212" s="3"/>
      <c r="BW212" s="1"/>
    </row>
    <row r="213" spans="1:75" x14ac:dyDescent="0.25">
      <c r="A213" s="3" t="s">
        <v>103</v>
      </c>
      <c r="B213" s="3" t="s">
        <v>4569</v>
      </c>
      <c r="C213" s="3" t="s">
        <v>74</v>
      </c>
      <c r="D213" s="3" t="s">
        <v>4570</v>
      </c>
      <c r="E213" s="3" t="s">
        <v>74</v>
      </c>
      <c r="F213" s="3" t="s">
        <v>4571</v>
      </c>
      <c r="G213" s="3" t="s">
        <v>74</v>
      </c>
      <c r="H213" s="3" t="s">
        <v>74</v>
      </c>
      <c r="I213" s="3" t="s">
        <v>4572</v>
      </c>
      <c r="J213" s="3" t="s">
        <v>4573</v>
      </c>
      <c r="K213" s="3" t="s">
        <v>4574</v>
      </c>
      <c r="L213" s="3" t="s">
        <v>74</v>
      </c>
      <c r="M213" s="3" t="s">
        <v>110</v>
      </c>
      <c r="N213" s="3" t="s">
        <v>111</v>
      </c>
      <c r="O213" s="3" t="s">
        <v>4575</v>
      </c>
      <c r="P213" s="3" t="s">
        <v>4576</v>
      </c>
      <c r="Q213" s="3" t="s">
        <v>4577</v>
      </c>
      <c r="R213" s="3" t="s">
        <v>74</v>
      </c>
      <c r="S213" s="3" t="s">
        <v>74</v>
      </c>
      <c r="T213" s="3" t="s">
        <v>4578</v>
      </c>
      <c r="U213" s="3" t="s">
        <v>4579</v>
      </c>
      <c r="V213" s="3" t="s">
        <v>4580</v>
      </c>
      <c r="W213" s="3" t="s">
        <v>4581</v>
      </c>
      <c r="X213" s="3" t="s">
        <v>4582</v>
      </c>
      <c r="Y213" s="3" t="s">
        <v>4583</v>
      </c>
      <c r="Z213" s="3" t="s">
        <v>4584</v>
      </c>
      <c r="AA213" s="3" t="s">
        <v>4585</v>
      </c>
      <c r="AB213" s="3" t="s">
        <v>4586</v>
      </c>
      <c r="AC213" s="3" t="s">
        <v>74</v>
      </c>
      <c r="AD213" s="3" t="s">
        <v>74</v>
      </c>
      <c r="AE213" s="3" t="s">
        <v>74</v>
      </c>
      <c r="AF213" s="3" t="s">
        <v>74</v>
      </c>
      <c r="AG213" s="3">
        <v>20</v>
      </c>
      <c r="AH213" s="3">
        <v>2</v>
      </c>
      <c r="AI213" s="3">
        <v>2</v>
      </c>
      <c r="AJ213" s="3">
        <v>0</v>
      </c>
      <c r="AK213" s="3">
        <v>5</v>
      </c>
      <c r="AL213" s="3" t="s">
        <v>374</v>
      </c>
      <c r="AM213" s="3" t="s">
        <v>375</v>
      </c>
      <c r="AN213" s="3" t="s">
        <v>376</v>
      </c>
      <c r="AO213" s="3" t="s">
        <v>4587</v>
      </c>
      <c r="AP213" s="3" t="s">
        <v>74</v>
      </c>
      <c r="AQ213" s="3" t="s">
        <v>4588</v>
      </c>
      <c r="AR213" s="3" t="s">
        <v>4589</v>
      </c>
      <c r="AS213" s="3" t="s">
        <v>74</v>
      </c>
      <c r="AT213" s="3" t="s">
        <v>74</v>
      </c>
      <c r="AU213" s="3">
        <v>2019</v>
      </c>
      <c r="AV213" s="3">
        <v>26</v>
      </c>
      <c r="AW213" s="3" t="s">
        <v>74</v>
      </c>
      <c r="AX213" s="3" t="s">
        <v>74</v>
      </c>
      <c r="AY213" s="3" t="s">
        <v>74</v>
      </c>
      <c r="AZ213" s="3" t="s">
        <v>74</v>
      </c>
      <c r="BA213" s="3" t="s">
        <v>74</v>
      </c>
      <c r="BB213" s="3">
        <v>920</v>
      </c>
      <c r="BC213" s="3">
        <v>926</v>
      </c>
      <c r="BD213" s="3" t="s">
        <v>74</v>
      </c>
      <c r="BE213" s="3" t="s">
        <v>4590</v>
      </c>
      <c r="BF213" s="3" t="str">
        <f>HYPERLINK("http://dx.doi.org/10.1007/978-3-030-03146-6_105","http://dx.doi.org/10.1007/978-3-030-03146-6_105")</f>
        <v>http://dx.doi.org/10.1007/978-3-030-03146-6_105</v>
      </c>
      <c r="BG213" s="3" t="s">
        <v>74</v>
      </c>
      <c r="BH213" s="3" t="s">
        <v>74</v>
      </c>
      <c r="BI213" s="3">
        <v>7</v>
      </c>
      <c r="BJ213" s="3" t="s">
        <v>3955</v>
      </c>
      <c r="BK213" s="3" t="s">
        <v>208</v>
      </c>
      <c r="BL213" s="3" t="s">
        <v>3955</v>
      </c>
      <c r="BM213" s="3" t="s">
        <v>4591</v>
      </c>
      <c r="BN213" s="3" t="s">
        <v>74</v>
      </c>
      <c r="BO213" s="3" t="s">
        <v>74</v>
      </c>
      <c r="BP213" s="3" t="s">
        <v>74</v>
      </c>
      <c r="BQ213" s="3" t="s">
        <v>74</v>
      </c>
      <c r="BR213" s="3" t="s">
        <v>101</v>
      </c>
      <c r="BS213" s="3" t="s">
        <v>4592</v>
      </c>
      <c r="BT213" s="3" t="str">
        <f>HYPERLINK("https%3A%2F%2Fwww.webofscience.com%2Fwos%2Fwoscc%2Ffull-record%2FWOS:000674929900105","View Full Record in Web of Science")</f>
        <v>View Full Record in Web of Science</v>
      </c>
      <c r="BU213" s="3"/>
      <c r="BV213" s="3"/>
      <c r="BW213" s="1"/>
    </row>
    <row r="214" spans="1:75" x14ac:dyDescent="0.25">
      <c r="A214" s="3" t="s">
        <v>103</v>
      </c>
      <c r="B214" s="3" t="s">
        <v>4593</v>
      </c>
      <c r="C214" s="3" t="s">
        <v>74</v>
      </c>
      <c r="D214" s="3" t="s">
        <v>74</v>
      </c>
      <c r="E214" s="3" t="s">
        <v>199</v>
      </c>
      <c r="F214" s="3" t="s">
        <v>4594</v>
      </c>
      <c r="G214" s="3" t="s">
        <v>74</v>
      </c>
      <c r="H214" s="3" t="s">
        <v>74</v>
      </c>
      <c r="I214" s="3" t="s">
        <v>4595</v>
      </c>
      <c r="J214" s="3" t="s">
        <v>4596</v>
      </c>
      <c r="K214" s="3" t="s">
        <v>4597</v>
      </c>
      <c r="L214" s="3" t="s">
        <v>74</v>
      </c>
      <c r="M214" s="3" t="s">
        <v>110</v>
      </c>
      <c r="N214" s="3" t="s">
        <v>111</v>
      </c>
      <c r="O214" s="3" t="s">
        <v>4598</v>
      </c>
      <c r="P214" s="3" t="s">
        <v>4599</v>
      </c>
      <c r="Q214" s="3" t="s">
        <v>4600</v>
      </c>
      <c r="R214" s="3" t="s">
        <v>74</v>
      </c>
      <c r="S214" s="3" t="s">
        <v>4601</v>
      </c>
      <c r="T214" s="3" t="s">
        <v>4602</v>
      </c>
      <c r="U214" s="3" t="s">
        <v>74</v>
      </c>
      <c r="V214" s="3" t="s">
        <v>4603</v>
      </c>
      <c r="W214" s="3" t="s">
        <v>4604</v>
      </c>
      <c r="X214" s="3" t="s">
        <v>74</v>
      </c>
      <c r="Y214" s="3" t="s">
        <v>4605</v>
      </c>
      <c r="Z214" s="3" t="s">
        <v>4606</v>
      </c>
      <c r="AA214" s="3" t="s">
        <v>4607</v>
      </c>
      <c r="AB214" s="3" t="s">
        <v>74</v>
      </c>
      <c r="AC214" s="3" t="s">
        <v>74</v>
      </c>
      <c r="AD214" s="3" t="s">
        <v>74</v>
      </c>
      <c r="AE214" s="3" t="s">
        <v>74</v>
      </c>
      <c r="AF214" s="3" t="s">
        <v>74</v>
      </c>
      <c r="AG214" s="3">
        <v>17</v>
      </c>
      <c r="AH214" s="3">
        <v>1</v>
      </c>
      <c r="AI214" s="3">
        <v>1</v>
      </c>
      <c r="AJ214" s="3">
        <v>0</v>
      </c>
      <c r="AK214" s="3">
        <v>0</v>
      </c>
      <c r="AL214" s="3" t="s">
        <v>199</v>
      </c>
      <c r="AM214" s="3" t="s">
        <v>200</v>
      </c>
      <c r="AN214" s="3" t="s">
        <v>201</v>
      </c>
      <c r="AO214" s="3" t="s">
        <v>4608</v>
      </c>
      <c r="AP214" s="3" t="s">
        <v>74</v>
      </c>
      <c r="AQ214" s="3" t="s">
        <v>74</v>
      </c>
      <c r="AR214" s="3" t="s">
        <v>4609</v>
      </c>
      <c r="AS214" s="3" t="s">
        <v>74</v>
      </c>
      <c r="AT214" s="3" t="s">
        <v>74</v>
      </c>
      <c r="AU214" s="3">
        <v>2019</v>
      </c>
      <c r="AV214" s="3" t="s">
        <v>74</v>
      </c>
      <c r="AW214" s="3" t="s">
        <v>74</v>
      </c>
      <c r="AX214" s="3" t="s">
        <v>74</v>
      </c>
      <c r="AY214" s="3" t="s">
        <v>74</v>
      </c>
      <c r="AZ214" s="3" t="s">
        <v>74</v>
      </c>
      <c r="BA214" s="3" t="s">
        <v>74</v>
      </c>
      <c r="BB214" s="3" t="s">
        <v>74</v>
      </c>
      <c r="BC214" s="3" t="s">
        <v>74</v>
      </c>
      <c r="BD214" s="3">
        <v>1570573502</v>
      </c>
      <c r="BE214" s="3" t="s">
        <v>4610</v>
      </c>
      <c r="BF214" s="3" t="str">
        <f>HYPERLINK("http://dx.doi.org/10.1109/ants47819.2019.9118064","http://dx.doi.org/10.1109/ants47819.2019.9118064")</f>
        <v>http://dx.doi.org/10.1109/ants47819.2019.9118064</v>
      </c>
      <c r="BG214" s="3" t="s">
        <v>74</v>
      </c>
      <c r="BH214" s="3" t="s">
        <v>74</v>
      </c>
      <c r="BI214" s="3">
        <v>5</v>
      </c>
      <c r="BJ214" s="3" t="s">
        <v>3955</v>
      </c>
      <c r="BK214" s="3" t="s">
        <v>208</v>
      </c>
      <c r="BL214" s="3" t="s">
        <v>3955</v>
      </c>
      <c r="BM214" s="3" t="s">
        <v>4611</v>
      </c>
      <c r="BN214" s="3" t="s">
        <v>74</v>
      </c>
      <c r="BO214" s="3" t="s">
        <v>74</v>
      </c>
      <c r="BP214" s="3" t="s">
        <v>74</v>
      </c>
      <c r="BQ214" s="3" t="s">
        <v>74</v>
      </c>
      <c r="BR214" s="3" t="s">
        <v>101</v>
      </c>
      <c r="BS214" s="3" t="s">
        <v>4612</v>
      </c>
      <c r="BT214" s="3" t="str">
        <f>HYPERLINK("https%3A%2F%2Fwww.webofscience.com%2Fwos%2Fwoscc%2Ffull-record%2FWOS:000613466700084","View Full Record in Web of Science")</f>
        <v>View Full Record in Web of Science</v>
      </c>
      <c r="BU214" s="3"/>
      <c r="BV214" s="3"/>
      <c r="BW214" s="1"/>
    </row>
    <row r="215" spans="1:75" x14ac:dyDescent="0.25">
      <c r="A215" s="3" t="s">
        <v>103</v>
      </c>
      <c r="B215" s="3" t="s">
        <v>4613</v>
      </c>
      <c r="C215" s="3" t="s">
        <v>74</v>
      </c>
      <c r="D215" s="3" t="s">
        <v>4614</v>
      </c>
      <c r="E215" s="3" t="s">
        <v>74</v>
      </c>
      <c r="F215" s="3" t="s">
        <v>4615</v>
      </c>
      <c r="G215" s="3" t="s">
        <v>74</v>
      </c>
      <c r="H215" s="3" t="s">
        <v>74</v>
      </c>
      <c r="I215" s="3" t="s">
        <v>4616</v>
      </c>
      <c r="J215" s="3" t="s">
        <v>4617</v>
      </c>
      <c r="K215" s="3" t="s">
        <v>4618</v>
      </c>
      <c r="L215" s="3" t="s">
        <v>74</v>
      </c>
      <c r="M215" s="3" t="s">
        <v>110</v>
      </c>
      <c r="N215" s="3" t="s">
        <v>111</v>
      </c>
      <c r="O215" s="3" t="s">
        <v>4619</v>
      </c>
      <c r="P215" s="3" t="s">
        <v>4620</v>
      </c>
      <c r="Q215" s="3" t="s">
        <v>4621</v>
      </c>
      <c r="R215" s="3" t="s">
        <v>74</v>
      </c>
      <c r="S215" s="3" t="s">
        <v>74</v>
      </c>
      <c r="T215" s="3" t="s">
        <v>4622</v>
      </c>
      <c r="U215" s="3" t="s">
        <v>74</v>
      </c>
      <c r="V215" s="3" t="s">
        <v>4623</v>
      </c>
      <c r="W215" s="3" t="s">
        <v>4624</v>
      </c>
      <c r="X215" s="3" t="s">
        <v>4625</v>
      </c>
      <c r="Y215" s="3" t="s">
        <v>4626</v>
      </c>
      <c r="Z215" s="3" t="s">
        <v>4627</v>
      </c>
      <c r="AA215" s="3" t="s">
        <v>4628</v>
      </c>
      <c r="AB215" s="3" t="s">
        <v>4629</v>
      </c>
      <c r="AC215" s="3" t="s">
        <v>74</v>
      </c>
      <c r="AD215" s="3" t="s">
        <v>74</v>
      </c>
      <c r="AE215" s="3" t="s">
        <v>74</v>
      </c>
      <c r="AF215" s="3" t="s">
        <v>74</v>
      </c>
      <c r="AG215" s="3">
        <v>11</v>
      </c>
      <c r="AH215" s="3">
        <v>2</v>
      </c>
      <c r="AI215" s="3">
        <v>2</v>
      </c>
      <c r="AJ215" s="3">
        <v>0</v>
      </c>
      <c r="AK215" s="3">
        <v>4</v>
      </c>
      <c r="AL215" s="3" t="s">
        <v>4630</v>
      </c>
      <c r="AM215" s="3" t="s">
        <v>4631</v>
      </c>
      <c r="AN215" s="3" t="s">
        <v>4632</v>
      </c>
      <c r="AO215" s="3" t="s">
        <v>4633</v>
      </c>
      <c r="AP215" s="3" t="s">
        <v>74</v>
      </c>
      <c r="AQ215" s="3" t="s">
        <v>4634</v>
      </c>
      <c r="AR215" s="3" t="s">
        <v>4635</v>
      </c>
      <c r="AS215" s="3" t="s">
        <v>74</v>
      </c>
      <c r="AT215" s="3" t="s">
        <v>74</v>
      </c>
      <c r="AU215" s="3">
        <v>2018</v>
      </c>
      <c r="AV215" s="3" t="s">
        <v>74</v>
      </c>
      <c r="AW215" s="3" t="s">
        <v>74</v>
      </c>
      <c r="AX215" s="3" t="s">
        <v>74</v>
      </c>
      <c r="AY215" s="3" t="s">
        <v>74</v>
      </c>
      <c r="AZ215" s="3" t="s">
        <v>74</v>
      </c>
      <c r="BA215" s="3" t="s">
        <v>74</v>
      </c>
      <c r="BB215" s="3">
        <v>604</v>
      </c>
      <c r="BC215" s="3">
        <v>610</v>
      </c>
      <c r="BD215" s="3" t="s">
        <v>74</v>
      </c>
      <c r="BE215" s="3" t="s">
        <v>74</v>
      </c>
      <c r="BF215" s="3" t="s">
        <v>74</v>
      </c>
      <c r="BG215" s="3" t="s">
        <v>74</v>
      </c>
      <c r="BH215" s="3" t="s">
        <v>74</v>
      </c>
      <c r="BI215" s="3">
        <v>7</v>
      </c>
      <c r="BJ215" s="3" t="s">
        <v>4636</v>
      </c>
      <c r="BK215" s="3" t="s">
        <v>2556</v>
      </c>
      <c r="BL215" s="3" t="s">
        <v>4637</v>
      </c>
      <c r="BM215" s="3" t="s">
        <v>4638</v>
      </c>
      <c r="BN215" s="3" t="s">
        <v>74</v>
      </c>
      <c r="BO215" s="3" t="s">
        <v>74</v>
      </c>
      <c r="BP215" s="3" t="s">
        <v>74</v>
      </c>
      <c r="BQ215" s="3" t="s">
        <v>74</v>
      </c>
      <c r="BR215" s="3" t="s">
        <v>101</v>
      </c>
      <c r="BS215" s="3" t="s">
        <v>4639</v>
      </c>
      <c r="BT215" s="3" t="str">
        <f>HYPERLINK("https%3A%2F%2Fwww.webofscience.com%2Fwos%2Fwoscc%2Ffull-record%2FWOS:000462093400066","View Full Record in Web of Science")</f>
        <v>View Full Record in Web of Science</v>
      </c>
      <c r="BU215" s="3"/>
      <c r="BV215" s="3"/>
      <c r="BW215" s="1"/>
    </row>
    <row r="216" spans="1:75" x14ac:dyDescent="0.25">
      <c r="A216" s="3" t="s">
        <v>103</v>
      </c>
      <c r="B216" s="3" t="s">
        <v>4640</v>
      </c>
      <c r="C216" s="3" t="s">
        <v>74</v>
      </c>
      <c r="D216" s="3" t="s">
        <v>1830</v>
      </c>
      <c r="E216" s="3" t="s">
        <v>74</v>
      </c>
      <c r="F216" s="3" t="s">
        <v>4641</v>
      </c>
      <c r="G216" s="3" t="s">
        <v>74</v>
      </c>
      <c r="H216" s="3" t="s">
        <v>74</v>
      </c>
      <c r="I216" s="3" t="s">
        <v>4642</v>
      </c>
      <c r="J216" s="3" t="s">
        <v>4643</v>
      </c>
      <c r="K216" s="3" t="s">
        <v>3508</v>
      </c>
      <c r="L216" s="3" t="s">
        <v>74</v>
      </c>
      <c r="M216" s="3" t="s">
        <v>110</v>
      </c>
      <c r="N216" s="3" t="s">
        <v>111</v>
      </c>
      <c r="O216" s="3" t="s">
        <v>4644</v>
      </c>
      <c r="P216" s="3" t="s">
        <v>4645</v>
      </c>
      <c r="Q216" s="3" t="s">
        <v>4646</v>
      </c>
      <c r="R216" s="3" t="s">
        <v>74</v>
      </c>
      <c r="S216" s="3" t="s">
        <v>74</v>
      </c>
      <c r="T216" s="3" t="s">
        <v>4647</v>
      </c>
      <c r="U216" s="3" t="s">
        <v>4648</v>
      </c>
      <c r="V216" s="3" t="s">
        <v>4649</v>
      </c>
      <c r="W216" s="3" t="s">
        <v>4650</v>
      </c>
      <c r="X216" s="3" t="s">
        <v>1843</v>
      </c>
      <c r="Y216" s="3" t="s">
        <v>4651</v>
      </c>
      <c r="Z216" s="3" t="s">
        <v>4652</v>
      </c>
      <c r="AA216" s="3" t="s">
        <v>4653</v>
      </c>
      <c r="AB216" s="3" t="s">
        <v>4654</v>
      </c>
      <c r="AC216" s="3" t="s">
        <v>4655</v>
      </c>
      <c r="AD216" s="3" t="s">
        <v>4656</v>
      </c>
      <c r="AE216" s="3" t="s">
        <v>4657</v>
      </c>
      <c r="AF216" s="3" t="s">
        <v>74</v>
      </c>
      <c r="AG216" s="3">
        <v>49</v>
      </c>
      <c r="AH216" s="3">
        <v>2</v>
      </c>
      <c r="AI216" s="3">
        <v>2</v>
      </c>
      <c r="AJ216" s="3">
        <v>1</v>
      </c>
      <c r="AK216" s="3">
        <v>15</v>
      </c>
      <c r="AL216" s="3" t="s">
        <v>1120</v>
      </c>
      <c r="AM216" s="3" t="s">
        <v>1121</v>
      </c>
      <c r="AN216" s="3" t="s">
        <v>4658</v>
      </c>
      <c r="AO216" s="3" t="s">
        <v>3521</v>
      </c>
      <c r="AP216" s="3" t="s">
        <v>3522</v>
      </c>
      <c r="AQ216" s="3" t="s">
        <v>4659</v>
      </c>
      <c r="AR216" s="3" t="s">
        <v>3524</v>
      </c>
      <c r="AS216" s="3" t="s">
        <v>74</v>
      </c>
      <c r="AT216" s="3" t="s">
        <v>74</v>
      </c>
      <c r="AU216" s="3">
        <v>2018</v>
      </c>
      <c r="AV216" s="3">
        <v>36</v>
      </c>
      <c r="AW216" s="3" t="s">
        <v>74</v>
      </c>
      <c r="AX216" s="3" t="s">
        <v>74</v>
      </c>
      <c r="AY216" s="3" t="s">
        <v>74</v>
      </c>
      <c r="AZ216" s="3" t="s">
        <v>74</v>
      </c>
      <c r="BA216" s="3" t="s">
        <v>74</v>
      </c>
      <c r="BB216" s="3">
        <v>17</v>
      </c>
      <c r="BC216" s="3">
        <v>31</v>
      </c>
      <c r="BD216" s="3" t="s">
        <v>74</v>
      </c>
      <c r="BE216" s="3" t="s">
        <v>4660</v>
      </c>
      <c r="BF216" s="3" t="str">
        <f>HYPERLINK("http://dx.doi.org/10.1007/978-3-319-74454-4_2","http://dx.doi.org/10.1007/978-3-319-74454-4_2")</f>
        <v>http://dx.doi.org/10.1007/978-3-319-74454-4_2</v>
      </c>
      <c r="BG216" s="3" t="s">
        <v>74</v>
      </c>
      <c r="BH216" s="3" t="s">
        <v>74</v>
      </c>
      <c r="BI216" s="3">
        <v>15</v>
      </c>
      <c r="BJ216" s="3" t="s">
        <v>4661</v>
      </c>
      <c r="BK216" s="3" t="s">
        <v>130</v>
      </c>
      <c r="BL216" s="3" t="s">
        <v>4662</v>
      </c>
      <c r="BM216" s="3" t="s">
        <v>4663</v>
      </c>
      <c r="BN216" s="3" t="s">
        <v>74</v>
      </c>
      <c r="BO216" s="3" t="s">
        <v>74</v>
      </c>
      <c r="BP216" s="3" t="s">
        <v>74</v>
      </c>
      <c r="BQ216" s="3" t="s">
        <v>74</v>
      </c>
      <c r="BR216" s="3" t="s">
        <v>101</v>
      </c>
      <c r="BS216" s="3" t="s">
        <v>4664</v>
      </c>
      <c r="BT216" s="3" t="str">
        <f>HYPERLINK("https%3A%2F%2Fwww.webofscience.com%2Fwos%2Fwoscc%2Ffull-record%2FWOS:000434081600002","View Full Record in Web of Science")</f>
        <v>View Full Record in Web of Science</v>
      </c>
      <c r="BU216" s="3"/>
      <c r="BV216" s="3"/>
      <c r="BW216" s="1"/>
    </row>
    <row r="217" spans="1:75" x14ac:dyDescent="0.25">
      <c r="A217" s="3" t="s">
        <v>72</v>
      </c>
      <c r="B217" s="3" t="s">
        <v>4665</v>
      </c>
      <c r="C217" s="3" t="s">
        <v>74</v>
      </c>
      <c r="D217" s="3" t="s">
        <v>74</v>
      </c>
      <c r="E217" s="3" t="s">
        <v>74</v>
      </c>
      <c r="F217" s="3" t="s">
        <v>4666</v>
      </c>
      <c r="G217" s="3" t="s">
        <v>74</v>
      </c>
      <c r="H217" s="3" t="s">
        <v>74</v>
      </c>
      <c r="I217" s="3" t="s">
        <v>4667</v>
      </c>
      <c r="J217" s="3" t="s">
        <v>4668</v>
      </c>
      <c r="K217" s="3" t="s">
        <v>74</v>
      </c>
      <c r="L217" s="3" t="s">
        <v>74</v>
      </c>
      <c r="M217" s="3" t="s">
        <v>110</v>
      </c>
      <c r="N217" s="3" t="s">
        <v>79</v>
      </c>
      <c r="O217" s="3" t="s">
        <v>74</v>
      </c>
      <c r="P217" s="3" t="s">
        <v>74</v>
      </c>
      <c r="Q217" s="3" t="s">
        <v>74</v>
      </c>
      <c r="R217" s="3" t="s">
        <v>74</v>
      </c>
      <c r="S217" s="3" t="s">
        <v>74</v>
      </c>
      <c r="T217" s="3" t="s">
        <v>4669</v>
      </c>
      <c r="U217" s="3" t="s">
        <v>4670</v>
      </c>
      <c r="V217" s="3" t="s">
        <v>4671</v>
      </c>
      <c r="W217" s="3" t="s">
        <v>4672</v>
      </c>
      <c r="X217" s="3" t="s">
        <v>4673</v>
      </c>
      <c r="Y217" s="3" t="s">
        <v>4674</v>
      </c>
      <c r="Z217" s="3" t="s">
        <v>4675</v>
      </c>
      <c r="AA217" s="3" t="s">
        <v>4676</v>
      </c>
      <c r="AB217" s="3" t="s">
        <v>4677</v>
      </c>
      <c r="AC217" s="3" t="s">
        <v>4678</v>
      </c>
      <c r="AD217" s="3" t="s">
        <v>4679</v>
      </c>
      <c r="AE217" s="3" t="s">
        <v>4680</v>
      </c>
      <c r="AF217" s="3" t="s">
        <v>74</v>
      </c>
      <c r="AG217" s="3">
        <v>137</v>
      </c>
      <c r="AH217" s="3">
        <v>10</v>
      </c>
      <c r="AI217" s="3">
        <v>11</v>
      </c>
      <c r="AJ217" s="3">
        <v>1</v>
      </c>
      <c r="AK217" s="3">
        <v>6</v>
      </c>
      <c r="AL217" s="3" t="s">
        <v>145</v>
      </c>
      <c r="AM217" s="3" t="s">
        <v>146</v>
      </c>
      <c r="AN217" s="3" t="s">
        <v>279</v>
      </c>
      <c r="AO217" s="3" t="s">
        <v>74</v>
      </c>
      <c r="AP217" s="3" t="s">
        <v>4681</v>
      </c>
      <c r="AQ217" s="3" t="s">
        <v>74</v>
      </c>
      <c r="AR217" s="3" t="s">
        <v>4682</v>
      </c>
      <c r="AS217" s="3" t="s">
        <v>4683</v>
      </c>
      <c r="AT217" s="3" t="s">
        <v>176</v>
      </c>
      <c r="AU217" s="3">
        <v>2021</v>
      </c>
      <c r="AV217" s="3">
        <v>2</v>
      </c>
      <c r="AW217" s="3">
        <v>2</v>
      </c>
      <c r="AX217" s="3" t="s">
        <v>74</v>
      </c>
      <c r="AY217" s="3" t="s">
        <v>74</v>
      </c>
      <c r="AZ217" s="3" t="s">
        <v>74</v>
      </c>
      <c r="BA217" s="3" t="s">
        <v>74</v>
      </c>
      <c r="BB217" s="3">
        <v>275</v>
      </c>
      <c r="BC217" s="3">
        <v>309</v>
      </c>
      <c r="BD217" s="3" t="s">
        <v>74</v>
      </c>
      <c r="BE217" s="3" t="s">
        <v>4684</v>
      </c>
      <c r="BF217" s="3" t="str">
        <f>HYPERLINK("http://dx.doi.org/10.3390/iot2020015","http://dx.doi.org/10.3390/iot2020015")</f>
        <v>http://dx.doi.org/10.3390/iot2020015</v>
      </c>
      <c r="BG217" s="3" t="s">
        <v>74</v>
      </c>
      <c r="BH217" s="3" t="s">
        <v>74</v>
      </c>
      <c r="BI217" s="3">
        <v>35</v>
      </c>
      <c r="BJ217" s="3" t="s">
        <v>3955</v>
      </c>
      <c r="BK217" s="3" t="s">
        <v>97</v>
      </c>
      <c r="BL217" s="3" t="s">
        <v>3955</v>
      </c>
      <c r="BM217" s="3" t="s">
        <v>4685</v>
      </c>
      <c r="BN217" s="3" t="s">
        <v>74</v>
      </c>
      <c r="BO217" s="3" t="s">
        <v>133</v>
      </c>
      <c r="BP217" s="3" t="s">
        <v>74</v>
      </c>
      <c r="BQ217" s="3" t="s">
        <v>74</v>
      </c>
      <c r="BR217" s="3" t="s">
        <v>101</v>
      </c>
      <c r="BS217" s="3" t="s">
        <v>4686</v>
      </c>
      <c r="BT217" s="3" t="str">
        <f>HYPERLINK("https%3A%2F%2Fwww.webofscience.com%2Fwos%2Fwoscc%2Ffull-record%2FWOS:001199225800001","View Full Record in Web of Science")</f>
        <v>View Full Record in Web of Science</v>
      </c>
      <c r="BU217" s="3"/>
      <c r="BV217" s="3"/>
      <c r="BW217" s="1"/>
    </row>
    <row r="218" spans="1:75" x14ac:dyDescent="0.25">
      <c r="A218" s="3" t="s">
        <v>103</v>
      </c>
      <c r="B218" s="3" t="s">
        <v>4687</v>
      </c>
      <c r="C218" s="3" t="s">
        <v>74</v>
      </c>
      <c r="D218" s="3" t="s">
        <v>74</v>
      </c>
      <c r="E218" s="3" t="s">
        <v>199</v>
      </c>
      <c r="F218" s="3" t="s">
        <v>4688</v>
      </c>
      <c r="G218" s="3" t="s">
        <v>74</v>
      </c>
      <c r="H218" s="3" t="s">
        <v>74</v>
      </c>
      <c r="I218" s="3" t="s">
        <v>4689</v>
      </c>
      <c r="J218" s="3" t="s">
        <v>4690</v>
      </c>
      <c r="K218" s="3" t="s">
        <v>74</v>
      </c>
      <c r="L218" s="3" t="s">
        <v>74</v>
      </c>
      <c r="M218" s="3" t="s">
        <v>110</v>
      </c>
      <c r="N218" s="3" t="s">
        <v>111</v>
      </c>
      <c r="O218" s="3" t="s">
        <v>4691</v>
      </c>
      <c r="P218" s="3" t="s">
        <v>4692</v>
      </c>
      <c r="Q218" s="3" t="s">
        <v>4693</v>
      </c>
      <c r="R218" s="3" t="s">
        <v>74</v>
      </c>
      <c r="S218" s="3" t="s">
        <v>74</v>
      </c>
      <c r="T218" s="3" t="s">
        <v>4694</v>
      </c>
      <c r="U218" s="3" t="s">
        <v>74</v>
      </c>
      <c r="V218" s="3" t="s">
        <v>4695</v>
      </c>
      <c r="W218" s="3" t="s">
        <v>4696</v>
      </c>
      <c r="X218" s="3" t="s">
        <v>4697</v>
      </c>
      <c r="Y218" s="3" t="s">
        <v>4698</v>
      </c>
      <c r="Z218" s="3" t="s">
        <v>4699</v>
      </c>
      <c r="AA218" s="3" t="s">
        <v>74</v>
      </c>
      <c r="AB218" s="3" t="s">
        <v>74</v>
      </c>
      <c r="AC218" s="3" t="s">
        <v>74</v>
      </c>
      <c r="AD218" s="3" t="s">
        <v>74</v>
      </c>
      <c r="AE218" s="3" t="s">
        <v>74</v>
      </c>
      <c r="AF218" s="3" t="s">
        <v>74</v>
      </c>
      <c r="AG218" s="3">
        <v>12</v>
      </c>
      <c r="AH218" s="3">
        <v>5</v>
      </c>
      <c r="AI218" s="3">
        <v>5</v>
      </c>
      <c r="AJ218" s="3">
        <v>0</v>
      </c>
      <c r="AK218" s="3">
        <v>9</v>
      </c>
      <c r="AL218" s="3" t="s">
        <v>199</v>
      </c>
      <c r="AM218" s="3" t="s">
        <v>200</v>
      </c>
      <c r="AN218" s="3" t="s">
        <v>201</v>
      </c>
      <c r="AO218" s="3" t="s">
        <v>74</v>
      </c>
      <c r="AP218" s="3" t="s">
        <v>74</v>
      </c>
      <c r="AQ218" s="3" t="s">
        <v>4700</v>
      </c>
      <c r="AR218" s="3" t="s">
        <v>74</v>
      </c>
      <c r="AS218" s="3" t="s">
        <v>74</v>
      </c>
      <c r="AT218" s="3" t="s">
        <v>74</v>
      </c>
      <c r="AU218" s="3">
        <v>2016</v>
      </c>
      <c r="AV218" s="3" t="s">
        <v>74</v>
      </c>
      <c r="AW218" s="3" t="s">
        <v>74</v>
      </c>
      <c r="AX218" s="3" t="s">
        <v>74</v>
      </c>
      <c r="AY218" s="3" t="s">
        <v>74</v>
      </c>
      <c r="AZ218" s="3" t="s">
        <v>74</v>
      </c>
      <c r="BA218" s="3" t="s">
        <v>74</v>
      </c>
      <c r="BB218" s="3" t="s">
        <v>74</v>
      </c>
      <c r="BC218" s="3" t="s">
        <v>74</v>
      </c>
      <c r="BD218" s="3" t="s">
        <v>74</v>
      </c>
      <c r="BE218" s="3" t="s">
        <v>74</v>
      </c>
      <c r="BF218" s="3" t="s">
        <v>74</v>
      </c>
      <c r="BG218" s="3" t="s">
        <v>74</v>
      </c>
      <c r="BH218" s="3" t="s">
        <v>74</v>
      </c>
      <c r="BI218" s="3">
        <v>7</v>
      </c>
      <c r="BJ218" s="3" t="s">
        <v>4701</v>
      </c>
      <c r="BK218" s="3" t="s">
        <v>208</v>
      </c>
      <c r="BL218" s="3" t="s">
        <v>4702</v>
      </c>
      <c r="BM218" s="3" t="s">
        <v>4703</v>
      </c>
      <c r="BN218" s="3" t="s">
        <v>74</v>
      </c>
      <c r="BO218" s="3" t="s">
        <v>74</v>
      </c>
      <c r="BP218" s="3" t="s">
        <v>74</v>
      </c>
      <c r="BQ218" s="3" t="s">
        <v>74</v>
      </c>
      <c r="BR218" s="3" t="s">
        <v>101</v>
      </c>
      <c r="BS218" s="3" t="s">
        <v>4704</v>
      </c>
      <c r="BT218" s="3" t="str">
        <f>HYPERLINK("https%3A%2F%2Fwww.webofscience.com%2Fwos%2Fwoscc%2Ffull-record%2FWOS:000386493800061","View Full Record in Web of Science")</f>
        <v>View Full Record in Web of Science</v>
      </c>
      <c r="BU218" s="3"/>
      <c r="BV218" s="3"/>
      <c r="BW218" s="1"/>
    </row>
    <row r="219" spans="1:75" x14ac:dyDescent="0.25">
      <c r="A219" s="3" t="s">
        <v>103</v>
      </c>
      <c r="B219" s="3" t="s">
        <v>4705</v>
      </c>
      <c r="C219" s="3" t="s">
        <v>74</v>
      </c>
      <c r="D219" s="3" t="s">
        <v>4706</v>
      </c>
      <c r="E219" s="3" t="s">
        <v>74</v>
      </c>
      <c r="F219" s="3" t="s">
        <v>4707</v>
      </c>
      <c r="G219" s="3" t="s">
        <v>74</v>
      </c>
      <c r="H219" s="3" t="s">
        <v>74</v>
      </c>
      <c r="I219" s="3" t="s">
        <v>4708</v>
      </c>
      <c r="J219" s="3" t="s">
        <v>4709</v>
      </c>
      <c r="K219" s="3" t="s">
        <v>4710</v>
      </c>
      <c r="L219" s="3" t="s">
        <v>74</v>
      </c>
      <c r="M219" s="3" t="s">
        <v>110</v>
      </c>
      <c r="N219" s="3" t="s">
        <v>111</v>
      </c>
      <c r="O219" s="3" t="s">
        <v>4711</v>
      </c>
      <c r="P219" s="3" t="s">
        <v>4712</v>
      </c>
      <c r="Q219" s="3" t="s">
        <v>1786</v>
      </c>
      <c r="R219" s="3" t="s">
        <v>74</v>
      </c>
      <c r="S219" s="3" t="s">
        <v>74</v>
      </c>
      <c r="T219" s="3" t="s">
        <v>4713</v>
      </c>
      <c r="U219" s="3" t="s">
        <v>74</v>
      </c>
      <c r="V219" s="3" t="s">
        <v>4714</v>
      </c>
      <c r="W219" s="3" t="s">
        <v>4715</v>
      </c>
      <c r="X219" s="3" t="s">
        <v>4716</v>
      </c>
      <c r="Y219" s="3" t="s">
        <v>4717</v>
      </c>
      <c r="Z219" s="3" t="s">
        <v>4718</v>
      </c>
      <c r="AA219" s="3" t="s">
        <v>4719</v>
      </c>
      <c r="AB219" s="3" t="s">
        <v>4720</v>
      </c>
      <c r="AC219" s="3" t="s">
        <v>4721</v>
      </c>
      <c r="AD219" s="3" t="s">
        <v>4722</v>
      </c>
      <c r="AE219" s="3" t="s">
        <v>4723</v>
      </c>
      <c r="AF219" s="3" t="s">
        <v>74</v>
      </c>
      <c r="AG219" s="3">
        <v>14</v>
      </c>
      <c r="AH219" s="3">
        <v>3</v>
      </c>
      <c r="AI219" s="3">
        <v>3</v>
      </c>
      <c r="AJ219" s="3">
        <v>2</v>
      </c>
      <c r="AK219" s="3">
        <v>7</v>
      </c>
      <c r="AL219" s="3" t="s">
        <v>123</v>
      </c>
      <c r="AM219" s="3" t="s">
        <v>124</v>
      </c>
      <c r="AN219" s="3" t="s">
        <v>125</v>
      </c>
      <c r="AO219" s="3" t="s">
        <v>4724</v>
      </c>
      <c r="AP219" s="3" t="s">
        <v>74</v>
      </c>
      <c r="AQ219" s="3" t="s">
        <v>74</v>
      </c>
      <c r="AR219" s="3" t="s">
        <v>4725</v>
      </c>
      <c r="AS219" s="3" t="s">
        <v>74</v>
      </c>
      <c r="AT219" s="3" t="s">
        <v>74</v>
      </c>
      <c r="AU219" s="3">
        <v>2017</v>
      </c>
      <c r="AV219" s="3">
        <v>130</v>
      </c>
      <c r="AW219" s="3" t="s">
        <v>74</v>
      </c>
      <c r="AX219" s="3" t="s">
        <v>74</v>
      </c>
      <c r="AY219" s="3" t="s">
        <v>74</v>
      </c>
      <c r="AZ219" s="3" t="s">
        <v>74</v>
      </c>
      <c r="BA219" s="3" t="s">
        <v>74</v>
      </c>
      <c r="BB219" s="3">
        <v>114</v>
      </c>
      <c r="BC219" s="3">
        <v>121</v>
      </c>
      <c r="BD219" s="3" t="s">
        <v>74</v>
      </c>
      <c r="BE219" s="3" t="s">
        <v>4726</v>
      </c>
      <c r="BF219" s="3" t="str">
        <f>HYPERLINK("http://dx.doi.org/10.1016/j.egypro.2017.09.406","http://dx.doi.org/10.1016/j.egypro.2017.09.406")</f>
        <v>http://dx.doi.org/10.1016/j.egypro.2017.09.406</v>
      </c>
      <c r="BG219" s="3" t="s">
        <v>74</v>
      </c>
      <c r="BH219" s="3" t="s">
        <v>74</v>
      </c>
      <c r="BI219" s="3">
        <v>8</v>
      </c>
      <c r="BJ219" s="3" t="s">
        <v>178</v>
      </c>
      <c r="BK219" s="3" t="s">
        <v>208</v>
      </c>
      <c r="BL219" s="3" t="s">
        <v>178</v>
      </c>
      <c r="BM219" s="3" t="s">
        <v>4727</v>
      </c>
      <c r="BN219" s="3" t="s">
        <v>74</v>
      </c>
      <c r="BO219" s="3" t="s">
        <v>100</v>
      </c>
      <c r="BP219" s="3" t="s">
        <v>74</v>
      </c>
      <c r="BQ219" s="3" t="s">
        <v>74</v>
      </c>
      <c r="BR219" s="3" t="s">
        <v>101</v>
      </c>
      <c r="BS219" s="3" t="s">
        <v>4728</v>
      </c>
      <c r="BT219" s="3" t="str">
        <f>HYPERLINK("https%3A%2F%2Fwww.webofscience.com%2Fwos%2Fwoscc%2Ffull-record%2FWOS:000426435900018","View Full Record in Web of Science")</f>
        <v>View Full Record in Web of Science</v>
      </c>
      <c r="BU219" s="3"/>
      <c r="BV219" s="3"/>
      <c r="BW219" s="1"/>
    </row>
    <row r="220" spans="1:75" x14ac:dyDescent="0.25">
      <c r="A220" s="3" t="s">
        <v>103</v>
      </c>
      <c r="B220" s="3" t="s">
        <v>4729</v>
      </c>
      <c r="C220" s="3" t="s">
        <v>74</v>
      </c>
      <c r="D220" s="3" t="s">
        <v>4730</v>
      </c>
      <c r="E220" s="3" t="s">
        <v>74</v>
      </c>
      <c r="F220" s="3" t="s">
        <v>4731</v>
      </c>
      <c r="G220" s="3" t="s">
        <v>74</v>
      </c>
      <c r="H220" s="3" t="s">
        <v>74</v>
      </c>
      <c r="I220" s="3" t="s">
        <v>4732</v>
      </c>
      <c r="J220" s="3" t="s">
        <v>4733</v>
      </c>
      <c r="K220" s="3" t="s">
        <v>1326</v>
      </c>
      <c r="L220" s="3" t="s">
        <v>74</v>
      </c>
      <c r="M220" s="3" t="s">
        <v>110</v>
      </c>
      <c r="N220" s="3" t="s">
        <v>111</v>
      </c>
      <c r="O220" s="3" t="s">
        <v>4734</v>
      </c>
      <c r="P220" s="3" t="s">
        <v>4735</v>
      </c>
      <c r="Q220" s="3" t="s">
        <v>1329</v>
      </c>
      <c r="R220" s="3" t="s">
        <v>74</v>
      </c>
      <c r="S220" s="3" t="s">
        <v>74</v>
      </c>
      <c r="T220" s="3" t="s">
        <v>4736</v>
      </c>
      <c r="U220" s="3" t="s">
        <v>74</v>
      </c>
      <c r="V220" s="3" t="s">
        <v>4737</v>
      </c>
      <c r="W220" s="3" t="s">
        <v>4738</v>
      </c>
      <c r="X220" s="3" t="s">
        <v>4739</v>
      </c>
      <c r="Y220" s="3" t="s">
        <v>4740</v>
      </c>
      <c r="Z220" s="3" t="s">
        <v>4741</v>
      </c>
      <c r="AA220" s="3" t="s">
        <v>4742</v>
      </c>
      <c r="AB220" s="3" t="s">
        <v>74</v>
      </c>
      <c r="AC220" s="3" t="s">
        <v>4743</v>
      </c>
      <c r="AD220" s="3" t="s">
        <v>4744</v>
      </c>
      <c r="AE220" s="3" t="s">
        <v>4745</v>
      </c>
      <c r="AF220" s="3" t="s">
        <v>74</v>
      </c>
      <c r="AG220" s="3">
        <v>10</v>
      </c>
      <c r="AH220" s="3">
        <v>0</v>
      </c>
      <c r="AI220" s="3">
        <v>0</v>
      </c>
      <c r="AJ220" s="3">
        <v>0</v>
      </c>
      <c r="AK220" s="3">
        <v>3</v>
      </c>
      <c r="AL220" s="3" t="s">
        <v>374</v>
      </c>
      <c r="AM220" s="3" t="s">
        <v>375</v>
      </c>
      <c r="AN220" s="3" t="s">
        <v>376</v>
      </c>
      <c r="AO220" s="3" t="s">
        <v>1340</v>
      </c>
      <c r="AP220" s="3" t="s">
        <v>1341</v>
      </c>
      <c r="AQ220" s="3" t="s">
        <v>4746</v>
      </c>
      <c r="AR220" s="3" t="s">
        <v>1343</v>
      </c>
      <c r="AS220" s="3" t="s">
        <v>74</v>
      </c>
      <c r="AT220" s="3" t="s">
        <v>74</v>
      </c>
      <c r="AU220" s="3">
        <v>2018</v>
      </c>
      <c r="AV220" s="3">
        <v>10797</v>
      </c>
      <c r="AW220" s="3" t="s">
        <v>74</v>
      </c>
      <c r="AX220" s="3" t="s">
        <v>74</v>
      </c>
      <c r="AY220" s="3" t="s">
        <v>74</v>
      </c>
      <c r="AZ220" s="3" t="s">
        <v>74</v>
      </c>
      <c r="BA220" s="3" t="s">
        <v>74</v>
      </c>
      <c r="BB220" s="3">
        <v>229</v>
      </c>
      <c r="BC220" s="3">
        <v>240</v>
      </c>
      <c r="BD220" s="3" t="s">
        <v>74</v>
      </c>
      <c r="BE220" s="3" t="s">
        <v>4747</v>
      </c>
      <c r="BF220" s="3" t="str">
        <f>HYPERLINK("http://dx.doi.org/10.1007/978-3-319-91764-1_18","http://dx.doi.org/10.1007/978-3-319-91764-1_18")</f>
        <v>http://dx.doi.org/10.1007/978-3-319-91764-1_18</v>
      </c>
      <c r="BG220" s="3" t="s">
        <v>74</v>
      </c>
      <c r="BH220" s="3" t="s">
        <v>74</v>
      </c>
      <c r="BI220" s="3">
        <v>12</v>
      </c>
      <c r="BJ220" s="3" t="s">
        <v>4748</v>
      </c>
      <c r="BK220" s="3" t="s">
        <v>208</v>
      </c>
      <c r="BL220" s="3" t="s">
        <v>486</v>
      </c>
      <c r="BM220" s="3" t="s">
        <v>4749</v>
      </c>
      <c r="BN220" s="3" t="s">
        <v>74</v>
      </c>
      <c r="BO220" s="3" t="s">
        <v>74</v>
      </c>
      <c r="BP220" s="3" t="s">
        <v>74</v>
      </c>
      <c r="BQ220" s="3" t="s">
        <v>74</v>
      </c>
      <c r="BR220" s="3" t="s">
        <v>101</v>
      </c>
      <c r="BS220" s="3" t="s">
        <v>4750</v>
      </c>
      <c r="BT220" s="3" t="str">
        <f>HYPERLINK("https%3A%2F%2Fwww.webofscience.com%2Fwos%2Fwoscc%2Ffull-record%2FWOS:000541536700018","View Full Record in Web of Science")</f>
        <v>View Full Record in Web of Science</v>
      </c>
      <c r="BU220" s="3"/>
      <c r="BV220" s="3"/>
      <c r="BW220" s="1"/>
    </row>
    <row r="221" spans="1:75" x14ac:dyDescent="0.25">
      <c r="A221" s="3" t="s">
        <v>103</v>
      </c>
      <c r="B221" s="3" t="s">
        <v>4751</v>
      </c>
      <c r="C221" s="3" t="s">
        <v>74</v>
      </c>
      <c r="D221" s="3" t="s">
        <v>2534</v>
      </c>
      <c r="E221" s="3" t="s">
        <v>74</v>
      </c>
      <c r="F221" s="3" t="s">
        <v>4752</v>
      </c>
      <c r="G221" s="3" t="s">
        <v>74</v>
      </c>
      <c r="H221" s="3" t="s">
        <v>74</v>
      </c>
      <c r="I221" s="3" t="s">
        <v>4753</v>
      </c>
      <c r="J221" s="3" t="s">
        <v>4754</v>
      </c>
      <c r="K221" s="3" t="s">
        <v>74</v>
      </c>
      <c r="L221" s="3" t="s">
        <v>74</v>
      </c>
      <c r="M221" s="3" t="s">
        <v>110</v>
      </c>
      <c r="N221" s="3" t="s">
        <v>111</v>
      </c>
      <c r="O221" s="3" t="s">
        <v>4755</v>
      </c>
      <c r="P221" s="3" t="s">
        <v>4756</v>
      </c>
      <c r="Q221" s="3" t="s">
        <v>2540</v>
      </c>
      <c r="R221" s="3" t="s">
        <v>74</v>
      </c>
      <c r="S221" s="3" t="s">
        <v>74</v>
      </c>
      <c r="T221" s="3" t="s">
        <v>4757</v>
      </c>
      <c r="U221" s="3" t="s">
        <v>4758</v>
      </c>
      <c r="V221" s="3" t="s">
        <v>4759</v>
      </c>
      <c r="W221" s="3" t="s">
        <v>4760</v>
      </c>
      <c r="X221" s="3" t="s">
        <v>74</v>
      </c>
      <c r="Y221" s="3" t="s">
        <v>4761</v>
      </c>
      <c r="Z221" s="3" t="s">
        <v>4762</v>
      </c>
      <c r="AA221" s="3" t="s">
        <v>4763</v>
      </c>
      <c r="AB221" s="3" t="s">
        <v>74</v>
      </c>
      <c r="AC221" s="3" t="s">
        <v>74</v>
      </c>
      <c r="AD221" s="3" t="s">
        <v>74</v>
      </c>
      <c r="AE221" s="3" t="s">
        <v>74</v>
      </c>
      <c r="AF221" s="3" t="s">
        <v>74</v>
      </c>
      <c r="AG221" s="3">
        <v>17</v>
      </c>
      <c r="AH221" s="3">
        <v>0</v>
      </c>
      <c r="AI221" s="3">
        <v>0</v>
      </c>
      <c r="AJ221" s="3">
        <v>0</v>
      </c>
      <c r="AK221" s="3">
        <v>4</v>
      </c>
      <c r="AL221" s="3" t="s">
        <v>2551</v>
      </c>
      <c r="AM221" s="3" t="s">
        <v>2552</v>
      </c>
      <c r="AN221" s="3" t="s">
        <v>2553</v>
      </c>
      <c r="AO221" s="3" t="s">
        <v>74</v>
      </c>
      <c r="AP221" s="3" t="s">
        <v>74</v>
      </c>
      <c r="AQ221" s="3" t="s">
        <v>4764</v>
      </c>
      <c r="AR221" s="3" t="s">
        <v>74</v>
      </c>
      <c r="AS221" s="3" t="s">
        <v>74</v>
      </c>
      <c r="AT221" s="3" t="s">
        <v>74</v>
      </c>
      <c r="AU221" s="3">
        <v>2018</v>
      </c>
      <c r="AV221" s="3" t="s">
        <v>74</v>
      </c>
      <c r="AW221" s="3" t="s">
        <v>74</v>
      </c>
      <c r="AX221" s="3" t="s">
        <v>74</v>
      </c>
      <c r="AY221" s="3" t="s">
        <v>74</v>
      </c>
      <c r="AZ221" s="3" t="s">
        <v>74</v>
      </c>
      <c r="BA221" s="3" t="s">
        <v>74</v>
      </c>
      <c r="BB221" s="3">
        <v>1967</v>
      </c>
      <c r="BC221" s="3">
        <v>1977</v>
      </c>
      <c r="BD221" s="3" t="s">
        <v>74</v>
      </c>
      <c r="BE221" s="3" t="s">
        <v>74</v>
      </c>
      <c r="BF221" s="3" t="s">
        <v>74</v>
      </c>
      <c r="BG221" s="3" t="s">
        <v>74</v>
      </c>
      <c r="BH221" s="3" t="s">
        <v>74</v>
      </c>
      <c r="BI221" s="3">
        <v>11</v>
      </c>
      <c r="BJ221" s="3" t="s">
        <v>2555</v>
      </c>
      <c r="BK221" s="3" t="s">
        <v>2556</v>
      </c>
      <c r="BL221" s="3" t="s">
        <v>2557</v>
      </c>
      <c r="BM221" s="3" t="s">
        <v>4765</v>
      </c>
      <c r="BN221" s="3" t="s">
        <v>74</v>
      </c>
      <c r="BO221" s="3" t="s">
        <v>74</v>
      </c>
      <c r="BP221" s="3" t="s">
        <v>74</v>
      </c>
      <c r="BQ221" s="3" t="s">
        <v>74</v>
      </c>
      <c r="BR221" s="3" t="s">
        <v>101</v>
      </c>
      <c r="BS221" s="3" t="s">
        <v>4766</v>
      </c>
      <c r="BT221" s="3" t="str">
        <f>HYPERLINK("https%3A%2F%2Fwww.webofscience.com%2Fwos%2Fwoscc%2Ffull-record%2FWOS:000681676300251","View Full Record in Web of Science")</f>
        <v>View Full Record in Web of Science</v>
      </c>
      <c r="BU221" s="3"/>
      <c r="BV221" s="3"/>
      <c r="BW221" s="1"/>
    </row>
    <row r="222" spans="1:75" x14ac:dyDescent="0.25">
      <c r="A222" s="3" t="s">
        <v>103</v>
      </c>
      <c r="B222" s="3" t="s">
        <v>4767</v>
      </c>
      <c r="C222" s="3" t="s">
        <v>74</v>
      </c>
      <c r="D222" s="3" t="s">
        <v>4768</v>
      </c>
      <c r="E222" s="3" t="s">
        <v>74</v>
      </c>
      <c r="F222" s="3" t="s">
        <v>4769</v>
      </c>
      <c r="G222" s="3" t="s">
        <v>74</v>
      </c>
      <c r="H222" s="3" t="s">
        <v>74</v>
      </c>
      <c r="I222" s="3" t="s">
        <v>4770</v>
      </c>
      <c r="J222" s="3" t="s">
        <v>4771</v>
      </c>
      <c r="K222" s="3" t="s">
        <v>74</v>
      </c>
      <c r="L222" s="3" t="s">
        <v>74</v>
      </c>
      <c r="M222" s="3" t="s">
        <v>110</v>
      </c>
      <c r="N222" s="3" t="s">
        <v>111</v>
      </c>
      <c r="O222" s="3" t="s">
        <v>4772</v>
      </c>
      <c r="P222" s="3" t="s">
        <v>4773</v>
      </c>
      <c r="Q222" s="3" t="s">
        <v>4774</v>
      </c>
      <c r="R222" s="3" t="s">
        <v>74</v>
      </c>
      <c r="S222" s="3" t="s">
        <v>74</v>
      </c>
      <c r="T222" s="3" t="s">
        <v>4775</v>
      </c>
      <c r="U222" s="3" t="s">
        <v>74</v>
      </c>
      <c r="V222" s="3" t="s">
        <v>4776</v>
      </c>
      <c r="W222" s="3" t="s">
        <v>4777</v>
      </c>
      <c r="X222" s="3" t="s">
        <v>4778</v>
      </c>
      <c r="Y222" s="3" t="s">
        <v>4779</v>
      </c>
      <c r="Z222" s="3" t="s">
        <v>4780</v>
      </c>
      <c r="AA222" s="3" t="s">
        <v>74</v>
      </c>
      <c r="AB222" s="3" t="s">
        <v>74</v>
      </c>
      <c r="AC222" s="3" t="s">
        <v>74</v>
      </c>
      <c r="AD222" s="3" t="s">
        <v>74</v>
      </c>
      <c r="AE222" s="3" t="s">
        <v>74</v>
      </c>
      <c r="AF222" s="3" t="s">
        <v>74</v>
      </c>
      <c r="AG222" s="3">
        <v>12</v>
      </c>
      <c r="AH222" s="3">
        <v>0</v>
      </c>
      <c r="AI222" s="3">
        <v>0</v>
      </c>
      <c r="AJ222" s="3">
        <v>0</v>
      </c>
      <c r="AK222" s="3">
        <v>8</v>
      </c>
      <c r="AL222" s="3" t="s">
        <v>4781</v>
      </c>
      <c r="AM222" s="3" t="s">
        <v>4782</v>
      </c>
      <c r="AN222" s="3" t="s">
        <v>4783</v>
      </c>
      <c r="AO222" s="3" t="s">
        <v>74</v>
      </c>
      <c r="AP222" s="3" t="s">
        <v>74</v>
      </c>
      <c r="AQ222" s="3" t="s">
        <v>4784</v>
      </c>
      <c r="AR222" s="3" t="s">
        <v>74</v>
      </c>
      <c r="AS222" s="3" t="s">
        <v>74</v>
      </c>
      <c r="AT222" s="3" t="s">
        <v>74</v>
      </c>
      <c r="AU222" s="3">
        <v>2018</v>
      </c>
      <c r="AV222" s="3" t="s">
        <v>74</v>
      </c>
      <c r="AW222" s="3" t="s">
        <v>74</v>
      </c>
      <c r="AX222" s="3" t="s">
        <v>74</v>
      </c>
      <c r="AY222" s="3" t="s">
        <v>74</v>
      </c>
      <c r="AZ222" s="3" t="s">
        <v>74</v>
      </c>
      <c r="BA222" s="3" t="s">
        <v>74</v>
      </c>
      <c r="BB222" s="3">
        <v>1842</v>
      </c>
      <c r="BC222" s="3">
        <v>1852</v>
      </c>
      <c r="BD222" s="3" t="s">
        <v>74</v>
      </c>
      <c r="BE222" s="3" t="s">
        <v>74</v>
      </c>
      <c r="BF222" s="3" t="s">
        <v>74</v>
      </c>
      <c r="BG222" s="3" t="s">
        <v>74</v>
      </c>
      <c r="BH222" s="3" t="s">
        <v>74</v>
      </c>
      <c r="BI222" s="3">
        <v>11</v>
      </c>
      <c r="BJ222" s="3" t="s">
        <v>4785</v>
      </c>
      <c r="BK222" s="3" t="s">
        <v>2556</v>
      </c>
      <c r="BL222" s="3" t="s">
        <v>4786</v>
      </c>
      <c r="BM222" s="3" t="s">
        <v>4787</v>
      </c>
      <c r="BN222" s="3" t="s">
        <v>74</v>
      </c>
      <c r="BO222" s="3" t="s">
        <v>74</v>
      </c>
      <c r="BP222" s="3" t="s">
        <v>74</v>
      </c>
      <c r="BQ222" s="3" t="s">
        <v>74</v>
      </c>
      <c r="BR222" s="3" t="s">
        <v>101</v>
      </c>
      <c r="BS222" s="3" t="s">
        <v>4788</v>
      </c>
      <c r="BT222" s="3" t="str">
        <f>HYPERLINK("https%3A%2F%2Fwww.webofscience.com%2Fwos%2Fwoscc%2Ffull-record%2FWOS:000455809400183","View Full Record in Web of Science")</f>
        <v>View Full Record in Web of Science</v>
      </c>
      <c r="BU222" s="3"/>
      <c r="BV222" s="3"/>
      <c r="BW222" s="1"/>
    </row>
    <row r="223" spans="1:75" x14ac:dyDescent="0.25">
      <c r="A223" s="3" t="s">
        <v>103</v>
      </c>
      <c r="B223" s="3" t="s">
        <v>4789</v>
      </c>
      <c r="C223" s="3" t="s">
        <v>74</v>
      </c>
      <c r="D223" s="3" t="s">
        <v>74</v>
      </c>
      <c r="E223" s="3" t="s">
        <v>199</v>
      </c>
      <c r="F223" s="3" t="s">
        <v>4790</v>
      </c>
      <c r="G223" s="3" t="s">
        <v>74</v>
      </c>
      <c r="H223" s="3" t="s">
        <v>74</v>
      </c>
      <c r="I223" s="3" t="s">
        <v>4791</v>
      </c>
      <c r="J223" s="3" t="s">
        <v>4792</v>
      </c>
      <c r="K223" s="3" t="s">
        <v>74</v>
      </c>
      <c r="L223" s="3" t="s">
        <v>74</v>
      </c>
      <c r="M223" s="3" t="s">
        <v>110</v>
      </c>
      <c r="N223" s="3" t="s">
        <v>111</v>
      </c>
      <c r="O223" s="3" t="s">
        <v>4793</v>
      </c>
      <c r="P223" s="3" t="s">
        <v>4794</v>
      </c>
      <c r="Q223" s="3" t="s">
        <v>4795</v>
      </c>
      <c r="R223" s="3" t="s">
        <v>74</v>
      </c>
      <c r="S223" s="3" t="s">
        <v>74</v>
      </c>
      <c r="T223" s="3" t="s">
        <v>4796</v>
      </c>
      <c r="U223" s="3" t="s">
        <v>74</v>
      </c>
      <c r="V223" s="3" t="s">
        <v>4797</v>
      </c>
      <c r="W223" s="3" t="s">
        <v>4798</v>
      </c>
      <c r="X223" s="3" t="s">
        <v>74</v>
      </c>
      <c r="Y223" s="3" t="s">
        <v>4799</v>
      </c>
      <c r="Z223" s="3" t="s">
        <v>4800</v>
      </c>
      <c r="AA223" s="3" t="s">
        <v>4801</v>
      </c>
      <c r="AB223" s="3" t="s">
        <v>4802</v>
      </c>
      <c r="AC223" s="3" t="s">
        <v>74</v>
      </c>
      <c r="AD223" s="3" t="s">
        <v>74</v>
      </c>
      <c r="AE223" s="3" t="s">
        <v>74</v>
      </c>
      <c r="AF223" s="3" t="s">
        <v>74</v>
      </c>
      <c r="AG223" s="3">
        <v>10</v>
      </c>
      <c r="AH223" s="3">
        <v>1</v>
      </c>
      <c r="AI223" s="3">
        <v>1</v>
      </c>
      <c r="AJ223" s="3">
        <v>0</v>
      </c>
      <c r="AK223" s="3">
        <v>1</v>
      </c>
      <c r="AL223" s="3" t="s">
        <v>199</v>
      </c>
      <c r="AM223" s="3" t="s">
        <v>200</v>
      </c>
      <c r="AN223" s="3" t="s">
        <v>201</v>
      </c>
      <c r="AO223" s="3" t="s">
        <v>74</v>
      </c>
      <c r="AP223" s="3" t="s">
        <v>74</v>
      </c>
      <c r="AQ223" s="3" t="s">
        <v>4803</v>
      </c>
      <c r="AR223" s="3" t="s">
        <v>74</v>
      </c>
      <c r="AS223" s="3" t="s">
        <v>74</v>
      </c>
      <c r="AT223" s="3" t="s">
        <v>74</v>
      </c>
      <c r="AU223" s="3">
        <v>2017</v>
      </c>
      <c r="AV223" s="3" t="s">
        <v>74</v>
      </c>
      <c r="AW223" s="3" t="s">
        <v>74</v>
      </c>
      <c r="AX223" s="3" t="s">
        <v>74</v>
      </c>
      <c r="AY223" s="3" t="s">
        <v>74</v>
      </c>
      <c r="AZ223" s="3" t="s">
        <v>74</v>
      </c>
      <c r="BA223" s="3" t="s">
        <v>74</v>
      </c>
      <c r="BB223" s="3">
        <v>222</v>
      </c>
      <c r="BC223" s="3">
        <v>230</v>
      </c>
      <c r="BD223" s="3" t="s">
        <v>74</v>
      </c>
      <c r="BE223" s="3" t="s">
        <v>74</v>
      </c>
      <c r="BF223" s="3" t="s">
        <v>74</v>
      </c>
      <c r="BG223" s="3" t="s">
        <v>74</v>
      </c>
      <c r="BH223" s="3" t="s">
        <v>74</v>
      </c>
      <c r="BI223" s="3">
        <v>9</v>
      </c>
      <c r="BJ223" s="3" t="s">
        <v>4524</v>
      </c>
      <c r="BK223" s="3" t="s">
        <v>208</v>
      </c>
      <c r="BL223" s="3" t="s">
        <v>2601</v>
      </c>
      <c r="BM223" s="3" t="s">
        <v>4804</v>
      </c>
      <c r="BN223" s="3" t="s">
        <v>74</v>
      </c>
      <c r="BO223" s="3" t="s">
        <v>74</v>
      </c>
      <c r="BP223" s="3" t="s">
        <v>74</v>
      </c>
      <c r="BQ223" s="3" t="s">
        <v>74</v>
      </c>
      <c r="BR223" s="3" t="s">
        <v>101</v>
      </c>
      <c r="BS223" s="3" t="s">
        <v>4805</v>
      </c>
      <c r="BT223" s="3" t="str">
        <f>HYPERLINK("https%3A%2F%2Fwww.webofscience.com%2Fwos%2Fwoscc%2Ffull-record%2FWOS:000454738900040","View Full Record in Web of Science")</f>
        <v>View Full Record in Web of Science</v>
      </c>
      <c r="BU223" s="3"/>
      <c r="BV223" s="3"/>
      <c r="BW223" s="1"/>
    </row>
    <row r="224" spans="1:75" x14ac:dyDescent="0.25">
      <c r="A224" s="3" t="s">
        <v>103</v>
      </c>
      <c r="B224" s="3" t="s">
        <v>4806</v>
      </c>
      <c r="C224" s="3" t="s">
        <v>74</v>
      </c>
      <c r="D224" s="3" t="s">
        <v>74</v>
      </c>
      <c r="E224" s="3" t="s">
        <v>199</v>
      </c>
      <c r="F224" s="3" t="s">
        <v>4807</v>
      </c>
      <c r="G224" s="3" t="s">
        <v>74</v>
      </c>
      <c r="H224" s="3" t="s">
        <v>74</v>
      </c>
      <c r="I224" s="3" t="s">
        <v>4808</v>
      </c>
      <c r="J224" s="3" t="s">
        <v>4809</v>
      </c>
      <c r="K224" s="3" t="s">
        <v>74</v>
      </c>
      <c r="L224" s="3" t="s">
        <v>74</v>
      </c>
      <c r="M224" s="3" t="s">
        <v>110</v>
      </c>
      <c r="N224" s="3" t="s">
        <v>111</v>
      </c>
      <c r="O224" s="3" t="s">
        <v>4810</v>
      </c>
      <c r="P224" s="3" t="s">
        <v>4811</v>
      </c>
      <c r="Q224" s="3" t="s">
        <v>4812</v>
      </c>
      <c r="R224" s="3" t="s">
        <v>74</v>
      </c>
      <c r="S224" s="3" t="s">
        <v>4813</v>
      </c>
      <c r="T224" s="3" t="s">
        <v>74</v>
      </c>
      <c r="U224" s="3" t="s">
        <v>74</v>
      </c>
      <c r="V224" s="3" t="s">
        <v>4814</v>
      </c>
      <c r="W224" s="3" t="s">
        <v>4815</v>
      </c>
      <c r="X224" s="3" t="s">
        <v>4816</v>
      </c>
      <c r="Y224" s="3" t="s">
        <v>4817</v>
      </c>
      <c r="Z224" s="3" t="s">
        <v>4818</v>
      </c>
      <c r="AA224" s="3" t="s">
        <v>74</v>
      </c>
      <c r="AB224" s="3" t="s">
        <v>74</v>
      </c>
      <c r="AC224" s="3" t="s">
        <v>4819</v>
      </c>
      <c r="AD224" s="3" t="s">
        <v>4820</v>
      </c>
      <c r="AE224" s="3" t="s">
        <v>4821</v>
      </c>
      <c r="AF224" s="3" t="s">
        <v>74</v>
      </c>
      <c r="AG224" s="3">
        <v>2</v>
      </c>
      <c r="AH224" s="3">
        <v>1</v>
      </c>
      <c r="AI224" s="3">
        <v>1</v>
      </c>
      <c r="AJ224" s="3">
        <v>0</v>
      </c>
      <c r="AK224" s="3">
        <v>4</v>
      </c>
      <c r="AL224" s="3" t="s">
        <v>199</v>
      </c>
      <c r="AM224" s="3" t="s">
        <v>200</v>
      </c>
      <c r="AN224" s="3" t="s">
        <v>201</v>
      </c>
      <c r="AO224" s="3" t="s">
        <v>74</v>
      </c>
      <c r="AP224" s="3" t="s">
        <v>74</v>
      </c>
      <c r="AQ224" s="3" t="s">
        <v>74</v>
      </c>
      <c r="AR224" s="3" t="s">
        <v>74</v>
      </c>
      <c r="AS224" s="3" t="s">
        <v>74</v>
      </c>
      <c r="AT224" s="3" t="s">
        <v>74</v>
      </c>
      <c r="AU224" s="3">
        <v>2016</v>
      </c>
      <c r="AV224" s="3" t="s">
        <v>74</v>
      </c>
      <c r="AW224" s="3" t="s">
        <v>74</v>
      </c>
      <c r="AX224" s="3" t="s">
        <v>74</v>
      </c>
      <c r="AY224" s="3" t="s">
        <v>74</v>
      </c>
      <c r="AZ224" s="3" t="s">
        <v>74</v>
      </c>
      <c r="BA224" s="3" t="s">
        <v>74</v>
      </c>
      <c r="BB224" s="3">
        <v>345</v>
      </c>
      <c r="BC224" s="3">
        <v>348</v>
      </c>
      <c r="BD224" s="3" t="s">
        <v>74</v>
      </c>
      <c r="BE224" s="3" t="s">
        <v>74</v>
      </c>
      <c r="BF224" s="3" t="s">
        <v>74</v>
      </c>
      <c r="BG224" s="3" t="s">
        <v>74</v>
      </c>
      <c r="BH224" s="3" t="s">
        <v>74</v>
      </c>
      <c r="BI224" s="3">
        <v>4</v>
      </c>
      <c r="BJ224" s="3" t="s">
        <v>2933</v>
      </c>
      <c r="BK224" s="3" t="s">
        <v>208</v>
      </c>
      <c r="BL224" s="3" t="s">
        <v>486</v>
      </c>
      <c r="BM224" s="3" t="s">
        <v>4822</v>
      </c>
      <c r="BN224" s="3" t="s">
        <v>74</v>
      </c>
      <c r="BO224" s="3" t="s">
        <v>74</v>
      </c>
      <c r="BP224" s="3" t="s">
        <v>74</v>
      </c>
      <c r="BQ224" s="3" t="s">
        <v>74</v>
      </c>
      <c r="BR224" s="3" t="s">
        <v>101</v>
      </c>
      <c r="BS224" s="3" t="s">
        <v>4823</v>
      </c>
      <c r="BT224" s="3" t="str">
        <f>HYPERLINK("https%3A%2F%2Fwww.webofscience.com%2Fwos%2Fwoscc%2Ffull-record%2FWOS:000763464100067","View Full Record in Web of Science")</f>
        <v>View Full Record in Web of Science</v>
      </c>
      <c r="BU224" s="3"/>
      <c r="BV224" s="3"/>
      <c r="BW224" s="1"/>
    </row>
    <row r="225" spans="1:75" x14ac:dyDescent="0.25">
      <c r="A225" s="3" t="s">
        <v>103</v>
      </c>
      <c r="B225" s="3" t="s">
        <v>4824</v>
      </c>
      <c r="C225" s="3" t="s">
        <v>74</v>
      </c>
      <c r="D225" s="3" t="s">
        <v>4825</v>
      </c>
      <c r="E225" s="3" t="s">
        <v>74</v>
      </c>
      <c r="F225" s="3" t="s">
        <v>4826</v>
      </c>
      <c r="G225" s="3" t="s">
        <v>74</v>
      </c>
      <c r="H225" s="3" t="s">
        <v>74</v>
      </c>
      <c r="I225" s="3" t="s">
        <v>4827</v>
      </c>
      <c r="J225" s="3" t="s">
        <v>4828</v>
      </c>
      <c r="K225" s="3" t="s">
        <v>4829</v>
      </c>
      <c r="L225" s="3" t="s">
        <v>74</v>
      </c>
      <c r="M225" s="3" t="s">
        <v>110</v>
      </c>
      <c r="N225" s="3" t="s">
        <v>111</v>
      </c>
      <c r="O225" s="3" t="s">
        <v>4830</v>
      </c>
      <c r="P225" s="3" t="s">
        <v>4831</v>
      </c>
      <c r="Q225" s="3" t="s">
        <v>4832</v>
      </c>
      <c r="R225" s="3" t="s">
        <v>74</v>
      </c>
      <c r="S225" s="3" t="s">
        <v>74</v>
      </c>
      <c r="T225" s="3" t="s">
        <v>74</v>
      </c>
      <c r="U225" s="3" t="s">
        <v>74</v>
      </c>
      <c r="V225" s="3" t="s">
        <v>4833</v>
      </c>
      <c r="W225" s="3" t="s">
        <v>4834</v>
      </c>
      <c r="X225" s="3" t="s">
        <v>4835</v>
      </c>
      <c r="Y225" s="3" t="s">
        <v>4836</v>
      </c>
      <c r="Z225" s="3" t="s">
        <v>74</v>
      </c>
      <c r="AA225" s="3" t="s">
        <v>74</v>
      </c>
      <c r="AB225" s="3" t="s">
        <v>74</v>
      </c>
      <c r="AC225" s="3" t="s">
        <v>74</v>
      </c>
      <c r="AD225" s="3" t="s">
        <v>74</v>
      </c>
      <c r="AE225" s="3" t="s">
        <v>74</v>
      </c>
      <c r="AF225" s="3" t="s">
        <v>74</v>
      </c>
      <c r="AG225" s="3">
        <v>9</v>
      </c>
      <c r="AH225" s="3">
        <v>0</v>
      </c>
      <c r="AI225" s="3">
        <v>1</v>
      </c>
      <c r="AJ225" s="3">
        <v>1</v>
      </c>
      <c r="AK225" s="3">
        <v>16</v>
      </c>
      <c r="AL225" s="3" t="s">
        <v>4837</v>
      </c>
      <c r="AM225" s="3" t="s">
        <v>4838</v>
      </c>
      <c r="AN225" s="3" t="s">
        <v>4839</v>
      </c>
      <c r="AO225" s="3" t="s">
        <v>4840</v>
      </c>
      <c r="AP225" s="3" t="s">
        <v>74</v>
      </c>
      <c r="AQ225" s="3" t="s">
        <v>74</v>
      </c>
      <c r="AR225" s="3" t="s">
        <v>4841</v>
      </c>
      <c r="AS225" s="3" t="s">
        <v>74</v>
      </c>
      <c r="AT225" s="3" t="s">
        <v>74</v>
      </c>
      <c r="AU225" s="3">
        <v>2016</v>
      </c>
      <c r="AV225" s="3">
        <v>46</v>
      </c>
      <c r="AW225" s="3" t="s">
        <v>74</v>
      </c>
      <c r="AX225" s="3" t="s">
        <v>74</v>
      </c>
      <c r="AY225" s="3" t="s">
        <v>74</v>
      </c>
      <c r="AZ225" s="3" t="s">
        <v>74</v>
      </c>
      <c r="BA225" s="3" t="s">
        <v>74</v>
      </c>
      <c r="BB225" s="3" t="s">
        <v>74</v>
      </c>
      <c r="BC225" s="3" t="s">
        <v>74</v>
      </c>
      <c r="BD225" s="3">
        <v>5003</v>
      </c>
      <c r="BE225" s="3" t="s">
        <v>4842</v>
      </c>
      <c r="BF225" s="3" t="str">
        <f>HYPERLINK("http://dx.doi.org/10.1051/matecconf/20164605003","http://dx.doi.org/10.1051/matecconf/20164605003")</f>
        <v>http://dx.doi.org/10.1051/matecconf/20164605003</v>
      </c>
      <c r="BG225" s="3" t="s">
        <v>74</v>
      </c>
      <c r="BH225" s="3" t="s">
        <v>74</v>
      </c>
      <c r="BI225" s="3">
        <v>10</v>
      </c>
      <c r="BJ225" s="3" t="s">
        <v>4843</v>
      </c>
      <c r="BK225" s="3" t="s">
        <v>208</v>
      </c>
      <c r="BL225" s="3" t="s">
        <v>4844</v>
      </c>
      <c r="BM225" s="3" t="s">
        <v>4845</v>
      </c>
      <c r="BN225" s="3" t="s">
        <v>74</v>
      </c>
      <c r="BO225" s="3" t="s">
        <v>4846</v>
      </c>
      <c r="BP225" s="3" t="s">
        <v>74</v>
      </c>
      <c r="BQ225" s="3" t="s">
        <v>74</v>
      </c>
      <c r="BR225" s="3" t="s">
        <v>101</v>
      </c>
      <c r="BS225" s="3" t="s">
        <v>4847</v>
      </c>
      <c r="BT225" s="3" t="str">
        <f>HYPERLINK("https%3A%2F%2Fwww.webofscience.com%2Fwos%2Fwoscc%2Ffull-record%2FWOS:000386309400023","View Full Record in Web of Science")</f>
        <v>View Full Record in Web of Science</v>
      </c>
      <c r="BU225" s="3"/>
      <c r="BV225" s="3"/>
      <c r="BW225" s="1"/>
    </row>
    <row r="226" spans="1:75" x14ac:dyDescent="0.25">
      <c r="A226" s="3" t="s">
        <v>103</v>
      </c>
      <c r="B226" s="3" t="s">
        <v>4848</v>
      </c>
      <c r="C226" s="3" t="s">
        <v>74</v>
      </c>
      <c r="D226" s="3" t="s">
        <v>74</v>
      </c>
      <c r="E226" s="3" t="s">
        <v>2584</v>
      </c>
      <c r="F226" s="3" t="s">
        <v>4849</v>
      </c>
      <c r="G226" s="3" t="s">
        <v>74</v>
      </c>
      <c r="H226" s="3" t="s">
        <v>74</v>
      </c>
      <c r="I226" s="3" t="s">
        <v>4850</v>
      </c>
      <c r="J226" s="3" t="s">
        <v>4851</v>
      </c>
      <c r="K226" s="3" t="s">
        <v>74</v>
      </c>
      <c r="L226" s="3" t="s">
        <v>74</v>
      </c>
      <c r="M226" s="3" t="s">
        <v>110</v>
      </c>
      <c r="N226" s="3" t="s">
        <v>111</v>
      </c>
      <c r="O226" s="3" t="s">
        <v>4852</v>
      </c>
      <c r="P226" s="3" t="s">
        <v>4853</v>
      </c>
      <c r="Q226" s="3" t="s">
        <v>4854</v>
      </c>
      <c r="R226" s="3" t="s">
        <v>74</v>
      </c>
      <c r="S226" s="3" t="s">
        <v>74</v>
      </c>
      <c r="T226" s="3" t="s">
        <v>4855</v>
      </c>
      <c r="U226" s="3" t="s">
        <v>74</v>
      </c>
      <c r="V226" s="3" t="s">
        <v>4856</v>
      </c>
      <c r="W226" s="3" t="s">
        <v>4857</v>
      </c>
      <c r="X226" s="3" t="s">
        <v>4858</v>
      </c>
      <c r="Y226" s="3" t="s">
        <v>4859</v>
      </c>
      <c r="Z226" s="3" t="s">
        <v>74</v>
      </c>
      <c r="AA226" s="3" t="s">
        <v>4860</v>
      </c>
      <c r="AB226" s="3" t="s">
        <v>4861</v>
      </c>
      <c r="AC226" s="3" t="s">
        <v>74</v>
      </c>
      <c r="AD226" s="3" t="s">
        <v>74</v>
      </c>
      <c r="AE226" s="3" t="s">
        <v>74</v>
      </c>
      <c r="AF226" s="3" t="s">
        <v>74</v>
      </c>
      <c r="AG226" s="3">
        <v>9</v>
      </c>
      <c r="AH226" s="3">
        <v>1</v>
      </c>
      <c r="AI226" s="3">
        <v>1</v>
      </c>
      <c r="AJ226" s="3">
        <v>0</v>
      </c>
      <c r="AK226" s="3">
        <v>4</v>
      </c>
      <c r="AL226" s="3" t="s">
        <v>2596</v>
      </c>
      <c r="AM226" s="3" t="s">
        <v>2597</v>
      </c>
      <c r="AN226" s="3" t="s">
        <v>2598</v>
      </c>
      <c r="AO226" s="3" t="s">
        <v>74</v>
      </c>
      <c r="AP226" s="3" t="s">
        <v>74</v>
      </c>
      <c r="AQ226" s="3" t="s">
        <v>4862</v>
      </c>
      <c r="AR226" s="3" t="s">
        <v>74</v>
      </c>
      <c r="AS226" s="3" t="s">
        <v>74</v>
      </c>
      <c r="AT226" s="3" t="s">
        <v>74</v>
      </c>
      <c r="AU226" s="3">
        <v>2015</v>
      </c>
      <c r="AV226" s="3" t="s">
        <v>74</v>
      </c>
      <c r="AW226" s="3" t="s">
        <v>74</v>
      </c>
      <c r="AX226" s="3" t="s">
        <v>74</v>
      </c>
      <c r="AY226" s="3" t="s">
        <v>74</v>
      </c>
      <c r="AZ226" s="3" t="s">
        <v>74</v>
      </c>
      <c r="BA226" s="3" t="s">
        <v>74</v>
      </c>
      <c r="BB226" s="3">
        <v>107</v>
      </c>
      <c r="BC226" s="3">
        <v>111</v>
      </c>
      <c r="BD226" s="3" t="s">
        <v>74</v>
      </c>
      <c r="BE226" s="3" t="s">
        <v>74</v>
      </c>
      <c r="BF226" s="3" t="s">
        <v>74</v>
      </c>
      <c r="BG226" s="3" t="s">
        <v>74</v>
      </c>
      <c r="BH226" s="3" t="s">
        <v>74</v>
      </c>
      <c r="BI226" s="3">
        <v>5</v>
      </c>
      <c r="BJ226" s="3" t="s">
        <v>4863</v>
      </c>
      <c r="BK226" s="3" t="s">
        <v>208</v>
      </c>
      <c r="BL226" s="3" t="s">
        <v>3863</v>
      </c>
      <c r="BM226" s="3" t="s">
        <v>4864</v>
      </c>
      <c r="BN226" s="3" t="s">
        <v>74</v>
      </c>
      <c r="BO226" s="3" t="s">
        <v>74</v>
      </c>
      <c r="BP226" s="3" t="s">
        <v>74</v>
      </c>
      <c r="BQ226" s="3" t="s">
        <v>74</v>
      </c>
      <c r="BR226" s="3" t="s">
        <v>101</v>
      </c>
      <c r="BS226" s="3" t="s">
        <v>4865</v>
      </c>
      <c r="BT226" s="3" t="str">
        <f>HYPERLINK("https%3A%2F%2Fwww.webofscience.com%2Fwos%2Fwoscc%2Ffull-record%2FWOS:000365434200023","View Full Record in Web of Science")</f>
        <v>View Full Record in Web of Science</v>
      </c>
      <c r="BU226" s="3"/>
      <c r="BV226" s="3"/>
      <c r="BW226" s="1"/>
    </row>
    <row r="227" spans="1:75" x14ac:dyDescent="0.25">
      <c r="A227" s="3" t="s">
        <v>72</v>
      </c>
      <c r="B227" s="3" t="s">
        <v>4866</v>
      </c>
      <c r="C227" s="3" t="s">
        <v>74</v>
      </c>
      <c r="D227" s="3" t="s">
        <v>74</v>
      </c>
      <c r="E227" s="3" t="s">
        <v>74</v>
      </c>
      <c r="F227" s="3" t="s">
        <v>4866</v>
      </c>
      <c r="G227" s="3" t="s">
        <v>74</v>
      </c>
      <c r="H227" s="3" t="s">
        <v>74</v>
      </c>
      <c r="I227" s="3" t="s">
        <v>4867</v>
      </c>
      <c r="J227" s="3" t="s">
        <v>4868</v>
      </c>
      <c r="K227" s="3" t="s">
        <v>74</v>
      </c>
      <c r="L227" s="3" t="s">
        <v>74</v>
      </c>
      <c r="M227" s="3" t="s">
        <v>110</v>
      </c>
      <c r="N227" s="3" t="s">
        <v>79</v>
      </c>
      <c r="O227" s="3" t="s">
        <v>74</v>
      </c>
      <c r="P227" s="3" t="s">
        <v>74</v>
      </c>
      <c r="Q227" s="3" t="s">
        <v>74</v>
      </c>
      <c r="R227" s="3" t="s">
        <v>74</v>
      </c>
      <c r="S227" s="3" t="s">
        <v>74</v>
      </c>
      <c r="T227" s="3" t="s">
        <v>74</v>
      </c>
      <c r="U227" s="3" t="s">
        <v>4869</v>
      </c>
      <c r="V227" s="3" t="s">
        <v>4870</v>
      </c>
      <c r="W227" s="3" t="s">
        <v>4871</v>
      </c>
      <c r="X227" s="3" t="s">
        <v>4872</v>
      </c>
      <c r="Y227" s="3" t="s">
        <v>4873</v>
      </c>
      <c r="Z227" s="3" t="s">
        <v>4874</v>
      </c>
      <c r="AA227" s="3" t="s">
        <v>4875</v>
      </c>
      <c r="AB227" s="3" t="s">
        <v>4876</v>
      </c>
      <c r="AC227" s="3" t="s">
        <v>74</v>
      </c>
      <c r="AD227" s="3" t="s">
        <v>74</v>
      </c>
      <c r="AE227" s="3" t="s">
        <v>74</v>
      </c>
      <c r="AF227" s="3" t="s">
        <v>74</v>
      </c>
      <c r="AG227" s="3">
        <v>69</v>
      </c>
      <c r="AH227" s="3">
        <v>48</v>
      </c>
      <c r="AI227" s="3">
        <v>56</v>
      </c>
      <c r="AJ227" s="3">
        <v>0</v>
      </c>
      <c r="AK227" s="3">
        <v>44</v>
      </c>
      <c r="AL227" s="3" t="s">
        <v>1120</v>
      </c>
      <c r="AM227" s="3" t="s">
        <v>200</v>
      </c>
      <c r="AN227" s="3" t="s">
        <v>1559</v>
      </c>
      <c r="AO227" s="3" t="s">
        <v>4877</v>
      </c>
      <c r="AP227" s="3" t="s">
        <v>4878</v>
      </c>
      <c r="AQ227" s="3" t="s">
        <v>74</v>
      </c>
      <c r="AR227" s="3" t="s">
        <v>4868</v>
      </c>
      <c r="AS227" s="3" t="s">
        <v>131</v>
      </c>
      <c r="AT227" s="3" t="s">
        <v>592</v>
      </c>
      <c r="AU227" s="3">
        <v>2005</v>
      </c>
      <c r="AV227" s="3">
        <v>32</v>
      </c>
      <c r="AW227" s="3">
        <v>6</v>
      </c>
      <c r="AX227" s="3" t="s">
        <v>74</v>
      </c>
      <c r="AY227" s="3" t="s">
        <v>74</v>
      </c>
      <c r="AZ227" s="3" t="s">
        <v>74</v>
      </c>
      <c r="BA227" s="3" t="s">
        <v>74</v>
      </c>
      <c r="BB227" s="3">
        <v>573</v>
      </c>
      <c r="BC227" s="3">
        <v>602</v>
      </c>
      <c r="BD227" s="3" t="s">
        <v>74</v>
      </c>
      <c r="BE227" s="3" t="s">
        <v>4879</v>
      </c>
      <c r="BF227" s="3" t="str">
        <f>HYPERLINK("http://dx.doi.org/10.1007/s11116-004-7615-6","http://dx.doi.org/10.1007/s11116-004-7615-6")</f>
        <v>http://dx.doi.org/10.1007/s11116-004-7615-6</v>
      </c>
      <c r="BG227" s="3" t="s">
        <v>74</v>
      </c>
      <c r="BH227" s="3" t="s">
        <v>74</v>
      </c>
      <c r="BI227" s="3">
        <v>30</v>
      </c>
      <c r="BJ227" s="3" t="s">
        <v>4880</v>
      </c>
      <c r="BK227" s="3" t="s">
        <v>154</v>
      </c>
      <c r="BL227" s="3" t="s">
        <v>411</v>
      </c>
      <c r="BM227" s="3" t="s">
        <v>4881</v>
      </c>
      <c r="BN227" s="3" t="s">
        <v>74</v>
      </c>
      <c r="BO227" s="3" t="s">
        <v>74</v>
      </c>
      <c r="BP227" s="3" t="s">
        <v>74</v>
      </c>
      <c r="BQ227" s="3" t="s">
        <v>74</v>
      </c>
      <c r="BR227" s="3" t="s">
        <v>101</v>
      </c>
      <c r="BS227" s="3" t="s">
        <v>4882</v>
      </c>
      <c r="BT227" s="3" t="str">
        <f>HYPERLINK("https%3A%2F%2Fwww.webofscience.com%2Fwos%2Fwoscc%2Ffull-record%2FWOS:000231645600001","View Full Record in Web of Science")</f>
        <v>View Full Record in Web of Science</v>
      </c>
      <c r="BU227" s="3"/>
      <c r="BV227" s="3"/>
      <c r="BW227" s="1"/>
    </row>
    <row r="228" spans="1:75" x14ac:dyDescent="0.25">
      <c r="A228" s="3" t="s">
        <v>103</v>
      </c>
      <c r="B228" s="3" t="s">
        <v>4883</v>
      </c>
      <c r="C228" s="3" t="s">
        <v>74</v>
      </c>
      <c r="D228" s="3" t="s">
        <v>105</v>
      </c>
      <c r="E228" s="3" t="s">
        <v>74</v>
      </c>
      <c r="F228" s="3" t="s">
        <v>4884</v>
      </c>
      <c r="G228" s="3" t="s">
        <v>74</v>
      </c>
      <c r="H228" s="3" t="s">
        <v>74</v>
      </c>
      <c r="I228" s="3" t="s">
        <v>4885</v>
      </c>
      <c r="J228" s="3" t="s">
        <v>4886</v>
      </c>
      <c r="K228" s="3" t="s">
        <v>4887</v>
      </c>
      <c r="L228" s="3" t="s">
        <v>74</v>
      </c>
      <c r="M228" s="3" t="s">
        <v>110</v>
      </c>
      <c r="N228" s="3" t="s">
        <v>111</v>
      </c>
      <c r="O228" s="3" t="s">
        <v>4888</v>
      </c>
      <c r="P228" s="3" t="s">
        <v>4889</v>
      </c>
      <c r="Q228" s="3" t="s">
        <v>4890</v>
      </c>
      <c r="R228" s="3" t="s">
        <v>74</v>
      </c>
      <c r="S228" s="3" t="s">
        <v>74</v>
      </c>
      <c r="T228" s="3" t="s">
        <v>4891</v>
      </c>
      <c r="U228" s="3" t="s">
        <v>4892</v>
      </c>
      <c r="V228" s="3" t="s">
        <v>4893</v>
      </c>
      <c r="W228" s="3" t="s">
        <v>4894</v>
      </c>
      <c r="X228" s="3" t="s">
        <v>4895</v>
      </c>
      <c r="Y228" s="3" t="s">
        <v>74</v>
      </c>
      <c r="Z228" s="3" t="s">
        <v>4896</v>
      </c>
      <c r="AA228" s="3" t="s">
        <v>74</v>
      </c>
      <c r="AB228" s="3" t="s">
        <v>4897</v>
      </c>
      <c r="AC228" s="3" t="s">
        <v>74</v>
      </c>
      <c r="AD228" s="3" t="s">
        <v>74</v>
      </c>
      <c r="AE228" s="3" t="s">
        <v>74</v>
      </c>
      <c r="AF228" s="3" t="s">
        <v>74</v>
      </c>
      <c r="AG228" s="3">
        <v>17</v>
      </c>
      <c r="AH228" s="3">
        <v>16</v>
      </c>
      <c r="AI228" s="3">
        <v>19</v>
      </c>
      <c r="AJ228" s="3">
        <v>0</v>
      </c>
      <c r="AK228" s="3">
        <v>24</v>
      </c>
      <c r="AL228" s="3" t="s">
        <v>123</v>
      </c>
      <c r="AM228" s="3" t="s">
        <v>124</v>
      </c>
      <c r="AN228" s="3" t="s">
        <v>125</v>
      </c>
      <c r="AO228" s="3" t="s">
        <v>4898</v>
      </c>
      <c r="AP228" s="3" t="s">
        <v>74</v>
      </c>
      <c r="AQ228" s="3" t="s">
        <v>74</v>
      </c>
      <c r="AR228" s="3" t="s">
        <v>4899</v>
      </c>
      <c r="AS228" s="3" t="s">
        <v>74</v>
      </c>
      <c r="AT228" s="3" t="s">
        <v>74</v>
      </c>
      <c r="AU228" s="3">
        <v>2012</v>
      </c>
      <c r="AV228" s="3">
        <v>39</v>
      </c>
      <c r="AW228" s="3" t="s">
        <v>74</v>
      </c>
      <c r="AX228" s="3" t="s">
        <v>74</v>
      </c>
      <c r="AY228" s="3" t="s">
        <v>74</v>
      </c>
      <c r="AZ228" s="3" t="s">
        <v>74</v>
      </c>
      <c r="BA228" s="3" t="s">
        <v>74</v>
      </c>
      <c r="BB228" s="3">
        <v>712</v>
      </c>
      <c r="BC228" s="3">
        <v>725</v>
      </c>
      <c r="BD228" s="3" t="s">
        <v>74</v>
      </c>
      <c r="BE228" s="3" t="s">
        <v>4900</v>
      </c>
      <c r="BF228" s="3" t="str">
        <f>HYPERLINK("http://dx.doi.org/10.1016/j.sbspro.2012.03.142","http://dx.doi.org/10.1016/j.sbspro.2012.03.142")</f>
        <v>http://dx.doi.org/10.1016/j.sbspro.2012.03.142</v>
      </c>
      <c r="BG228" s="3" t="s">
        <v>74</v>
      </c>
      <c r="BH228" s="3" t="s">
        <v>74</v>
      </c>
      <c r="BI228" s="3">
        <v>14</v>
      </c>
      <c r="BJ228" s="3" t="s">
        <v>4901</v>
      </c>
      <c r="BK228" s="3" t="s">
        <v>2556</v>
      </c>
      <c r="BL228" s="3" t="s">
        <v>1187</v>
      </c>
      <c r="BM228" s="3" t="s">
        <v>4902</v>
      </c>
      <c r="BN228" s="3" t="s">
        <v>74</v>
      </c>
      <c r="BO228" s="3" t="s">
        <v>100</v>
      </c>
      <c r="BP228" s="3" t="s">
        <v>74</v>
      </c>
      <c r="BQ228" s="3" t="s">
        <v>74</v>
      </c>
      <c r="BR228" s="3" t="s">
        <v>101</v>
      </c>
      <c r="BS228" s="3" t="s">
        <v>4903</v>
      </c>
      <c r="BT228" s="3" t="str">
        <f>HYPERLINK("https%3A%2F%2Fwww.webofscience.com%2Fwos%2Fwoscc%2Ffull-record%2FWOS:000314104200056","View Full Record in Web of Science")</f>
        <v>View Full Record in Web of Science</v>
      </c>
      <c r="BU228" s="3"/>
      <c r="BV228" s="3"/>
      <c r="BW228" s="1"/>
    </row>
    <row r="229" spans="1:75" x14ac:dyDescent="0.25">
      <c r="A229" s="3" t="s">
        <v>103</v>
      </c>
      <c r="B229" s="3" t="s">
        <v>4904</v>
      </c>
      <c r="C229" s="3" t="s">
        <v>74</v>
      </c>
      <c r="D229" s="3" t="s">
        <v>4905</v>
      </c>
      <c r="E229" s="3" t="s">
        <v>74</v>
      </c>
      <c r="F229" s="3" t="s">
        <v>4906</v>
      </c>
      <c r="G229" s="3" t="s">
        <v>74</v>
      </c>
      <c r="H229" s="3" t="s">
        <v>74</v>
      </c>
      <c r="I229" s="3" t="s">
        <v>4907</v>
      </c>
      <c r="J229" s="3" t="s">
        <v>4908</v>
      </c>
      <c r="K229" s="3" t="s">
        <v>3508</v>
      </c>
      <c r="L229" s="3" t="s">
        <v>74</v>
      </c>
      <c r="M229" s="3" t="s">
        <v>110</v>
      </c>
      <c r="N229" s="3" t="s">
        <v>111</v>
      </c>
      <c r="O229" s="3" t="s">
        <v>4909</v>
      </c>
      <c r="P229" s="3" t="s">
        <v>4910</v>
      </c>
      <c r="Q229" s="3" t="s">
        <v>4911</v>
      </c>
      <c r="R229" s="3" t="s">
        <v>74</v>
      </c>
      <c r="S229" s="3" t="s">
        <v>4912</v>
      </c>
      <c r="T229" s="3" t="s">
        <v>4913</v>
      </c>
      <c r="U229" s="3" t="s">
        <v>4914</v>
      </c>
      <c r="V229" s="3" t="s">
        <v>4915</v>
      </c>
      <c r="W229" s="3" t="s">
        <v>4916</v>
      </c>
      <c r="X229" s="3" t="s">
        <v>4917</v>
      </c>
      <c r="Y229" s="3" t="s">
        <v>4918</v>
      </c>
      <c r="Z229" s="3" t="s">
        <v>4919</v>
      </c>
      <c r="AA229" s="3" t="s">
        <v>4920</v>
      </c>
      <c r="AB229" s="3" t="s">
        <v>4921</v>
      </c>
      <c r="AC229" s="3" t="s">
        <v>4922</v>
      </c>
      <c r="AD229" s="3" t="s">
        <v>4923</v>
      </c>
      <c r="AE229" s="3" t="s">
        <v>4924</v>
      </c>
      <c r="AF229" s="3" t="s">
        <v>74</v>
      </c>
      <c r="AG229" s="3">
        <v>23</v>
      </c>
      <c r="AH229" s="3">
        <v>0</v>
      </c>
      <c r="AI229" s="3">
        <v>0</v>
      </c>
      <c r="AJ229" s="3">
        <v>3</v>
      </c>
      <c r="AK229" s="3">
        <v>4</v>
      </c>
      <c r="AL229" s="3" t="s">
        <v>374</v>
      </c>
      <c r="AM229" s="3" t="s">
        <v>375</v>
      </c>
      <c r="AN229" s="3" t="s">
        <v>376</v>
      </c>
      <c r="AO229" s="3" t="s">
        <v>3521</v>
      </c>
      <c r="AP229" s="3" t="s">
        <v>3522</v>
      </c>
      <c r="AQ229" s="3" t="s">
        <v>4925</v>
      </c>
      <c r="AR229" s="3" t="s">
        <v>3524</v>
      </c>
      <c r="AS229" s="3" t="s">
        <v>74</v>
      </c>
      <c r="AT229" s="3" t="s">
        <v>74</v>
      </c>
      <c r="AU229" s="3">
        <v>2024</v>
      </c>
      <c r="AV229" s="3">
        <v>1090</v>
      </c>
      <c r="AW229" s="3" t="s">
        <v>74</v>
      </c>
      <c r="AX229" s="3" t="s">
        <v>74</v>
      </c>
      <c r="AY229" s="3" t="s">
        <v>74</v>
      </c>
      <c r="AZ229" s="3" t="s">
        <v>74</v>
      </c>
      <c r="BA229" s="3" t="s">
        <v>74</v>
      </c>
      <c r="BB229" s="3">
        <v>342</v>
      </c>
      <c r="BC229" s="3">
        <v>349</v>
      </c>
      <c r="BD229" s="3" t="s">
        <v>74</v>
      </c>
      <c r="BE229" s="3" t="s">
        <v>4926</v>
      </c>
      <c r="BF229" s="3" t="str">
        <f>HYPERLINK("http://dx.doi.org/10.1007/978-3-031-67192-0_40","http://dx.doi.org/10.1007/978-3-031-67192-0_40")</f>
        <v>http://dx.doi.org/10.1007/978-3-031-67192-0_40</v>
      </c>
      <c r="BG229" s="3" t="s">
        <v>74</v>
      </c>
      <c r="BH229" s="3" t="s">
        <v>74</v>
      </c>
      <c r="BI229" s="3">
        <v>8</v>
      </c>
      <c r="BJ229" s="3" t="s">
        <v>4927</v>
      </c>
      <c r="BK229" s="3" t="s">
        <v>208</v>
      </c>
      <c r="BL229" s="3" t="s">
        <v>4928</v>
      </c>
      <c r="BM229" s="3" t="s">
        <v>4929</v>
      </c>
      <c r="BN229" s="3" t="s">
        <v>74</v>
      </c>
      <c r="BO229" s="3" t="s">
        <v>74</v>
      </c>
      <c r="BP229" s="3" t="s">
        <v>74</v>
      </c>
      <c r="BQ229" s="3" t="s">
        <v>74</v>
      </c>
      <c r="BR229" s="3" t="s">
        <v>101</v>
      </c>
      <c r="BS229" s="3" t="s">
        <v>4930</v>
      </c>
      <c r="BT229" s="3" t="str">
        <f>HYPERLINK("https%3A%2F%2Fwww.webofscience.com%2Fwos%2Fwoscc%2Ffull-record%2FWOS:001329233600039","View Full Record in Web of Science")</f>
        <v>View Full Record in Web of Science</v>
      </c>
      <c r="BU229" s="3"/>
      <c r="BV229" s="3"/>
      <c r="BW229" s="1"/>
    </row>
    <row r="230" spans="1:75" x14ac:dyDescent="0.25">
      <c r="A230" s="3" t="s">
        <v>72</v>
      </c>
      <c r="B230" s="3" t="s">
        <v>4931</v>
      </c>
      <c r="C230" s="3" t="s">
        <v>74</v>
      </c>
      <c r="D230" s="3" t="s">
        <v>74</v>
      </c>
      <c r="E230" s="3" t="s">
        <v>74</v>
      </c>
      <c r="F230" s="3" t="s">
        <v>4932</v>
      </c>
      <c r="G230" s="3" t="s">
        <v>74</v>
      </c>
      <c r="H230" s="3" t="s">
        <v>74</v>
      </c>
      <c r="I230" s="3" t="s">
        <v>4933</v>
      </c>
      <c r="J230" s="3" t="s">
        <v>4934</v>
      </c>
      <c r="K230" s="3" t="s">
        <v>74</v>
      </c>
      <c r="L230" s="3" t="s">
        <v>74</v>
      </c>
      <c r="M230" s="3" t="s">
        <v>110</v>
      </c>
      <c r="N230" s="3" t="s">
        <v>79</v>
      </c>
      <c r="O230" s="3" t="s">
        <v>74</v>
      </c>
      <c r="P230" s="3" t="s">
        <v>74</v>
      </c>
      <c r="Q230" s="3" t="s">
        <v>74</v>
      </c>
      <c r="R230" s="3" t="s">
        <v>74</v>
      </c>
      <c r="S230" s="3" t="s">
        <v>74</v>
      </c>
      <c r="T230" s="3" t="s">
        <v>4935</v>
      </c>
      <c r="U230" s="3" t="s">
        <v>4936</v>
      </c>
      <c r="V230" s="3" t="s">
        <v>4937</v>
      </c>
      <c r="W230" s="3" t="s">
        <v>4938</v>
      </c>
      <c r="X230" s="3" t="s">
        <v>1866</v>
      </c>
      <c r="Y230" s="3" t="s">
        <v>4939</v>
      </c>
      <c r="Z230" s="3" t="s">
        <v>4940</v>
      </c>
      <c r="AA230" s="3" t="s">
        <v>4941</v>
      </c>
      <c r="AB230" s="3" t="s">
        <v>4942</v>
      </c>
      <c r="AC230" s="3" t="s">
        <v>4943</v>
      </c>
      <c r="AD230" s="3" t="s">
        <v>350</v>
      </c>
      <c r="AE230" s="3" t="s">
        <v>4944</v>
      </c>
      <c r="AF230" s="3" t="s">
        <v>74</v>
      </c>
      <c r="AG230" s="3">
        <v>43</v>
      </c>
      <c r="AH230" s="3">
        <v>23</v>
      </c>
      <c r="AI230" s="3">
        <v>25</v>
      </c>
      <c r="AJ230" s="3">
        <v>9</v>
      </c>
      <c r="AK230" s="3">
        <v>84</v>
      </c>
      <c r="AL230" s="3" t="s">
        <v>254</v>
      </c>
      <c r="AM230" s="3" t="s">
        <v>255</v>
      </c>
      <c r="AN230" s="3" t="s">
        <v>256</v>
      </c>
      <c r="AO230" s="3" t="s">
        <v>4945</v>
      </c>
      <c r="AP230" s="3" t="s">
        <v>4946</v>
      </c>
      <c r="AQ230" s="3" t="s">
        <v>74</v>
      </c>
      <c r="AR230" s="3" t="s">
        <v>4947</v>
      </c>
      <c r="AS230" s="3" t="s">
        <v>4948</v>
      </c>
      <c r="AT230" s="3" t="s">
        <v>1450</v>
      </c>
      <c r="AU230" s="3">
        <v>2023</v>
      </c>
      <c r="AV230" s="3">
        <v>103</v>
      </c>
      <c r="AW230" s="3" t="s">
        <v>74</v>
      </c>
      <c r="AX230" s="3" t="s">
        <v>74</v>
      </c>
      <c r="AY230" s="3" t="s">
        <v>74</v>
      </c>
      <c r="AZ230" s="3" t="s">
        <v>74</v>
      </c>
      <c r="BA230" s="3" t="s">
        <v>74</v>
      </c>
      <c r="BB230" s="3" t="s">
        <v>74</v>
      </c>
      <c r="BC230" s="3" t="s">
        <v>74</v>
      </c>
      <c r="BD230" s="3">
        <v>101989</v>
      </c>
      <c r="BE230" s="3" t="s">
        <v>4949</v>
      </c>
      <c r="BF230" s="3" t="str">
        <f>HYPERLINK("http://dx.doi.org/10.1016/j.compenvurbsys.2023.101989","http://dx.doi.org/10.1016/j.compenvurbsys.2023.101989")</f>
        <v>http://dx.doi.org/10.1016/j.compenvurbsys.2023.101989</v>
      </c>
      <c r="BG230" s="3" t="s">
        <v>74</v>
      </c>
      <c r="BH230" s="3" t="s">
        <v>4950</v>
      </c>
      <c r="BI230" s="3">
        <v>11</v>
      </c>
      <c r="BJ230" s="3" t="s">
        <v>4951</v>
      </c>
      <c r="BK230" s="3" t="s">
        <v>264</v>
      </c>
      <c r="BL230" s="3" t="s">
        <v>4952</v>
      </c>
      <c r="BM230" s="3" t="s">
        <v>4953</v>
      </c>
      <c r="BN230" s="3" t="s">
        <v>74</v>
      </c>
      <c r="BO230" s="3" t="s">
        <v>4954</v>
      </c>
      <c r="BP230" s="3" t="s">
        <v>74</v>
      </c>
      <c r="BQ230" s="3" t="s">
        <v>74</v>
      </c>
      <c r="BR230" s="3" t="s">
        <v>101</v>
      </c>
      <c r="BS230" s="3" t="s">
        <v>4955</v>
      </c>
      <c r="BT230" s="3" t="str">
        <f>HYPERLINK("https%3A%2F%2Fwww.webofscience.com%2Fwos%2Fwoscc%2Ffull-record%2FWOS:001021110600001","View Full Record in Web of Science")</f>
        <v>View Full Record in Web of Science</v>
      </c>
      <c r="BU230" s="3"/>
      <c r="BV230" s="3"/>
      <c r="BW230" s="1"/>
    </row>
    <row r="231" spans="1:75" x14ac:dyDescent="0.25">
      <c r="A231" s="3" t="s">
        <v>72</v>
      </c>
      <c r="B231" s="3" t="s">
        <v>4956</v>
      </c>
      <c r="C231" s="3" t="s">
        <v>74</v>
      </c>
      <c r="D231" s="3" t="s">
        <v>74</v>
      </c>
      <c r="E231" s="3" t="s">
        <v>74</v>
      </c>
      <c r="F231" s="3" t="s">
        <v>4957</v>
      </c>
      <c r="G231" s="3" t="s">
        <v>74</v>
      </c>
      <c r="H231" s="3" t="s">
        <v>74</v>
      </c>
      <c r="I231" s="3" t="s">
        <v>4958</v>
      </c>
      <c r="J231" s="3" t="s">
        <v>4254</v>
      </c>
      <c r="K231" s="3" t="s">
        <v>74</v>
      </c>
      <c r="L231" s="3" t="s">
        <v>74</v>
      </c>
      <c r="M231" s="3" t="s">
        <v>110</v>
      </c>
      <c r="N231" s="3" t="s">
        <v>79</v>
      </c>
      <c r="O231" s="3" t="s">
        <v>74</v>
      </c>
      <c r="P231" s="3" t="s">
        <v>74</v>
      </c>
      <c r="Q231" s="3" t="s">
        <v>74</v>
      </c>
      <c r="R231" s="3" t="s">
        <v>74</v>
      </c>
      <c r="S231" s="3" t="s">
        <v>74</v>
      </c>
      <c r="T231" s="3" t="s">
        <v>4959</v>
      </c>
      <c r="U231" s="3" t="s">
        <v>4960</v>
      </c>
      <c r="V231" s="3" t="s">
        <v>4961</v>
      </c>
      <c r="W231" s="3" t="s">
        <v>4962</v>
      </c>
      <c r="X231" s="3" t="s">
        <v>4963</v>
      </c>
      <c r="Y231" s="3" t="s">
        <v>4964</v>
      </c>
      <c r="Z231" s="3" t="s">
        <v>4965</v>
      </c>
      <c r="AA231" s="3" t="s">
        <v>74</v>
      </c>
      <c r="AB231" s="3" t="s">
        <v>4966</v>
      </c>
      <c r="AC231" s="3" t="s">
        <v>4967</v>
      </c>
      <c r="AD231" s="3" t="s">
        <v>4968</v>
      </c>
      <c r="AE231" s="3" t="s">
        <v>4969</v>
      </c>
      <c r="AF231" s="3" t="s">
        <v>74</v>
      </c>
      <c r="AG231" s="3">
        <v>57</v>
      </c>
      <c r="AH231" s="3">
        <v>9</v>
      </c>
      <c r="AI231" s="3">
        <v>9</v>
      </c>
      <c r="AJ231" s="3">
        <v>6</v>
      </c>
      <c r="AK231" s="3">
        <v>81</v>
      </c>
      <c r="AL231" s="3" t="s">
        <v>145</v>
      </c>
      <c r="AM231" s="3" t="s">
        <v>146</v>
      </c>
      <c r="AN231" s="3" t="s">
        <v>279</v>
      </c>
      <c r="AO231" s="3" t="s">
        <v>74</v>
      </c>
      <c r="AP231" s="3" t="s">
        <v>4264</v>
      </c>
      <c r="AQ231" s="3" t="s">
        <v>74</v>
      </c>
      <c r="AR231" s="3" t="s">
        <v>4265</v>
      </c>
      <c r="AS231" s="3" t="s">
        <v>4266</v>
      </c>
      <c r="AT231" s="3" t="s">
        <v>949</v>
      </c>
      <c r="AU231" s="3">
        <v>2023</v>
      </c>
      <c r="AV231" s="3">
        <v>12</v>
      </c>
      <c r="AW231" s="3">
        <v>3</v>
      </c>
      <c r="AX231" s="3" t="s">
        <v>74</v>
      </c>
      <c r="AY231" s="3" t="s">
        <v>74</v>
      </c>
      <c r="AZ231" s="3" t="s">
        <v>74</v>
      </c>
      <c r="BA231" s="3" t="s">
        <v>74</v>
      </c>
      <c r="BB231" s="3" t="s">
        <v>74</v>
      </c>
      <c r="BC231" s="3" t="s">
        <v>74</v>
      </c>
      <c r="BD231" s="3">
        <v>88</v>
      </c>
      <c r="BE231" s="3" t="s">
        <v>4970</v>
      </c>
      <c r="BF231" s="3" t="str">
        <f>HYPERLINK("http://dx.doi.org/10.3390/ijgi12030088","http://dx.doi.org/10.3390/ijgi12030088")</f>
        <v>http://dx.doi.org/10.3390/ijgi12030088</v>
      </c>
      <c r="BG231" s="3" t="s">
        <v>74</v>
      </c>
      <c r="BH231" s="3" t="s">
        <v>74</v>
      </c>
      <c r="BI231" s="3">
        <v>22</v>
      </c>
      <c r="BJ231" s="3" t="s">
        <v>4268</v>
      </c>
      <c r="BK231" s="3" t="s">
        <v>179</v>
      </c>
      <c r="BL231" s="3" t="s">
        <v>4269</v>
      </c>
      <c r="BM231" s="3" t="s">
        <v>4971</v>
      </c>
      <c r="BN231" s="3" t="s">
        <v>74</v>
      </c>
      <c r="BO231" s="3" t="s">
        <v>133</v>
      </c>
      <c r="BP231" s="3" t="s">
        <v>74</v>
      </c>
      <c r="BQ231" s="3" t="s">
        <v>74</v>
      </c>
      <c r="BR231" s="3" t="s">
        <v>101</v>
      </c>
      <c r="BS231" s="3" t="s">
        <v>4972</v>
      </c>
      <c r="BT231" s="3" t="str">
        <f>HYPERLINK("https%3A%2F%2Fwww.webofscience.com%2Fwos%2Fwoscc%2Ffull-record%2FWOS:000958267500001","View Full Record in Web of Science")</f>
        <v>View Full Record in Web of Science</v>
      </c>
      <c r="BU231" s="3"/>
      <c r="BV231" s="3"/>
      <c r="BW231" s="1"/>
    </row>
    <row r="232" spans="1:75" x14ac:dyDescent="0.25">
      <c r="A232" s="3" t="s">
        <v>72</v>
      </c>
      <c r="B232" s="3" t="s">
        <v>4973</v>
      </c>
      <c r="C232" s="3" t="s">
        <v>74</v>
      </c>
      <c r="D232" s="3" t="s">
        <v>74</v>
      </c>
      <c r="E232" s="3" t="s">
        <v>74</v>
      </c>
      <c r="F232" s="3" t="s">
        <v>4974</v>
      </c>
      <c r="G232" s="3" t="s">
        <v>74</v>
      </c>
      <c r="H232" s="3" t="s">
        <v>74</v>
      </c>
      <c r="I232" s="3" t="s">
        <v>4975</v>
      </c>
      <c r="J232" s="3" t="s">
        <v>4976</v>
      </c>
      <c r="K232" s="3" t="s">
        <v>74</v>
      </c>
      <c r="L232" s="3" t="s">
        <v>74</v>
      </c>
      <c r="M232" s="3" t="s">
        <v>110</v>
      </c>
      <c r="N232" s="3" t="s">
        <v>2802</v>
      </c>
      <c r="O232" s="3" t="s">
        <v>74</v>
      </c>
      <c r="P232" s="3" t="s">
        <v>74</v>
      </c>
      <c r="Q232" s="3" t="s">
        <v>74</v>
      </c>
      <c r="R232" s="3" t="s">
        <v>74</v>
      </c>
      <c r="S232" s="3" t="s">
        <v>74</v>
      </c>
      <c r="T232" s="3" t="s">
        <v>4977</v>
      </c>
      <c r="U232" s="3" t="s">
        <v>4978</v>
      </c>
      <c r="V232" s="3" t="s">
        <v>4979</v>
      </c>
      <c r="W232" s="3" t="s">
        <v>4980</v>
      </c>
      <c r="X232" s="3" t="s">
        <v>4981</v>
      </c>
      <c r="Y232" s="3" t="s">
        <v>4982</v>
      </c>
      <c r="Z232" s="3" t="s">
        <v>4983</v>
      </c>
      <c r="AA232" s="3" t="s">
        <v>4984</v>
      </c>
      <c r="AB232" s="3" t="s">
        <v>4985</v>
      </c>
      <c r="AC232" s="3" t="s">
        <v>4986</v>
      </c>
      <c r="AD232" s="3" t="s">
        <v>4987</v>
      </c>
      <c r="AE232" s="3" t="s">
        <v>4988</v>
      </c>
      <c r="AF232" s="3" t="s">
        <v>74</v>
      </c>
      <c r="AG232" s="3">
        <v>95</v>
      </c>
      <c r="AH232" s="3">
        <v>0</v>
      </c>
      <c r="AI232" s="3">
        <v>0</v>
      </c>
      <c r="AJ232" s="3">
        <v>7</v>
      </c>
      <c r="AK232" s="3">
        <v>13</v>
      </c>
      <c r="AL232" s="3" t="s">
        <v>872</v>
      </c>
      <c r="AM232" s="3" t="s">
        <v>873</v>
      </c>
      <c r="AN232" s="3" t="s">
        <v>874</v>
      </c>
      <c r="AO232" s="3" t="s">
        <v>4989</v>
      </c>
      <c r="AP232" s="3" t="s">
        <v>4990</v>
      </c>
      <c r="AQ232" s="3" t="s">
        <v>74</v>
      </c>
      <c r="AR232" s="3" t="s">
        <v>4991</v>
      </c>
      <c r="AS232" s="3" t="s">
        <v>4992</v>
      </c>
      <c r="AT232" s="3" t="s">
        <v>4993</v>
      </c>
      <c r="AU232" s="3">
        <v>2025</v>
      </c>
      <c r="AV232" s="3" t="s">
        <v>74</v>
      </c>
      <c r="AW232" s="3" t="s">
        <v>74</v>
      </c>
      <c r="AX232" s="3" t="s">
        <v>74</v>
      </c>
      <c r="AY232" s="3" t="s">
        <v>74</v>
      </c>
      <c r="AZ232" s="3" t="s">
        <v>74</v>
      </c>
      <c r="BA232" s="3" t="s">
        <v>74</v>
      </c>
      <c r="BB232" s="3" t="s">
        <v>74</v>
      </c>
      <c r="BC232" s="3" t="s">
        <v>74</v>
      </c>
      <c r="BD232" s="3" t="s">
        <v>74</v>
      </c>
      <c r="BE232" s="3" t="s">
        <v>4994</v>
      </c>
      <c r="BF232" s="3" t="str">
        <f>HYPERLINK("http://dx.doi.org/10.1080/01605682.2025.2489131","http://dx.doi.org/10.1080/01605682.2025.2489131")</f>
        <v>http://dx.doi.org/10.1080/01605682.2025.2489131</v>
      </c>
      <c r="BG232" s="3" t="s">
        <v>74</v>
      </c>
      <c r="BH232" s="3" t="s">
        <v>679</v>
      </c>
      <c r="BI232" s="3">
        <v>16</v>
      </c>
      <c r="BJ232" s="3" t="s">
        <v>3346</v>
      </c>
      <c r="BK232" s="3" t="s">
        <v>154</v>
      </c>
      <c r="BL232" s="3" t="s">
        <v>3347</v>
      </c>
      <c r="BM232" s="3" t="s">
        <v>4995</v>
      </c>
      <c r="BN232" s="3" t="s">
        <v>74</v>
      </c>
      <c r="BO232" s="3" t="s">
        <v>74</v>
      </c>
      <c r="BP232" s="3" t="s">
        <v>74</v>
      </c>
      <c r="BQ232" s="3" t="s">
        <v>74</v>
      </c>
      <c r="BR232" s="3" t="s">
        <v>101</v>
      </c>
      <c r="BS232" s="3" t="s">
        <v>4996</v>
      </c>
      <c r="BT232" s="3" t="str">
        <f>HYPERLINK("https%3A%2F%2Fwww.webofscience.com%2Fwos%2Fwoscc%2Ffull-record%2FWOS:001471229700001","View Full Record in Web of Science")</f>
        <v>View Full Record in Web of Science</v>
      </c>
      <c r="BU232" s="3"/>
      <c r="BV232" s="3"/>
      <c r="BW232" s="1"/>
    </row>
    <row r="233" spans="1:75" x14ac:dyDescent="0.25">
      <c r="A233" s="3" t="s">
        <v>72</v>
      </c>
      <c r="B233" s="3" t="s">
        <v>4997</v>
      </c>
      <c r="C233" s="3" t="s">
        <v>74</v>
      </c>
      <c r="D233" s="3" t="s">
        <v>74</v>
      </c>
      <c r="E233" s="3" t="s">
        <v>74</v>
      </c>
      <c r="F233" s="3" t="s">
        <v>4998</v>
      </c>
      <c r="G233" s="3" t="s">
        <v>74</v>
      </c>
      <c r="H233" s="3" t="s">
        <v>74</v>
      </c>
      <c r="I233" s="3" t="s">
        <v>4999</v>
      </c>
      <c r="J233" s="3" t="s">
        <v>2017</v>
      </c>
      <c r="K233" s="3" t="s">
        <v>74</v>
      </c>
      <c r="L233" s="3" t="s">
        <v>74</v>
      </c>
      <c r="M233" s="3" t="s">
        <v>110</v>
      </c>
      <c r="N233" s="3" t="s">
        <v>79</v>
      </c>
      <c r="O233" s="3" t="s">
        <v>74</v>
      </c>
      <c r="P233" s="3" t="s">
        <v>74</v>
      </c>
      <c r="Q233" s="3" t="s">
        <v>74</v>
      </c>
      <c r="R233" s="3" t="s">
        <v>74</v>
      </c>
      <c r="S233" s="3" t="s">
        <v>74</v>
      </c>
      <c r="T233" s="3" t="s">
        <v>5000</v>
      </c>
      <c r="U233" s="3" t="s">
        <v>5001</v>
      </c>
      <c r="V233" s="3" t="s">
        <v>5002</v>
      </c>
      <c r="W233" s="3" t="s">
        <v>5003</v>
      </c>
      <c r="X233" s="3" t="s">
        <v>1176</v>
      </c>
      <c r="Y233" s="3" t="s">
        <v>5004</v>
      </c>
      <c r="Z233" s="3" t="s">
        <v>5005</v>
      </c>
      <c r="AA233" s="3" t="s">
        <v>5006</v>
      </c>
      <c r="AB233" s="3" t="s">
        <v>5007</v>
      </c>
      <c r="AC233" s="3" t="s">
        <v>5008</v>
      </c>
      <c r="AD233" s="3" t="s">
        <v>5008</v>
      </c>
      <c r="AE233" s="3" t="s">
        <v>5009</v>
      </c>
      <c r="AF233" s="3" t="s">
        <v>74</v>
      </c>
      <c r="AG233" s="3">
        <v>106</v>
      </c>
      <c r="AH233" s="3">
        <v>21</v>
      </c>
      <c r="AI233" s="3">
        <v>28</v>
      </c>
      <c r="AJ233" s="3">
        <v>2</v>
      </c>
      <c r="AK233" s="3">
        <v>35</v>
      </c>
      <c r="AL233" s="3" t="s">
        <v>1120</v>
      </c>
      <c r="AM233" s="3" t="s">
        <v>200</v>
      </c>
      <c r="AN233" s="3" t="s">
        <v>1559</v>
      </c>
      <c r="AO233" s="3" t="s">
        <v>2029</v>
      </c>
      <c r="AP233" s="3" t="s">
        <v>2030</v>
      </c>
      <c r="AQ233" s="3" t="s">
        <v>74</v>
      </c>
      <c r="AR233" s="3" t="s">
        <v>2031</v>
      </c>
      <c r="AS233" s="3" t="s">
        <v>2032</v>
      </c>
      <c r="AT233" s="3" t="s">
        <v>949</v>
      </c>
      <c r="AU233" s="3">
        <v>2023</v>
      </c>
      <c r="AV233" s="3">
        <v>16</v>
      </c>
      <c r="AW233" s="3">
        <v>1</v>
      </c>
      <c r="AX233" s="3" t="s">
        <v>74</v>
      </c>
      <c r="AY233" s="3" t="s">
        <v>74</v>
      </c>
      <c r="AZ233" s="3" t="s">
        <v>74</v>
      </c>
      <c r="BA233" s="3" t="s">
        <v>74</v>
      </c>
      <c r="BB233" s="3">
        <v>345</v>
      </c>
      <c r="BC233" s="3">
        <v>362</v>
      </c>
      <c r="BD233" s="3" t="s">
        <v>74</v>
      </c>
      <c r="BE233" s="3" t="s">
        <v>5010</v>
      </c>
      <c r="BF233" s="3" t="str">
        <f>HYPERLINK("http://dx.doi.org/10.1007/s12063-022-00304-5","http://dx.doi.org/10.1007/s12063-022-00304-5")</f>
        <v>http://dx.doi.org/10.1007/s12063-022-00304-5</v>
      </c>
      <c r="BG233" s="3" t="s">
        <v>74</v>
      </c>
      <c r="BH233" s="3" t="s">
        <v>3800</v>
      </c>
      <c r="BI233" s="3">
        <v>18</v>
      </c>
      <c r="BJ233" s="3" t="s">
        <v>96</v>
      </c>
      <c r="BK233" s="3" t="s">
        <v>264</v>
      </c>
      <c r="BL233" s="3" t="s">
        <v>98</v>
      </c>
      <c r="BM233" s="3" t="s">
        <v>5011</v>
      </c>
      <c r="BN233" s="3" t="s">
        <v>74</v>
      </c>
      <c r="BO233" s="3" t="s">
        <v>3738</v>
      </c>
      <c r="BP233" s="3" t="s">
        <v>74</v>
      </c>
      <c r="BQ233" s="3" t="s">
        <v>74</v>
      </c>
      <c r="BR233" s="3" t="s">
        <v>101</v>
      </c>
      <c r="BS233" s="3" t="s">
        <v>5012</v>
      </c>
      <c r="BT233" s="3" t="str">
        <f>HYPERLINK("https%3A%2F%2Fwww.webofscience.com%2Fwos%2Fwoscc%2Ffull-record%2FWOS:000843066800001","View Full Record in Web of Science")</f>
        <v>View Full Record in Web of Science</v>
      </c>
      <c r="BU233" s="3"/>
      <c r="BV233" s="3"/>
      <c r="BW233" s="1"/>
    </row>
    <row r="234" spans="1:75" x14ac:dyDescent="0.25">
      <c r="A234" s="3" t="s">
        <v>103</v>
      </c>
      <c r="B234" s="3" t="s">
        <v>5013</v>
      </c>
      <c r="C234" s="3" t="s">
        <v>74</v>
      </c>
      <c r="D234" s="3" t="s">
        <v>74</v>
      </c>
      <c r="E234" s="3" t="s">
        <v>199</v>
      </c>
      <c r="F234" s="3" t="s">
        <v>5014</v>
      </c>
      <c r="G234" s="3" t="s">
        <v>74</v>
      </c>
      <c r="H234" s="3" t="s">
        <v>74</v>
      </c>
      <c r="I234" s="3" t="s">
        <v>5015</v>
      </c>
      <c r="J234" s="3" t="s">
        <v>5016</v>
      </c>
      <c r="K234" s="3" t="s">
        <v>74</v>
      </c>
      <c r="L234" s="3" t="s">
        <v>74</v>
      </c>
      <c r="M234" s="3" t="s">
        <v>110</v>
      </c>
      <c r="N234" s="3" t="s">
        <v>111</v>
      </c>
      <c r="O234" s="3" t="s">
        <v>5017</v>
      </c>
      <c r="P234" s="3" t="s">
        <v>5018</v>
      </c>
      <c r="Q234" s="3" t="s">
        <v>5019</v>
      </c>
      <c r="R234" s="3" t="s">
        <v>74</v>
      </c>
      <c r="S234" s="3" t="s">
        <v>5020</v>
      </c>
      <c r="T234" s="3" t="s">
        <v>5021</v>
      </c>
      <c r="U234" s="3" t="s">
        <v>5022</v>
      </c>
      <c r="V234" s="3" t="s">
        <v>5023</v>
      </c>
      <c r="W234" s="3" t="s">
        <v>5024</v>
      </c>
      <c r="X234" s="3" t="s">
        <v>5025</v>
      </c>
      <c r="Y234" s="3" t="s">
        <v>5026</v>
      </c>
      <c r="Z234" s="3" t="s">
        <v>5027</v>
      </c>
      <c r="AA234" s="3" t="s">
        <v>5028</v>
      </c>
      <c r="AB234" s="3" t="s">
        <v>5029</v>
      </c>
      <c r="AC234" s="3" t="s">
        <v>74</v>
      </c>
      <c r="AD234" s="3" t="s">
        <v>74</v>
      </c>
      <c r="AE234" s="3" t="s">
        <v>74</v>
      </c>
      <c r="AF234" s="3" t="s">
        <v>74</v>
      </c>
      <c r="AG234" s="3">
        <v>17</v>
      </c>
      <c r="AH234" s="3">
        <v>7</v>
      </c>
      <c r="AI234" s="3">
        <v>7</v>
      </c>
      <c r="AJ234" s="3">
        <v>0</v>
      </c>
      <c r="AK234" s="3">
        <v>36</v>
      </c>
      <c r="AL234" s="3" t="s">
        <v>199</v>
      </c>
      <c r="AM234" s="3" t="s">
        <v>200</v>
      </c>
      <c r="AN234" s="3" t="s">
        <v>201</v>
      </c>
      <c r="AO234" s="3" t="s">
        <v>74</v>
      </c>
      <c r="AP234" s="3" t="s">
        <v>74</v>
      </c>
      <c r="AQ234" s="3" t="s">
        <v>5030</v>
      </c>
      <c r="AR234" s="3" t="s">
        <v>74</v>
      </c>
      <c r="AS234" s="3" t="s">
        <v>74</v>
      </c>
      <c r="AT234" s="3" t="s">
        <v>74</v>
      </c>
      <c r="AU234" s="3">
        <v>2020</v>
      </c>
      <c r="AV234" s="3" t="s">
        <v>74</v>
      </c>
      <c r="AW234" s="3" t="s">
        <v>74</v>
      </c>
      <c r="AX234" s="3" t="s">
        <v>74</v>
      </c>
      <c r="AY234" s="3" t="s">
        <v>74</v>
      </c>
      <c r="AZ234" s="3" t="s">
        <v>74</v>
      </c>
      <c r="BA234" s="3" t="s">
        <v>74</v>
      </c>
      <c r="BB234" s="3" t="s">
        <v>74</v>
      </c>
      <c r="BC234" s="3" t="s">
        <v>74</v>
      </c>
      <c r="BD234" s="3" t="s">
        <v>74</v>
      </c>
      <c r="BE234" s="3" t="s">
        <v>74</v>
      </c>
      <c r="BF234" s="3" t="s">
        <v>74</v>
      </c>
      <c r="BG234" s="3" t="s">
        <v>74</v>
      </c>
      <c r="BH234" s="3" t="s">
        <v>74</v>
      </c>
      <c r="BI234" s="3">
        <v>4</v>
      </c>
      <c r="BJ234" s="3" t="s">
        <v>5031</v>
      </c>
      <c r="BK234" s="3" t="s">
        <v>208</v>
      </c>
      <c r="BL234" s="3" t="s">
        <v>2601</v>
      </c>
      <c r="BM234" s="3" t="s">
        <v>5032</v>
      </c>
      <c r="BN234" s="3" t="s">
        <v>74</v>
      </c>
      <c r="BO234" s="3" t="s">
        <v>74</v>
      </c>
      <c r="BP234" s="3" t="s">
        <v>74</v>
      </c>
      <c r="BQ234" s="3" t="s">
        <v>74</v>
      </c>
      <c r="BR234" s="3" t="s">
        <v>101</v>
      </c>
      <c r="BS234" s="3" t="s">
        <v>5033</v>
      </c>
      <c r="BT234" s="3" t="str">
        <f>HYPERLINK("https%3A%2F%2Fwww.webofscience.com%2Fwos%2Fwoscc%2Ffull-record%2FWOS:000609764800032","View Full Record in Web of Science")</f>
        <v>View Full Record in Web of Science</v>
      </c>
      <c r="BU234" s="3"/>
      <c r="BV234" s="3"/>
      <c r="BW234" s="1"/>
    </row>
    <row r="235" spans="1:75" x14ac:dyDescent="0.25">
      <c r="A235" s="3" t="s">
        <v>72</v>
      </c>
      <c r="B235" s="3" t="s">
        <v>5034</v>
      </c>
      <c r="C235" s="3" t="s">
        <v>74</v>
      </c>
      <c r="D235" s="3" t="s">
        <v>74</v>
      </c>
      <c r="E235" s="3" t="s">
        <v>74</v>
      </c>
      <c r="F235" s="3" t="s">
        <v>5035</v>
      </c>
      <c r="G235" s="3" t="s">
        <v>74</v>
      </c>
      <c r="H235" s="3" t="s">
        <v>74</v>
      </c>
      <c r="I235" s="3" t="s">
        <v>5036</v>
      </c>
      <c r="J235" s="3" t="s">
        <v>5037</v>
      </c>
      <c r="K235" s="3" t="s">
        <v>74</v>
      </c>
      <c r="L235" s="3" t="s">
        <v>74</v>
      </c>
      <c r="M235" s="3" t="s">
        <v>110</v>
      </c>
      <c r="N235" s="3" t="s">
        <v>216</v>
      </c>
      <c r="O235" s="3" t="s">
        <v>74</v>
      </c>
      <c r="P235" s="3" t="s">
        <v>74</v>
      </c>
      <c r="Q235" s="3" t="s">
        <v>74</v>
      </c>
      <c r="R235" s="3" t="s">
        <v>74</v>
      </c>
      <c r="S235" s="3" t="s">
        <v>74</v>
      </c>
      <c r="T235" s="3" t="s">
        <v>5038</v>
      </c>
      <c r="U235" s="3" t="s">
        <v>5039</v>
      </c>
      <c r="V235" s="3" t="s">
        <v>5040</v>
      </c>
      <c r="W235" s="3" t="s">
        <v>5041</v>
      </c>
      <c r="X235" s="3" t="s">
        <v>5042</v>
      </c>
      <c r="Y235" s="3" t="s">
        <v>5043</v>
      </c>
      <c r="Z235" s="3" t="s">
        <v>5044</v>
      </c>
      <c r="AA235" s="3" t="s">
        <v>5045</v>
      </c>
      <c r="AB235" s="3" t="s">
        <v>5046</v>
      </c>
      <c r="AC235" s="3" t="s">
        <v>5047</v>
      </c>
      <c r="AD235" s="3" t="s">
        <v>5047</v>
      </c>
      <c r="AE235" s="3" t="s">
        <v>5048</v>
      </c>
      <c r="AF235" s="3" t="s">
        <v>74</v>
      </c>
      <c r="AG235" s="3">
        <v>173</v>
      </c>
      <c r="AH235" s="3">
        <v>8</v>
      </c>
      <c r="AI235" s="3">
        <v>11</v>
      </c>
      <c r="AJ235" s="3">
        <v>2</v>
      </c>
      <c r="AK235" s="3">
        <v>51</v>
      </c>
      <c r="AL235" s="3" t="s">
        <v>145</v>
      </c>
      <c r="AM235" s="3" t="s">
        <v>146</v>
      </c>
      <c r="AN235" s="3" t="s">
        <v>279</v>
      </c>
      <c r="AO235" s="3" t="s">
        <v>74</v>
      </c>
      <c r="AP235" s="3" t="s">
        <v>5049</v>
      </c>
      <c r="AQ235" s="3" t="s">
        <v>74</v>
      </c>
      <c r="AR235" s="3" t="s">
        <v>5037</v>
      </c>
      <c r="AS235" s="3" t="s">
        <v>5050</v>
      </c>
      <c r="AT235" s="3" t="s">
        <v>333</v>
      </c>
      <c r="AU235" s="3">
        <v>2020</v>
      </c>
      <c r="AV235" s="3">
        <v>9</v>
      </c>
      <c r="AW235" s="3">
        <v>9</v>
      </c>
      <c r="AX235" s="3" t="s">
        <v>74</v>
      </c>
      <c r="AY235" s="3" t="s">
        <v>74</v>
      </c>
      <c r="AZ235" s="3" t="s">
        <v>74</v>
      </c>
      <c r="BA235" s="3" t="s">
        <v>74</v>
      </c>
      <c r="BB235" s="3" t="s">
        <v>74</v>
      </c>
      <c r="BC235" s="3" t="s">
        <v>74</v>
      </c>
      <c r="BD235" s="3">
        <v>113</v>
      </c>
      <c r="BE235" s="3" t="s">
        <v>5051</v>
      </c>
      <c r="BF235" s="3" t="str">
        <f>HYPERLINK("http://dx.doi.org/10.3390/resources9090113","http://dx.doi.org/10.3390/resources9090113")</f>
        <v>http://dx.doi.org/10.3390/resources9090113</v>
      </c>
      <c r="BG235" s="3" t="s">
        <v>74</v>
      </c>
      <c r="BH235" s="3" t="s">
        <v>74</v>
      </c>
      <c r="BI235" s="3">
        <v>30</v>
      </c>
      <c r="BJ235" s="3" t="s">
        <v>5052</v>
      </c>
      <c r="BK235" s="3" t="s">
        <v>97</v>
      </c>
      <c r="BL235" s="3" t="s">
        <v>155</v>
      </c>
      <c r="BM235" s="3" t="s">
        <v>5053</v>
      </c>
      <c r="BN235" s="3" t="s">
        <v>74</v>
      </c>
      <c r="BO235" s="3" t="s">
        <v>133</v>
      </c>
      <c r="BP235" s="3" t="s">
        <v>74</v>
      </c>
      <c r="BQ235" s="3" t="s">
        <v>74</v>
      </c>
      <c r="BR235" s="3" t="s">
        <v>101</v>
      </c>
      <c r="BS235" s="3" t="s">
        <v>5054</v>
      </c>
      <c r="BT235" s="3" t="str">
        <f>HYPERLINK("https%3A%2F%2Fwww.webofscience.com%2Fwos%2Fwoscc%2Ffull-record%2FWOS:000578142800001","View Full Record in Web of Science")</f>
        <v>View Full Record in Web of Science</v>
      </c>
      <c r="BU235" s="3"/>
      <c r="BV235" s="3"/>
      <c r="BW235" s="1"/>
    </row>
    <row r="236" spans="1:75" x14ac:dyDescent="0.25">
      <c r="A236" s="3" t="s">
        <v>72</v>
      </c>
      <c r="B236" s="3" t="s">
        <v>5055</v>
      </c>
      <c r="C236" s="3" t="s">
        <v>74</v>
      </c>
      <c r="D236" s="3" t="s">
        <v>74</v>
      </c>
      <c r="E236" s="3" t="s">
        <v>74</v>
      </c>
      <c r="F236" s="3" t="s">
        <v>5056</v>
      </c>
      <c r="G236" s="3" t="s">
        <v>74</v>
      </c>
      <c r="H236" s="3" t="s">
        <v>74</v>
      </c>
      <c r="I236" s="3" t="s">
        <v>5057</v>
      </c>
      <c r="J236" s="3" t="s">
        <v>5058</v>
      </c>
      <c r="K236" s="3" t="s">
        <v>74</v>
      </c>
      <c r="L236" s="3" t="s">
        <v>74</v>
      </c>
      <c r="M236" s="3" t="s">
        <v>110</v>
      </c>
      <c r="N236" s="3" t="s">
        <v>79</v>
      </c>
      <c r="O236" s="3" t="s">
        <v>74</v>
      </c>
      <c r="P236" s="3" t="s">
        <v>74</v>
      </c>
      <c r="Q236" s="3" t="s">
        <v>74</v>
      </c>
      <c r="R236" s="3" t="s">
        <v>74</v>
      </c>
      <c r="S236" s="3" t="s">
        <v>74</v>
      </c>
      <c r="T236" s="3" t="s">
        <v>5059</v>
      </c>
      <c r="U236" s="3" t="s">
        <v>5060</v>
      </c>
      <c r="V236" s="3" t="s">
        <v>5061</v>
      </c>
      <c r="W236" s="3" t="s">
        <v>5062</v>
      </c>
      <c r="X236" s="3" t="s">
        <v>5063</v>
      </c>
      <c r="Y236" s="3" t="s">
        <v>5064</v>
      </c>
      <c r="Z236" s="3" t="s">
        <v>5065</v>
      </c>
      <c r="AA236" s="3" t="s">
        <v>5066</v>
      </c>
      <c r="AB236" s="3" t="s">
        <v>5067</v>
      </c>
      <c r="AC236" s="3" t="s">
        <v>74</v>
      </c>
      <c r="AD236" s="3" t="s">
        <v>74</v>
      </c>
      <c r="AE236" s="3" t="s">
        <v>74</v>
      </c>
      <c r="AF236" s="3" t="s">
        <v>74</v>
      </c>
      <c r="AG236" s="3">
        <v>59</v>
      </c>
      <c r="AH236" s="3">
        <v>6</v>
      </c>
      <c r="AI236" s="3">
        <v>8</v>
      </c>
      <c r="AJ236" s="3">
        <v>0</v>
      </c>
      <c r="AK236" s="3">
        <v>9</v>
      </c>
      <c r="AL236" s="3" t="s">
        <v>872</v>
      </c>
      <c r="AM236" s="3" t="s">
        <v>873</v>
      </c>
      <c r="AN236" s="3" t="s">
        <v>874</v>
      </c>
      <c r="AO236" s="3" t="s">
        <v>74</v>
      </c>
      <c r="AP236" s="3" t="s">
        <v>5068</v>
      </c>
      <c r="AQ236" s="3" t="s">
        <v>74</v>
      </c>
      <c r="AR236" s="3" t="s">
        <v>5069</v>
      </c>
      <c r="AS236" s="3" t="s">
        <v>5070</v>
      </c>
      <c r="AT236" s="3" t="s">
        <v>5071</v>
      </c>
      <c r="AU236" s="3">
        <v>2020</v>
      </c>
      <c r="AV236" s="3">
        <v>16</v>
      </c>
      <c r="AW236" s="3">
        <v>1</v>
      </c>
      <c r="AX236" s="3" t="s">
        <v>74</v>
      </c>
      <c r="AY236" s="3" t="s">
        <v>74</v>
      </c>
      <c r="AZ236" s="3" t="s">
        <v>74</v>
      </c>
      <c r="BA236" s="3" t="s">
        <v>74</v>
      </c>
      <c r="BB236" s="3">
        <v>353</v>
      </c>
      <c r="BC236" s="3">
        <v>366</v>
      </c>
      <c r="BD236" s="3" t="s">
        <v>74</v>
      </c>
      <c r="BE236" s="3" t="s">
        <v>5072</v>
      </c>
      <c r="BF236" s="3" t="str">
        <f>HYPERLINK("http://dx.doi.org/10.1080/15487733.2020.1840804","http://dx.doi.org/10.1080/15487733.2020.1840804")</f>
        <v>http://dx.doi.org/10.1080/15487733.2020.1840804</v>
      </c>
      <c r="BG236" s="3" t="s">
        <v>74</v>
      </c>
      <c r="BH236" s="3" t="s">
        <v>74</v>
      </c>
      <c r="BI236" s="3">
        <v>14</v>
      </c>
      <c r="BJ236" s="3" t="s">
        <v>5073</v>
      </c>
      <c r="BK236" s="3" t="s">
        <v>97</v>
      </c>
      <c r="BL236" s="3" t="s">
        <v>155</v>
      </c>
      <c r="BM236" s="3" t="s">
        <v>5074</v>
      </c>
      <c r="BN236" s="3" t="s">
        <v>74</v>
      </c>
      <c r="BO236" s="3" t="s">
        <v>133</v>
      </c>
      <c r="BP236" s="3" t="s">
        <v>74</v>
      </c>
      <c r="BQ236" s="3" t="s">
        <v>74</v>
      </c>
      <c r="BR236" s="3" t="s">
        <v>101</v>
      </c>
      <c r="BS236" s="3" t="s">
        <v>5075</v>
      </c>
      <c r="BT236" s="3" t="str">
        <f>HYPERLINK("https%3A%2F%2Fwww.webofscience.com%2Fwos%2Fwoscc%2Ffull-record%2FWOS:000892239400031","View Full Record in Web of Science")</f>
        <v>View Full Record in Web of Science</v>
      </c>
      <c r="BU236" s="3"/>
      <c r="BV236" s="3"/>
      <c r="BW236" s="1"/>
    </row>
    <row r="237" spans="1:75" x14ac:dyDescent="0.25">
      <c r="A237" s="3" t="s">
        <v>103</v>
      </c>
      <c r="B237" s="3" t="s">
        <v>5076</v>
      </c>
      <c r="C237" s="3" t="s">
        <v>74</v>
      </c>
      <c r="D237" s="3" t="s">
        <v>5077</v>
      </c>
      <c r="E237" s="3" t="s">
        <v>74</v>
      </c>
      <c r="F237" s="3" t="s">
        <v>5078</v>
      </c>
      <c r="G237" s="3" t="s">
        <v>74</v>
      </c>
      <c r="H237" s="3" t="s">
        <v>74</v>
      </c>
      <c r="I237" s="3" t="s">
        <v>5079</v>
      </c>
      <c r="J237" s="3" t="s">
        <v>5080</v>
      </c>
      <c r="K237" s="3" t="s">
        <v>360</v>
      </c>
      <c r="L237" s="3" t="s">
        <v>74</v>
      </c>
      <c r="M237" s="3" t="s">
        <v>110</v>
      </c>
      <c r="N237" s="3" t="s">
        <v>111</v>
      </c>
      <c r="O237" s="3" t="s">
        <v>5081</v>
      </c>
      <c r="P237" s="3" t="s">
        <v>5082</v>
      </c>
      <c r="Q237" s="3" t="s">
        <v>5083</v>
      </c>
      <c r="R237" s="3" t="s">
        <v>74</v>
      </c>
      <c r="S237" s="3" t="s">
        <v>74</v>
      </c>
      <c r="T237" s="3" t="s">
        <v>5084</v>
      </c>
      <c r="U237" s="3" t="s">
        <v>5085</v>
      </c>
      <c r="V237" s="3" t="s">
        <v>5086</v>
      </c>
      <c r="W237" s="3" t="s">
        <v>5087</v>
      </c>
      <c r="X237" s="3" t="s">
        <v>5088</v>
      </c>
      <c r="Y237" s="3" t="s">
        <v>5089</v>
      </c>
      <c r="Z237" s="3" t="s">
        <v>5090</v>
      </c>
      <c r="AA237" s="3" t="s">
        <v>5091</v>
      </c>
      <c r="AB237" s="3" t="s">
        <v>5092</v>
      </c>
      <c r="AC237" s="3" t="s">
        <v>5093</v>
      </c>
      <c r="AD237" s="3" t="s">
        <v>5094</v>
      </c>
      <c r="AE237" s="3" t="s">
        <v>5095</v>
      </c>
      <c r="AF237" s="3" t="s">
        <v>74</v>
      </c>
      <c r="AG237" s="3">
        <v>16</v>
      </c>
      <c r="AH237" s="3">
        <v>1</v>
      </c>
      <c r="AI237" s="3">
        <v>2</v>
      </c>
      <c r="AJ237" s="3">
        <v>0</v>
      </c>
      <c r="AK237" s="3">
        <v>9</v>
      </c>
      <c r="AL237" s="3" t="s">
        <v>374</v>
      </c>
      <c r="AM237" s="3" t="s">
        <v>375</v>
      </c>
      <c r="AN237" s="3" t="s">
        <v>376</v>
      </c>
      <c r="AO237" s="3" t="s">
        <v>377</v>
      </c>
      <c r="AP237" s="3" t="s">
        <v>378</v>
      </c>
      <c r="AQ237" s="3" t="s">
        <v>5096</v>
      </c>
      <c r="AR237" s="3" t="s">
        <v>380</v>
      </c>
      <c r="AS237" s="3" t="s">
        <v>74</v>
      </c>
      <c r="AT237" s="3" t="s">
        <v>74</v>
      </c>
      <c r="AU237" s="3">
        <v>2020</v>
      </c>
      <c r="AV237" s="3">
        <v>853</v>
      </c>
      <c r="AW237" s="3" t="s">
        <v>74</v>
      </c>
      <c r="AX237" s="3" t="s">
        <v>74</v>
      </c>
      <c r="AY237" s="3" t="s">
        <v>74</v>
      </c>
      <c r="AZ237" s="3" t="s">
        <v>74</v>
      </c>
      <c r="BA237" s="3" t="s">
        <v>74</v>
      </c>
      <c r="BB237" s="3">
        <v>3</v>
      </c>
      <c r="BC237" s="3">
        <v>14</v>
      </c>
      <c r="BD237" s="3" t="s">
        <v>74</v>
      </c>
      <c r="BE237" s="3" t="s">
        <v>5097</v>
      </c>
      <c r="BF237" s="3" t="str">
        <f>HYPERLINK("http://dx.doi.org/10.1007/978-3-030-27477-1_1","http://dx.doi.org/10.1007/978-3-030-27477-1_1")</f>
        <v>http://dx.doi.org/10.1007/978-3-030-27477-1_1</v>
      </c>
      <c r="BG237" s="3" t="s">
        <v>74</v>
      </c>
      <c r="BH237" s="3" t="s">
        <v>74</v>
      </c>
      <c r="BI237" s="3">
        <v>12</v>
      </c>
      <c r="BJ237" s="3" t="s">
        <v>5098</v>
      </c>
      <c r="BK237" s="3" t="s">
        <v>208</v>
      </c>
      <c r="BL237" s="3" t="s">
        <v>5099</v>
      </c>
      <c r="BM237" s="3" t="s">
        <v>5100</v>
      </c>
      <c r="BN237" s="3" t="s">
        <v>74</v>
      </c>
      <c r="BO237" s="3" t="s">
        <v>683</v>
      </c>
      <c r="BP237" s="3" t="s">
        <v>74</v>
      </c>
      <c r="BQ237" s="3" t="s">
        <v>74</v>
      </c>
      <c r="BR237" s="3" t="s">
        <v>101</v>
      </c>
      <c r="BS237" s="3" t="s">
        <v>5101</v>
      </c>
      <c r="BT237" s="3" t="str">
        <f>HYPERLINK("https%3A%2F%2Fwww.webofscience.com%2Fwos%2Fwoscc%2Ffull-record%2FWOS:000620144800001","View Full Record in Web of Science")</f>
        <v>View Full Record in Web of Science</v>
      </c>
      <c r="BU237" s="3"/>
      <c r="BV237" s="3"/>
      <c r="BW237" s="1"/>
    </row>
    <row r="238" spans="1:75" x14ac:dyDescent="0.25">
      <c r="A238" s="3" t="s">
        <v>103</v>
      </c>
      <c r="B238" s="3" t="s">
        <v>5102</v>
      </c>
      <c r="C238" s="3" t="s">
        <v>74</v>
      </c>
      <c r="D238" s="3" t="s">
        <v>5103</v>
      </c>
      <c r="E238" s="3" t="s">
        <v>74</v>
      </c>
      <c r="F238" s="3" t="s">
        <v>5104</v>
      </c>
      <c r="G238" s="3" t="s">
        <v>74</v>
      </c>
      <c r="H238" s="3" t="s">
        <v>74</v>
      </c>
      <c r="I238" s="3" t="s">
        <v>5105</v>
      </c>
      <c r="J238" s="3" t="s">
        <v>5106</v>
      </c>
      <c r="K238" s="3" t="s">
        <v>109</v>
      </c>
      <c r="L238" s="3" t="s">
        <v>74</v>
      </c>
      <c r="M238" s="3" t="s">
        <v>110</v>
      </c>
      <c r="N238" s="3" t="s">
        <v>111</v>
      </c>
      <c r="O238" s="3" t="s">
        <v>5107</v>
      </c>
      <c r="P238" s="3" t="s">
        <v>5108</v>
      </c>
      <c r="Q238" s="3" t="s">
        <v>5109</v>
      </c>
      <c r="R238" s="3" t="s">
        <v>74</v>
      </c>
      <c r="S238" s="3" t="s">
        <v>74</v>
      </c>
      <c r="T238" s="3" t="s">
        <v>5110</v>
      </c>
      <c r="U238" s="3" t="s">
        <v>242</v>
      </c>
      <c r="V238" s="3" t="s">
        <v>5111</v>
      </c>
      <c r="W238" s="3" t="s">
        <v>5112</v>
      </c>
      <c r="X238" s="3" t="s">
        <v>5113</v>
      </c>
      <c r="Y238" s="3" t="s">
        <v>5114</v>
      </c>
      <c r="Z238" s="3" t="s">
        <v>5115</v>
      </c>
      <c r="AA238" s="3" t="s">
        <v>5116</v>
      </c>
      <c r="AB238" s="3" t="s">
        <v>5117</v>
      </c>
      <c r="AC238" s="3" t="s">
        <v>74</v>
      </c>
      <c r="AD238" s="3" t="s">
        <v>74</v>
      </c>
      <c r="AE238" s="3" t="s">
        <v>74</v>
      </c>
      <c r="AF238" s="3" t="s">
        <v>74</v>
      </c>
      <c r="AG238" s="3">
        <v>22</v>
      </c>
      <c r="AH238" s="3">
        <v>17</v>
      </c>
      <c r="AI238" s="3">
        <v>23</v>
      </c>
      <c r="AJ238" s="3">
        <v>0</v>
      </c>
      <c r="AK238" s="3">
        <v>49</v>
      </c>
      <c r="AL238" s="3" t="s">
        <v>123</v>
      </c>
      <c r="AM238" s="3" t="s">
        <v>124</v>
      </c>
      <c r="AN238" s="3" t="s">
        <v>125</v>
      </c>
      <c r="AO238" s="3" t="s">
        <v>126</v>
      </c>
      <c r="AP238" s="3" t="s">
        <v>74</v>
      </c>
      <c r="AQ238" s="3" t="s">
        <v>74</v>
      </c>
      <c r="AR238" s="3" t="s">
        <v>127</v>
      </c>
      <c r="AS238" s="3" t="s">
        <v>74</v>
      </c>
      <c r="AT238" s="3" t="s">
        <v>74</v>
      </c>
      <c r="AU238" s="3">
        <v>2019</v>
      </c>
      <c r="AV238" s="3">
        <v>39</v>
      </c>
      <c r="AW238" s="3" t="s">
        <v>74</v>
      </c>
      <c r="AX238" s="3" t="s">
        <v>74</v>
      </c>
      <c r="AY238" s="3" t="s">
        <v>74</v>
      </c>
      <c r="AZ238" s="3" t="s">
        <v>74</v>
      </c>
      <c r="BA238" s="3" t="s">
        <v>74</v>
      </c>
      <c r="BB238" s="3">
        <v>143</v>
      </c>
      <c r="BC238" s="3">
        <v>149</v>
      </c>
      <c r="BD238" s="3" t="s">
        <v>74</v>
      </c>
      <c r="BE238" s="3" t="s">
        <v>5118</v>
      </c>
      <c r="BF238" s="3" t="str">
        <f>HYPERLINK("http://dx.doi.org/10.1016/j.trpro.2019.06.016","http://dx.doi.org/10.1016/j.trpro.2019.06.016")</f>
        <v>http://dx.doi.org/10.1016/j.trpro.2019.06.016</v>
      </c>
      <c r="BG238" s="3" t="s">
        <v>74</v>
      </c>
      <c r="BH238" s="3" t="s">
        <v>74</v>
      </c>
      <c r="BI238" s="3">
        <v>7</v>
      </c>
      <c r="BJ238" s="3" t="s">
        <v>5119</v>
      </c>
      <c r="BK238" s="3" t="s">
        <v>130</v>
      </c>
      <c r="BL238" s="3" t="s">
        <v>789</v>
      </c>
      <c r="BM238" s="3" t="s">
        <v>5120</v>
      </c>
      <c r="BN238" s="3" t="s">
        <v>74</v>
      </c>
      <c r="BO238" s="3" t="s">
        <v>100</v>
      </c>
      <c r="BP238" s="3" t="s">
        <v>74</v>
      </c>
      <c r="BQ238" s="3" t="s">
        <v>74</v>
      </c>
      <c r="BR238" s="3" t="s">
        <v>101</v>
      </c>
      <c r="BS238" s="3" t="s">
        <v>5121</v>
      </c>
      <c r="BT238" s="3" t="str">
        <f>HYPERLINK("https%3A%2F%2Fwww.webofscience.com%2Fwos%2Fwoscc%2Ffull-record%2FWOS:000502626100015","View Full Record in Web of Science")</f>
        <v>View Full Record in Web of Science</v>
      </c>
      <c r="BU238" s="3"/>
      <c r="BV238" s="3"/>
      <c r="BW238" s="1"/>
    </row>
    <row r="239" spans="1:75" x14ac:dyDescent="0.25">
      <c r="A239" s="3" t="s">
        <v>72</v>
      </c>
      <c r="B239" s="3" t="s">
        <v>5122</v>
      </c>
      <c r="C239" s="3" t="s">
        <v>74</v>
      </c>
      <c r="D239" s="3" t="s">
        <v>74</v>
      </c>
      <c r="E239" s="3" t="s">
        <v>74</v>
      </c>
      <c r="F239" s="3" t="s">
        <v>5123</v>
      </c>
      <c r="G239" s="3" t="s">
        <v>74</v>
      </c>
      <c r="H239" s="3" t="s">
        <v>74</v>
      </c>
      <c r="I239" s="3" t="s">
        <v>5124</v>
      </c>
      <c r="J239" s="3" t="s">
        <v>5125</v>
      </c>
      <c r="K239" s="3" t="s">
        <v>74</v>
      </c>
      <c r="L239" s="3" t="s">
        <v>74</v>
      </c>
      <c r="M239" s="3" t="s">
        <v>110</v>
      </c>
      <c r="N239" s="3" t="s">
        <v>79</v>
      </c>
      <c r="O239" s="3" t="s">
        <v>74</v>
      </c>
      <c r="P239" s="3" t="s">
        <v>74</v>
      </c>
      <c r="Q239" s="3" t="s">
        <v>74</v>
      </c>
      <c r="R239" s="3" t="s">
        <v>74</v>
      </c>
      <c r="S239" s="3" t="s">
        <v>74</v>
      </c>
      <c r="T239" s="3" t="s">
        <v>5126</v>
      </c>
      <c r="U239" s="3" t="s">
        <v>5127</v>
      </c>
      <c r="V239" s="3" t="s">
        <v>5128</v>
      </c>
      <c r="W239" s="3" t="s">
        <v>5129</v>
      </c>
      <c r="X239" s="3" t="s">
        <v>475</v>
      </c>
      <c r="Y239" s="3" t="s">
        <v>5130</v>
      </c>
      <c r="Z239" s="3" t="s">
        <v>74</v>
      </c>
      <c r="AA239" s="3" t="s">
        <v>74</v>
      </c>
      <c r="AB239" s="3" t="s">
        <v>74</v>
      </c>
      <c r="AC239" s="3" t="s">
        <v>5131</v>
      </c>
      <c r="AD239" s="3" t="s">
        <v>5132</v>
      </c>
      <c r="AE239" s="3" t="s">
        <v>5133</v>
      </c>
      <c r="AF239" s="3" t="s">
        <v>74</v>
      </c>
      <c r="AG239" s="3">
        <v>37</v>
      </c>
      <c r="AH239" s="3">
        <v>0</v>
      </c>
      <c r="AI239" s="3">
        <v>0</v>
      </c>
      <c r="AJ239" s="3">
        <v>0</v>
      </c>
      <c r="AK239" s="3">
        <v>3</v>
      </c>
      <c r="AL239" s="3" t="s">
        <v>5134</v>
      </c>
      <c r="AM239" s="3" t="s">
        <v>5135</v>
      </c>
      <c r="AN239" s="3" t="s">
        <v>5136</v>
      </c>
      <c r="AO239" s="3" t="s">
        <v>5137</v>
      </c>
      <c r="AP239" s="3" t="s">
        <v>5138</v>
      </c>
      <c r="AQ239" s="3" t="s">
        <v>74</v>
      </c>
      <c r="AR239" s="3" t="s">
        <v>5139</v>
      </c>
      <c r="AS239" s="3" t="s">
        <v>5140</v>
      </c>
      <c r="AT239" s="3" t="s">
        <v>74</v>
      </c>
      <c r="AU239" s="3">
        <v>2021</v>
      </c>
      <c r="AV239" s="3">
        <v>4</v>
      </c>
      <c r="AW239" s="3">
        <v>79</v>
      </c>
      <c r="AX239" s="3" t="s">
        <v>74</v>
      </c>
      <c r="AY239" s="3" t="s">
        <v>74</v>
      </c>
      <c r="AZ239" s="3" t="s">
        <v>74</v>
      </c>
      <c r="BA239" s="3" t="s">
        <v>74</v>
      </c>
      <c r="BB239" s="3">
        <v>8</v>
      </c>
      <c r="BC239" s="3">
        <v>22</v>
      </c>
      <c r="BD239" s="3" t="s">
        <v>74</v>
      </c>
      <c r="BE239" s="3" t="s">
        <v>74</v>
      </c>
      <c r="BF239" s="3" t="s">
        <v>74</v>
      </c>
      <c r="BG239" s="3" t="s">
        <v>74</v>
      </c>
      <c r="BH239" s="3" t="s">
        <v>74</v>
      </c>
      <c r="BI239" s="3">
        <v>22</v>
      </c>
      <c r="BJ239" s="3" t="s">
        <v>3574</v>
      </c>
      <c r="BK239" s="3" t="s">
        <v>97</v>
      </c>
      <c r="BL239" s="3" t="s">
        <v>705</v>
      </c>
      <c r="BM239" s="3" t="s">
        <v>5141</v>
      </c>
      <c r="BN239" s="3" t="s">
        <v>74</v>
      </c>
      <c r="BO239" s="3" t="s">
        <v>74</v>
      </c>
      <c r="BP239" s="3" t="s">
        <v>74</v>
      </c>
      <c r="BQ239" s="3" t="s">
        <v>74</v>
      </c>
      <c r="BR239" s="3" t="s">
        <v>101</v>
      </c>
      <c r="BS239" s="3" t="s">
        <v>5142</v>
      </c>
      <c r="BT239" s="3" t="str">
        <f>HYPERLINK("https%3A%2F%2Fwww.webofscience.com%2Fwos%2Fwoscc%2Ffull-record%2FWOS:000734642000001","View Full Record in Web of Science")</f>
        <v>View Full Record in Web of Science</v>
      </c>
      <c r="BU239" s="3"/>
      <c r="BV239" s="3"/>
      <c r="BW239" s="1"/>
    </row>
    <row r="240" spans="1:75" x14ac:dyDescent="0.25">
      <c r="A240" s="3" t="s">
        <v>72</v>
      </c>
      <c r="B240" s="3" t="s">
        <v>5143</v>
      </c>
      <c r="C240" s="3" t="s">
        <v>74</v>
      </c>
      <c r="D240" s="3" t="s">
        <v>74</v>
      </c>
      <c r="E240" s="3" t="s">
        <v>74</v>
      </c>
      <c r="F240" s="3" t="s">
        <v>5144</v>
      </c>
      <c r="G240" s="3" t="s">
        <v>74</v>
      </c>
      <c r="H240" s="3" t="s">
        <v>74</v>
      </c>
      <c r="I240" s="3" t="s">
        <v>5145</v>
      </c>
      <c r="J240" s="3" t="s">
        <v>138</v>
      </c>
      <c r="K240" s="3" t="s">
        <v>74</v>
      </c>
      <c r="L240" s="3" t="s">
        <v>74</v>
      </c>
      <c r="M240" s="3" t="s">
        <v>110</v>
      </c>
      <c r="N240" s="3" t="s">
        <v>79</v>
      </c>
      <c r="O240" s="3" t="s">
        <v>74</v>
      </c>
      <c r="P240" s="3" t="s">
        <v>74</v>
      </c>
      <c r="Q240" s="3" t="s">
        <v>74</v>
      </c>
      <c r="R240" s="3" t="s">
        <v>74</v>
      </c>
      <c r="S240" s="3" t="s">
        <v>74</v>
      </c>
      <c r="T240" s="3" t="s">
        <v>5146</v>
      </c>
      <c r="U240" s="3" t="s">
        <v>5147</v>
      </c>
      <c r="V240" s="3" t="s">
        <v>5148</v>
      </c>
      <c r="W240" s="3" t="s">
        <v>5149</v>
      </c>
      <c r="X240" s="3" t="s">
        <v>5150</v>
      </c>
      <c r="Y240" s="3" t="s">
        <v>5151</v>
      </c>
      <c r="Z240" s="3" t="s">
        <v>5152</v>
      </c>
      <c r="AA240" s="3" t="s">
        <v>5153</v>
      </c>
      <c r="AB240" s="3" t="s">
        <v>74</v>
      </c>
      <c r="AC240" s="3" t="s">
        <v>5154</v>
      </c>
      <c r="AD240" s="3" t="s">
        <v>5155</v>
      </c>
      <c r="AE240" s="3" t="s">
        <v>5156</v>
      </c>
      <c r="AF240" s="3" t="s">
        <v>74</v>
      </c>
      <c r="AG240" s="3">
        <v>65</v>
      </c>
      <c r="AH240" s="3">
        <v>39</v>
      </c>
      <c r="AI240" s="3">
        <v>46</v>
      </c>
      <c r="AJ240" s="3">
        <v>1</v>
      </c>
      <c r="AK240" s="3">
        <v>56</v>
      </c>
      <c r="AL240" s="3" t="s">
        <v>145</v>
      </c>
      <c r="AM240" s="3" t="s">
        <v>146</v>
      </c>
      <c r="AN240" s="3" t="s">
        <v>279</v>
      </c>
      <c r="AO240" s="3" t="s">
        <v>74</v>
      </c>
      <c r="AP240" s="3" t="s">
        <v>148</v>
      </c>
      <c r="AQ240" s="3" t="s">
        <v>74</v>
      </c>
      <c r="AR240" s="3" t="s">
        <v>149</v>
      </c>
      <c r="AS240" s="3" t="s">
        <v>150</v>
      </c>
      <c r="AT240" s="3" t="s">
        <v>5157</v>
      </c>
      <c r="AU240" s="3">
        <v>2019</v>
      </c>
      <c r="AV240" s="3">
        <v>11</v>
      </c>
      <c r="AW240" s="3">
        <v>17</v>
      </c>
      <c r="AX240" s="3" t="s">
        <v>74</v>
      </c>
      <c r="AY240" s="3" t="s">
        <v>74</v>
      </c>
      <c r="AZ240" s="3" t="s">
        <v>74</v>
      </c>
      <c r="BA240" s="3" t="s">
        <v>74</v>
      </c>
      <c r="BB240" s="3" t="s">
        <v>74</v>
      </c>
      <c r="BC240" s="3" t="s">
        <v>74</v>
      </c>
      <c r="BD240" s="3">
        <v>4580</v>
      </c>
      <c r="BE240" s="3" t="s">
        <v>5158</v>
      </c>
      <c r="BF240" s="3" t="str">
        <f>HYPERLINK("http://dx.doi.org/10.3390/su11174580","http://dx.doi.org/10.3390/su11174580")</f>
        <v>http://dx.doi.org/10.3390/su11174580</v>
      </c>
      <c r="BG240" s="3" t="s">
        <v>74</v>
      </c>
      <c r="BH240" s="3" t="s">
        <v>74</v>
      </c>
      <c r="BI240" s="3">
        <v>27</v>
      </c>
      <c r="BJ240" s="3" t="s">
        <v>153</v>
      </c>
      <c r="BK240" s="3" t="s">
        <v>154</v>
      </c>
      <c r="BL240" s="3" t="s">
        <v>155</v>
      </c>
      <c r="BM240" s="3" t="s">
        <v>5159</v>
      </c>
      <c r="BN240" s="3" t="s">
        <v>74</v>
      </c>
      <c r="BO240" s="3" t="s">
        <v>133</v>
      </c>
      <c r="BP240" s="3" t="s">
        <v>74</v>
      </c>
      <c r="BQ240" s="3" t="s">
        <v>74</v>
      </c>
      <c r="BR240" s="3" t="s">
        <v>101</v>
      </c>
      <c r="BS240" s="3" t="s">
        <v>5160</v>
      </c>
      <c r="BT240" s="3" t="str">
        <f>HYPERLINK("https%3A%2F%2Fwww.webofscience.com%2Fwos%2Fwoscc%2Ffull-record%2FWOS:000486877700069","View Full Record in Web of Science")</f>
        <v>View Full Record in Web of Science</v>
      </c>
      <c r="BU240" s="3"/>
      <c r="BV240" s="3"/>
      <c r="BW240" s="1"/>
    </row>
    <row r="241" spans="1:75" x14ac:dyDescent="0.25">
      <c r="A241" s="3" t="s">
        <v>72</v>
      </c>
      <c r="B241" s="3" t="s">
        <v>5161</v>
      </c>
      <c r="C241" s="3" t="s">
        <v>74</v>
      </c>
      <c r="D241" s="3" t="s">
        <v>74</v>
      </c>
      <c r="E241" s="3" t="s">
        <v>74</v>
      </c>
      <c r="F241" s="3" t="s">
        <v>5162</v>
      </c>
      <c r="G241" s="3" t="s">
        <v>74</v>
      </c>
      <c r="H241" s="3" t="s">
        <v>74</v>
      </c>
      <c r="I241" s="3" t="s">
        <v>5163</v>
      </c>
      <c r="J241" s="3" t="s">
        <v>5164</v>
      </c>
      <c r="K241" s="3" t="s">
        <v>74</v>
      </c>
      <c r="L241" s="3" t="s">
        <v>74</v>
      </c>
      <c r="M241" s="3" t="s">
        <v>110</v>
      </c>
      <c r="N241" s="3" t="s">
        <v>79</v>
      </c>
      <c r="O241" s="3" t="s">
        <v>74</v>
      </c>
      <c r="P241" s="3" t="s">
        <v>74</v>
      </c>
      <c r="Q241" s="3" t="s">
        <v>74</v>
      </c>
      <c r="R241" s="3" t="s">
        <v>74</v>
      </c>
      <c r="S241" s="3" t="s">
        <v>74</v>
      </c>
      <c r="T241" s="3" t="s">
        <v>5165</v>
      </c>
      <c r="U241" s="3" t="s">
        <v>5166</v>
      </c>
      <c r="V241" s="3" t="s">
        <v>5167</v>
      </c>
      <c r="W241" s="3" t="s">
        <v>5168</v>
      </c>
      <c r="X241" s="3" t="s">
        <v>5169</v>
      </c>
      <c r="Y241" s="3" t="s">
        <v>5170</v>
      </c>
      <c r="Z241" s="3" t="s">
        <v>5171</v>
      </c>
      <c r="AA241" s="3" t="s">
        <v>5172</v>
      </c>
      <c r="AB241" s="3" t="s">
        <v>5173</v>
      </c>
      <c r="AC241" s="3" t="s">
        <v>5174</v>
      </c>
      <c r="AD241" s="3" t="s">
        <v>5175</v>
      </c>
      <c r="AE241" s="3" t="s">
        <v>5176</v>
      </c>
      <c r="AF241" s="3" t="s">
        <v>74</v>
      </c>
      <c r="AG241" s="3">
        <v>40</v>
      </c>
      <c r="AH241" s="3">
        <v>116</v>
      </c>
      <c r="AI241" s="3">
        <v>132</v>
      </c>
      <c r="AJ241" s="3">
        <v>4</v>
      </c>
      <c r="AK241" s="3">
        <v>104</v>
      </c>
      <c r="AL241" s="3" t="s">
        <v>5177</v>
      </c>
      <c r="AM241" s="3" t="s">
        <v>1009</v>
      </c>
      <c r="AN241" s="3" t="s">
        <v>1637</v>
      </c>
      <c r="AO241" s="3" t="s">
        <v>5178</v>
      </c>
      <c r="AP241" s="3" t="s">
        <v>5179</v>
      </c>
      <c r="AQ241" s="3" t="s">
        <v>74</v>
      </c>
      <c r="AR241" s="3" t="s">
        <v>5180</v>
      </c>
      <c r="AS241" s="3" t="s">
        <v>5181</v>
      </c>
      <c r="AT241" s="3" t="s">
        <v>176</v>
      </c>
      <c r="AU241" s="3">
        <v>2017</v>
      </c>
      <c r="AV241" s="3">
        <v>9</v>
      </c>
      <c r="AW241" s="3">
        <v>2</v>
      </c>
      <c r="AX241" s="3" t="s">
        <v>74</v>
      </c>
      <c r="AY241" s="3" t="s">
        <v>74</v>
      </c>
      <c r="AZ241" s="3" t="s">
        <v>74</v>
      </c>
      <c r="BA241" s="3" t="s">
        <v>74</v>
      </c>
      <c r="BB241" s="3" t="s">
        <v>74</v>
      </c>
      <c r="BC241" s="3" t="s">
        <v>74</v>
      </c>
      <c r="BD241" s="3">
        <v>30</v>
      </c>
      <c r="BE241" s="3" t="s">
        <v>5182</v>
      </c>
      <c r="BF241" s="3" t="str">
        <f>HYPERLINK("http://dx.doi.org/10.1007/s12544-017-0246-8","http://dx.doi.org/10.1007/s12544-017-0246-8")</f>
        <v>http://dx.doi.org/10.1007/s12544-017-0246-8</v>
      </c>
      <c r="BG241" s="3" t="s">
        <v>74</v>
      </c>
      <c r="BH241" s="3" t="s">
        <v>74</v>
      </c>
      <c r="BI241" s="3">
        <v>10</v>
      </c>
      <c r="BJ241" s="3" t="s">
        <v>129</v>
      </c>
      <c r="BK241" s="3" t="s">
        <v>154</v>
      </c>
      <c r="BL241" s="3" t="s">
        <v>131</v>
      </c>
      <c r="BM241" s="3" t="s">
        <v>5183</v>
      </c>
      <c r="BN241" s="3" t="s">
        <v>74</v>
      </c>
      <c r="BO241" s="3" t="s">
        <v>100</v>
      </c>
      <c r="BP241" s="3" t="s">
        <v>74</v>
      </c>
      <c r="BQ241" s="3" t="s">
        <v>74</v>
      </c>
      <c r="BR241" s="3" t="s">
        <v>101</v>
      </c>
      <c r="BS241" s="3" t="s">
        <v>5184</v>
      </c>
      <c r="BT241" s="3" t="str">
        <f>HYPERLINK("https%3A%2F%2Fwww.webofscience.com%2Fwos%2Fwoscc%2Ffull-record%2FWOS:000403711800019","View Full Record in Web of Science")</f>
        <v>View Full Record in Web of Science</v>
      </c>
      <c r="BU241" s="3"/>
      <c r="BV241" s="3"/>
      <c r="BW241" s="1"/>
    </row>
    <row r="242" spans="1:75" x14ac:dyDescent="0.25">
      <c r="A242" s="3" t="s">
        <v>103</v>
      </c>
      <c r="B242" s="3" t="s">
        <v>5185</v>
      </c>
      <c r="C242" s="3" t="s">
        <v>74</v>
      </c>
      <c r="D242" s="3" t="s">
        <v>105</v>
      </c>
      <c r="E242" s="3" t="s">
        <v>74</v>
      </c>
      <c r="F242" s="3" t="s">
        <v>5186</v>
      </c>
      <c r="G242" s="3" t="s">
        <v>74</v>
      </c>
      <c r="H242" s="3" t="s">
        <v>74</v>
      </c>
      <c r="I242" s="3" t="s">
        <v>5187</v>
      </c>
      <c r="J242" s="3" t="s">
        <v>108</v>
      </c>
      <c r="K242" s="3" t="s">
        <v>109</v>
      </c>
      <c r="L242" s="3" t="s">
        <v>74</v>
      </c>
      <c r="M242" s="3" t="s">
        <v>110</v>
      </c>
      <c r="N242" s="3" t="s">
        <v>111</v>
      </c>
      <c r="O242" s="3" t="s">
        <v>112</v>
      </c>
      <c r="P242" s="3" t="s">
        <v>113</v>
      </c>
      <c r="Q242" s="3" t="s">
        <v>114</v>
      </c>
      <c r="R242" s="3" t="s">
        <v>74</v>
      </c>
      <c r="S242" s="3" t="s">
        <v>74</v>
      </c>
      <c r="T242" s="3" t="s">
        <v>5188</v>
      </c>
      <c r="U242" s="3" t="s">
        <v>5189</v>
      </c>
      <c r="V242" s="3" t="s">
        <v>5190</v>
      </c>
      <c r="W242" s="3" t="s">
        <v>5191</v>
      </c>
      <c r="X242" s="3" t="s">
        <v>5192</v>
      </c>
      <c r="Y242" s="3" t="s">
        <v>5193</v>
      </c>
      <c r="Z242" s="3" t="s">
        <v>5194</v>
      </c>
      <c r="AA242" s="3" t="s">
        <v>74</v>
      </c>
      <c r="AB242" s="3" t="s">
        <v>74</v>
      </c>
      <c r="AC242" s="3" t="s">
        <v>74</v>
      </c>
      <c r="AD242" s="3" t="s">
        <v>74</v>
      </c>
      <c r="AE242" s="3" t="s">
        <v>74</v>
      </c>
      <c r="AF242" s="3" t="s">
        <v>74</v>
      </c>
      <c r="AG242" s="3">
        <v>34</v>
      </c>
      <c r="AH242" s="3">
        <v>132</v>
      </c>
      <c r="AI242" s="3">
        <v>163</v>
      </c>
      <c r="AJ242" s="3">
        <v>3</v>
      </c>
      <c r="AK242" s="3">
        <v>48</v>
      </c>
      <c r="AL242" s="3" t="s">
        <v>123</v>
      </c>
      <c r="AM242" s="3" t="s">
        <v>124</v>
      </c>
      <c r="AN242" s="3" t="s">
        <v>125</v>
      </c>
      <c r="AO242" s="3" t="s">
        <v>126</v>
      </c>
      <c r="AP242" s="3" t="s">
        <v>74</v>
      </c>
      <c r="AQ242" s="3" t="s">
        <v>74</v>
      </c>
      <c r="AR242" s="3" t="s">
        <v>127</v>
      </c>
      <c r="AS242" s="3" t="s">
        <v>74</v>
      </c>
      <c r="AT242" s="3" t="s">
        <v>74</v>
      </c>
      <c r="AU242" s="3">
        <v>2016</v>
      </c>
      <c r="AV242" s="3">
        <v>12</v>
      </c>
      <c r="AW242" s="3" t="s">
        <v>74</v>
      </c>
      <c r="AX242" s="3" t="s">
        <v>74</v>
      </c>
      <c r="AY242" s="3" t="s">
        <v>74</v>
      </c>
      <c r="AZ242" s="3" t="s">
        <v>74</v>
      </c>
      <c r="BA242" s="3" t="s">
        <v>74</v>
      </c>
      <c r="BB242" s="3">
        <v>383</v>
      </c>
      <c r="BC242" s="3">
        <v>398</v>
      </c>
      <c r="BD242" s="3" t="s">
        <v>74</v>
      </c>
      <c r="BE242" s="3" t="s">
        <v>5195</v>
      </c>
      <c r="BF242" s="3" t="str">
        <f>HYPERLINK("http://dx.doi.org/10.1016/j.trpro.2016.02.074","http://dx.doi.org/10.1016/j.trpro.2016.02.074")</f>
        <v>http://dx.doi.org/10.1016/j.trpro.2016.02.074</v>
      </c>
      <c r="BG242" s="3" t="s">
        <v>74</v>
      </c>
      <c r="BH242" s="3" t="s">
        <v>74</v>
      </c>
      <c r="BI242" s="3">
        <v>16</v>
      </c>
      <c r="BJ242" s="3" t="s">
        <v>129</v>
      </c>
      <c r="BK242" s="3" t="s">
        <v>130</v>
      </c>
      <c r="BL242" s="3" t="s">
        <v>131</v>
      </c>
      <c r="BM242" s="3" t="s">
        <v>132</v>
      </c>
      <c r="BN242" s="3" t="s">
        <v>74</v>
      </c>
      <c r="BO242" s="3" t="s">
        <v>100</v>
      </c>
      <c r="BP242" s="3" t="s">
        <v>74</v>
      </c>
      <c r="BQ242" s="3" t="s">
        <v>74</v>
      </c>
      <c r="BR242" s="3" t="s">
        <v>101</v>
      </c>
      <c r="BS242" s="3" t="s">
        <v>5196</v>
      </c>
      <c r="BT242" s="3" t="str">
        <f>HYPERLINK("https%3A%2F%2Fwww.webofscience.com%2Fwos%2Fwoscc%2Ffull-record%2FWOS:000377574100032","View Full Record in Web of Science")</f>
        <v>View Full Record in Web of Science</v>
      </c>
      <c r="BU242" s="3"/>
      <c r="BV242" s="3"/>
      <c r="BW242" s="1"/>
    </row>
    <row r="243" spans="1:75" x14ac:dyDescent="0.25">
      <c r="A243" s="3" t="s">
        <v>103</v>
      </c>
      <c r="B243" s="3" t="s">
        <v>5197</v>
      </c>
      <c r="C243" s="3" t="s">
        <v>74</v>
      </c>
      <c r="D243" s="3" t="s">
        <v>74</v>
      </c>
      <c r="E243" s="3" t="s">
        <v>199</v>
      </c>
      <c r="F243" s="3" t="s">
        <v>5198</v>
      </c>
      <c r="G243" s="3" t="s">
        <v>74</v>
      </c>
      <c r="H243" s="3" t="s">
        <v>74</v>
      </c>
      <c r="I243" s="3" t="s">
        <v>5199</v>
      </c>
      <c r="J243" s="3" t="s">
        <v>5200</v>
      </c>
      <c r="K243" s="3" t="s">
        <v>74</v>
      </c>
      <c r="L243" s="3" t="s">
        <v>74</v>
      </c>
      <c r="M243" s="3" t="s">
        <v>110</v>
      </c>
      <c r="N243" s="3" t="s">
        <v>111</v>
      </c>
      <c r="O243" s="3" t="s">
        <v>5201</v>
      </c>
      <c r="P243" s="3" t="s">
        <v>5202</v>
      </c>
      <c r="Q243" s="3" t="s">
        <v>5203</v>
      </c>
      <c r="R243" s="3" t="s">
        <v>74</v>
      </c>
      <c r="S243" s="3" t="s">
        <v>5204</v>
      </c>
      <c r="T243" s="3" t="s">
        <v>5205</v>
      </c>
      <c r="U243" s="3" t="s">
        <v>74</v>
      </c>
      <c r="V243" s="3" t="s">
        <v>5206</v>
      </c>
      <c r="W243" s="3" t="s">
        <v>5207</v>
      </c>
      <c r="X243" s="3" t="s">
        <v>5208</v>
      </c>
      <c r="Y243" s="3" t="s">
        <v>5209</v>
      </c>
      <c r="Z243" s="3" t="s">
        <v>5210</v>
      </c>
      <c r="AA243" s="3" t="s">
        <v>5211</v>
      </c>
      <c r="AB243" s="3" t="s">
        <v>5212</v>
      </c>
      <c r="AC243" s="3" t="s">
        <v>74</v>
      </c>
      <c r="AD243" s="3" t="s">
        <v>74</v>
      </c>
      <c r="AE243" s="3" t="s">
        <v>74</v>
      </c>
      <c r="AF243" s="3" t="s">
        <v>74</v>
      </c>
      <c r="AG243" s="3">
        <v>22</v>
      </c>
      <c r="AH243" s="3">
        <v>8</v>
      </c>
      <c r="AI243" s="3">
        <v>8</v>
      </c>
      <c r="AJ243" s="3">
        <v>0</v>
      </c>
      <c r="AK243" s="3">
        <v>2</v>
      </c>
      <c r="AL243" s="3" t="s">
        <v>199</v>
      </c>
      <c r="AM243" s="3" t="s">
        <v>200</v>
      </c>
      <c r="AN243" s="3" t="s">
        <v>201</v>
      </c>
      <c r="AO243" s="3" t="s">
        <v>74</v>
      </c>
      <c r="AP243" s="3" t="s">
        <v>74</v>
      </c>
      <c r="AQ243" s="3" t="s">
        <v>5213</v>
      </c>
      <c r="AR243" s="3" t="s">
        <v>74</v>
      </c>
      <c r="AS243" s="3" t="s">
        <v>74</v>
      </c>
      <c r="AT243" s="3" t="s">
        <v>74</v>
      </c>
      <c r="AU243" s="3">
        <v>2019</v>
      </c>
      <c r="AV243" s="3" t="s">
        <v>74</v>
      </c>
      <c r="AW243" s="3" t="s">
        <v>74</v>
      </c>
      <c r="AX243" s="3" t="s">
        <v>74</v>
      </c>
      <c r="AY243" s="3" t="s">
        <v>74</v>
      </c>
      <c r="AZ243" s="3" t="s">
        <v>74</v>
      </c>
      <c r="BA243" s="3" t="s">
        <v>74</v>
      </c>
      <c r="BB243" s="3" t="s">
        <v>74</v>
      </c>
      <c r="BC243" s="3" t="s">
        <v>74</v>
      </c>
      <c r="BD243" s="3" t="s">
        <v>74</v>
      </c>
      <c r="BE243" s="3" t="s">
        <v>5214</v>
      </c>
      <c r="BF243" s="3" t="str">
        <f>HYPERLINK("http://dx.doi.org/10.1109/logistiqua.2019.8907328","http://dx.doi.org/10.1109/logistiqua.2019.8907328")</f>
        <v>http://dx.doi.org/10.1109/logistiqua.2019.8907328</v>
      </c>
      <c r="BG243" s="3" t="s">
        <v>74</v>
      </c>
      <c r="BH243" s="3" t="s">
        <v>74</v>
      </c>
      <c r="BI243" s="3">
        <v>6</v>
      </c>
      <c r="BJ243" s="3" t="s">
        <v>207</v>
      </c>
      <c r="BK243" s="3" t="s">
        <v>208</v>
      </c>
      <c r="BL243" s="3" t="s">
        <v>209</v>
      </c>
      <c r="BM243" s="3" t="s">
        <v>5215</v>
      </c>
      <c r="BN243" s="3" t="s">
        <v>74</v>
      </c>
      <c r="BO243" s="3" t="s">
        <v>74</v>
      </c>
      <c r="BP243" s="3" t="s">
        <v>74</v>
      </c>
      <c r="BQ243" s="3" t="s">
        <v>74</v>
      </c>
      <c r="BR243" s="3" t="s">
        <v>101</v>
      </c>
      <c r="BS243" s="3" t="s">
        <v>5216</v>
      </c>
      <c r="BT243" s="3" t="str">
        <f>HYPERLINK("https%3A%2F%2Fwww.webofscience.com%2Fwos%2Fwoscc%2Ffull-record%2FWOS:000619512400054","View Full Record in Web of Science")</f>
        <v>View Full Record in Web of Science</v>
      </c>
      <c r="BU243" s="3"/>
      <c r="BV243" s="3"/>
      <c r="BW243" s="1"/>
    </row>
    <row r="244" spans="1:75" x14ac:dyDescent="0.25">
      <c r="A244" s="3" t="s">
        <v>72</v>
      </c>
      <c r="B244" s="3" t="s">
        <v>5217</v>
      </c>
      <c r="C244" s="3" t="s">
        <v>74</v>
      </c>
      <c r="D244" s="3" t="s">
        <v>74</v>
      </c>
      <c r="E244" s="3" t="s">
        <v>74</v>
      </c>
      <c r="F244" s="3" t="s">
        <v>5218</v>
      </c>
      <c r="G244" s="3" t="s">
        <v>74</v>
      </c>
      <c r="H244" s="3" t="s">
        <v>74</v>
      </c>
      <c r="I244" s="3" t="s">
        <v>5219</v>
      </c>
      <c r="J244" s="3" t="s">
        <v>5220</v>
      </c>
      <c r="K244" s="3" t="s">
        <v>74</v>
      </c>
      <c r="L244" s="3" t="s">
        <v>74</v>
      </c>
      <c r="M244" s="3" t="s">
        <v>110</v>
      </c>
      <c r="N244" s="3" t="s">
        <v>79</v>
      </c>
      <c r="O244" s="3" t="s">
        <v>74</v>
      </c>
      <c r="P244" s="3" t="s">
        <v>74</v>
      </c>
      <c r="Q244" s="3" t="s">
        <v>74</v>
      </c>
      <c r="R244" s="3" t="s">
        <v>74</v>
      </c>
      <c r="S244" s="3" t="s">
        <v>74</v>
      </c>
      <c r="T244" s="3" t="s">
        <v>5221</v>
      </c>
      <c r="U244" s="3" t="s">
        <v>74</v>
      </c>
      <c r="V244" s="3" t="s">
        <v>5222</v>
      </c>
      <c r="W244" s="3" t="s">
        <v>5223</v>
      </c>
      <c r="X244" s="3" t="s">
        <v>5224</v>
      </c>
      <c r="Y244" s="3" t="s">
        <v>5225</v>
      </c>
      <c r="Z244" s="3" t="s">
        <v>5226</v>
      </c>
      <c r="AA244" s="3" t="s">
        <v>5227</v>
      </c>
      <c r="AB244" s="3" t="s">
        <v>74</v>
      </c>
      <c r="AC244" s="3" t="s">
        <v>5228</v>
      </c>
      <c r="AD244" s="3" t="s">
        <v>5229</v>
      </c>
      <c r="AE244" s="3" t="s">
        <v>5230</v>
      </c>
      <c r="AF244" s="3" t="s">
        <v>74</v>
      </c>
      <c r="AG244" s="3">
        <v>26</v>
      </c>
      <c r="AH244" s="3">
        <v>2</v>
      </c>
      <c r="AI244" s="3">
        <v>3</v>
      </c>
      <c r="AJ244" s="3">
        <v>0</v>
      </c>
      <c r="AK244" s="3">
        <v>34</v>
      </c>
      <c r="AL244" s="3" t="s">
        <v>5231</v>
      </c>
      <c r="AM244" s="3" t="s">
        <v>5232</v>
      </c>
      <c r="AN244" s="3" t="s">
        <v>5233</v>
      </c>
      <c r="AO244" s="3" t="s">
        <v>5234</v>
      </c>
      <c r="AP244" s="3" t="s">
        <v>74</v>
      </c>
      <c r="AQ244" s="3" t="s">
        <v>74</v>
      </c>
      <c r="AR244" s="3" t="s">
        <v>5231</v>
      </c>
      <c r="AS244" s="3" t="s">
        <v>5235</v>
      </c>
      <c r="AT244" s="3" t="s">
        <v>333</v>
      </c>
      <c r="AU244" s="3">
        <v>2016</v>
      </c>
      <c r="AV244" s="3">
        <v>41</v>
      </c>
      <c r="AW244" s="3">
        <v>3</v>
      </c>
      <c r="AX244" s="3" t="s">
        <v>74</v>
      </c>
      <c r="AY244" s="3" t="s">
        <v>74</v>
      </c>
      <c r="AZ244" s="3" t="s">
        <v>74</v>
      </c>
      <c r="BA244" s="3" t="s">
        <v>74</v>
      </c>
      <c r="BB244" s="3">
        <v>124</v>
      </c>
      <c r="BC244" s="3">
        <v>129</v>
      </c>
      <c r="BD244" s="3" t="s">
        <v>74</v>
      </c>
      <c r="BE244" s="3" t="s">
        <v>74</v>
      </c>
      <c r="BF244" s="3" t="s">
        <v>74</v>
      </c>
      <c r="BG244" s="3" t="s">
        <v>74</v>
      </c>
      <c r="BH244" s="3" t="s">
        <v>74</v>
      </c>
      <c r="BI244" s="3">
        <v>6</v>
      </c>
      <c r="BJ244" s="3" t="s">
        <v>5236</v>
      </c>
      <c r="BK244" s="3" t="s">
        <v>5237</v>
      </c>
      <c r="BL244" s="3" t="s">
        <v>5238</v>
      </c>
      <c r="BM244" s="3" t="s">
        <v>5239</v>
      </c>
      <c r="BN244" s="3" t="s">
        <v>74</v>
      </c>
      <c r="BO244" s="3" t="s">
        <v>74</v>
      </c>
      <c r="BP244" s="3" t="s">
        <v>74</v>
      </c>
      <c r="BQ244" s="3" t="s">
        <v>74</v>
      </c>
      <c r="BR244" s="3" t="s">
        <v>101</v>
      </c>
      <c r="BS244" s="3" t="s">
        <v>5240</v>
      </c>
      <c r="BT244" s="3" t="str">
        <f>HYPERLINK("https%3A%2F%2Fwww.webofscience.com%2Fwos%2Fwoscc%2Ffull-record%2FWOS:000390327100022","View Full Record in Web of Science")</f>
        <v>View Full Record in Web of Science</v>
      </c>
      <c r="BU244" s="3"/>
      <c r="BV244" s="3"/>
      <c r="BW244" s="1"/>
    </row>
    <row r="245" spans="1:75" x14ac:dyDescent="0.25">
      <c r="A245" s="3" t="s">
        <v>103</v>
      </c>
      <c r="B245" s="3" t="s">
        <v>5241</v>
      </c>
      <c r="C245" s="3" t="s">
        <v>74</v>
      </c>
      <c r="D245" s="3" t="s">
        <v>5242</v>
      </c>
      <c r="E245" s="3" t="s">
        <v>74</v>
      </c>
      <c r="F245" s="3" t="s">
        <v>5243</v>
      </c>
      <c r="G245" s="3" t="s">
        <v>74</v>
      </c>
      <c r="H245" s="3" t="s">
        <v>74</v>
      </c>
      <c r="I245" s="3" t="s">
        <v>5244</v>
      </c>
      <c r="J245" s="3" t="s">
        <v>5245</v>
      </c>
      <c r="K245" s="3" t="s">
        <v>5246</v>
      </c>
      <c r="L245" s="3" t="s">
        <v>74</v>
      </c>
      <c r="M245" s="3" t="s">
        <v>110</v>
      </c>
      <c r="N245" s="3" t="s">
        <v>111</v>
      </c>
      <c r="O245" s="3" t="s">
        <v>5247</v>
      </c>
      <c r="P245" s="3" t="s">
        <v>5248</v>
      </c>
      <c r="Q245" s="3" t="s">
        <v>5249</v>
      </c>
      <c r="R245" s="3" t="s">
        <v>74</v>
      </c>
      <c r="S245" s="3" t="s">
        <v>74</v>
      </c>
      <c r="T245" s="3" t="s">
        <v>5250</v>
      </c>
      <c r="U245" s="3" t="s">
        <v>5251</v>
      </c>
      <c r="V245" s="3" t="s">
        <v>5252</v>
      </c>
      <c r="W245" s="3" t="s">
        <v>5253</v>
      </c>
      <c r="X245" s="3" t="s">
        <v>2095</v>
      </c>
      <c r="Y245" s="3" t="s">
        <v>5254</v>
      </c>
      <c r="Z245" s="3" t="s">
        <v>5255</v>
      </c>
      <c r="AA245" s="3" t="s">
        <v>5256</v>
      </c>
      <c r="AB245" s="3" t="s">
        <v>74</v>
      </c>
      <c r="AC245" s="3" t="s">
        <v>74</v>
      </c>
      <c r="AD245" s="3" t="s">
        <v>74</v>
      </c>
      <c r="AE245" s="3" t="s">
        <v>74</v>
      </c>
      <c r="AF245" s="3" t="s">
        <v>74</v>
      </c>
      <c r="AG245" s="3">
        <v>16</v>
      </c>
      <c r="AH245" s="3">
        <v>0</v>
      </c>
      <c r="AI245" s="3">
        <v>0</v>
      </c>
      <c r="AJ245" s="3">
        <v>0</v>
      </c>
      <c r="AK245" s="3">
        <v>8</v>
      </c>
      <c r="AL245" s="3" t="s">
        <v>5257</v>
      </c>
      <c r="AM245" s="3" t="s">
        <v>5258</v>
      </c>
      <c r="AN245" s="3" t="s">
        <v>5259</v>
      </c>
      <c r="AO245" s="3" t="s">
        <v>5260</v>
      </c>
      <c r="AP245" s="3" t="s">
        <v>74</v>
      </c>
      <c r="AQ245" s="3" t="s">
        <v>5261</v>
      </c>
      <c r="AR245" s="3" t="s">
        <v>5262</v>
      </c>
      <c r="AS245" s="3" t="s">
        <v>74</v>
      </c>
      <c r="AT245" s="3" t="s">
        <v>74</v>
      </c>
      <c r="AU245" s="3">
        <v>2017</v>
      </c>
      <c r="AV245" s="3" t="s">
        <v>74</v>
      </c>
      <c r="AW245" s="3" t="s">
        <v>74</v>
      </c>
      <c r="AX245" s="3" t="s">
        <v>74</v>
      </c>
      <c r="AY245" s="3" t="s">
        <v>74</v>
      </c>
      <c r="AZ245" s="3" t="s">
        <v>74</v>
      </c>
      <c r="BA245" s="3" t="s">
        <v>74</v>
      </c>
      <c r="BB245" s="3">
        <v>616</v>
      </c>
      <c r="BC245" s="3">
        <v>622</v>
      </c>
      <c r="BD245" s="3" t="s">
        <v>74</v>
      </c>
      <c r="BE245" s="3" t="s">
        <v>74</v>
      </c>
      <c r="BF245" s="3" t="s">
        <v>74</v>
      </c>
      <c r="BG245" s="3" t="s">
        <v>74</v>
      </c>
      <c r="BH245" s="3" t="s">
        <v>74</v>
      </c>
      <c r="BI245" s="3">
        <v>7</v>
      </c>
      <c r="BJ245" s="3" t="s">
        <v>5263</v>
      </c>
      <c r="BK245" s="3" t="s">
        <v>130</v>
      </c>
      <c r="BL245" s="3" t="s">
        <v>5264</v>
      </c>
      <c r="BM245" s="3" t="s">
        <v>5265</v>
      </c>
      <c r="BN245" s="3" t="s">
        <v>74</v>
      </c>
      <c r="BO245" s="3" t="s">
        <v>74</v>
      </c>
      <c r="BP245" s="3" t="s">
        <v>74</v>
      </c>
      <c r="BQ245" s="3" t="s">
        <v>74</v>
      </c>
      <c r="BR245" s="3" t="s">
        <v>101</v>
      </c>
      <c r="BS245" s="3" t="s">
        <v>5266</v>
      </c>
      <c r="BT245" s="3" t="str">
        <f>HYPERLINK("https%3A%2F%2Fwww.webofscience.com%2Fwos%2Fwoscc%2Ffull-record%2FWOS:000444802100085","View Full Record in Web of Science")</f>
        <v>View Full Record in Web of Science</v>
      </c>
      <c r="BU245" s="3"/>
      <c r="BV245" s="3"/>
      <c r="BW245" s="1"/>
    </row>
    <row r="246" spans="1:75" x14ac:dyDescent="0.25">
      <c r="A246" s="3" t="s">
        <v>103</v>
      </c>
      <c r="B246" s="3" t="s">
        <v>5267</v>
      </c>
      <c r="C246" s="3" t="s">
        <v>74</v>
      </c>
      <c r="D246" s="3" t="s">
        <v>5268</v>
      </c>
      <c r="E246" s="3" t="s">
        <v>74</v>
      </c>
      <c r="F246" s="3" t="s">
        <v>5269</v>
      </c>
      <c r="G246" s="3" t="s">
        <v>74</v>
      </c>
      <c r="H246" s="3" t="s">
        <v>74</v>
      </c>
      <c r="I246" s="3" t="s">
        <v>5270</v>
      </c>
      <c r="J246" s="3" t="s">
        <v>5271</v>
      </c>
      <c r="K246" s="3" t="s">
        <v>109</v>
      </c>
      <c r="L246" s="3" t="s">
        <v>74</v>
      </c>
      <c r="M246" s="3" t="s">
        <v>110</v>
      </c>
      <c r="N246" s="3" t="s">
        <v>111</v>
      </c>
      <c r="O246" s="3" t="s">
        <v>5272</v>
      </c>
      <c r="P246" s="3" t="s">
        <v>5273</v>
      </c>
      <c r="Q246" s="3" t="s">
        <v>3651</v>
      </c>
      <c r="R246" s="3" t="s">
        <v>74</v>
      </c>
      <c r="S246" s="3" t="s">
        <v>74</v>
      </c>
      <c r="T246" s="3" t="s">
        <v>5274</v>
      </c>
      <c r="U246" s="3" t="s">
        <v>74</v>
      </c>
      <c r="V246" s="3" t="s">
        <v>5275</v>
      </c>
      <c r="W246" s="3" t="s">
        <v>5276</v>
      </c>
      <c r="X246" s="3" t="s">
        <v>1843</v>
      </c>
      <c r="Y246" s="3" t="s">
        <v>5277</v>
      </c>
      <c r="Z246" s="3" t="s">
        <v>4652</v>
      </c>
      <c r="AA246" s="3" t="s">
        <v>1846</v>
      </c>
      <c r="AB246" s="3" t="s">
        <v>5278</v>
      </c>
      <c r="AC246" s="3" t="s">
        <v>74</v>
      </c>
      <c r="AD246" s="3" t="s">
        <v>74</v>
      </c>
      <c r="AE246" s="3" t="s">
        <v>74</v>
      </c>
      <c r="AF246" s="3" t="s">
        <v>74</v>
      </c>
      <c r="AG246" s="3">
        <v>26</v>
      </c>
      <c r="AH246" s="3">
        <v>26</v>
      </c>
      <c r="AI246" s="3">
        <v>32</v>
      </c>
      <c r="AJ246" s="3">
        <v>1</v>
      </c>
      <c r="AK246" s="3">
        <v>19</v>
      </c>
      <c r="AL246" s="3" t="s">
        <v>123</v>
      </c>
      <c r="AM246" s="3" t="s">
        <v>124</v>
      </c>
      <c r="AN246" s="3" t="s">
        <v>125</v>
      </c>
      <c r="AO246" s="3" t="s">
        <v>126</v>
      </c>
      <c r="AP246" s="3" t="s">
        <v>74</v>
      </c>
      <c r="AQ246" s="3" t="s">
        <v>74</v>
      </c>
      <c r="AR246" s="3" t="s">
        <v>127</v>
      </c>
      <c r="AS246" s="3" t="s">
        <v>74</v>
      </c>
      <c r="AT246" s="3" t="s">
        <v>74</v>
      </c>
      <c r="AU246" s="3">
        <v>2016</v>
      </c>
      <c r="AV246" s="3">
        <v>14</v>
      </c>
      <c r="AW246" s="3" t="s">
        <v>74</v>
      </c>
      <c r="AX246" s="3" t="s">
        <v>74</v>
      </c>
      <c r="AY246" s="3" t="s">
        <v>74</v>
      </c>
      <c r="AZ246" s="3" t="s">
        <v>74</v>
      </c>
      <c r="BA246" s="3" t="s">
        <v>74</v>
      </c>
      <c r="BB246" s="3">
        <v>983</v>
      </c>
      <c r="BC246" s="3">
        <v>992</v>
      </c>
      <c r="BD246" s="3" t="s">
        <v>74</v>
      </c>
      <c r="BE246" s="3" t="s">
        <v>5279</v>
      </c>
      <c r="BF246" s="3" t="str">
        <f>HYPERLINK("http://dx.doi.org/10.1016/j.trpro.2016.05.078","http://dx.doi.org/10.1016/j.trpro.2016.05.078")</f>
        <v>http://dx.doi.org/10.1016/j.trpro.2016.05.078</v>
      </c>
      <c r="BG246" s="3" t="s">
        <v>74</v>
      </c>
      <c r="BH246" s="3" t="s">
        <v>74</v>
      </c>
      <c r="BI246" s="3">
        <v>10</v>
      </c>
      <c r="BJ246" s="3" t="s">
        <v>129</v>
      </c>
      <c r="BK246" s="3" t="s">
        <v>130</v>
      </c>
      <c r="BL246" s="3" t="s">
        <v>131</v>
      </c>
      <c r="BM246" s="3" t="s">
        <v>5280</v>
      </c>
      <c r="BN246" s="3" t="s">
        <v>74</v>
      </c>
      <c r="BO246" s="3" t="s">
        <v>100</v>
      </c>
      <c r="BP246" s="3" t="s">
        <v>74</v>
      </c>
      <c r="BQ246" s="3" t="s">
        <v>74</v>
      </c>
      <c r="BR246" s="3" t="s">
        <v>101</v>
      </c>
      <c r="BS246" s="3" t="s">
        <v>5281</v>
      </c>
      <c r="BT246" s="3" t="str">
        <f>HYPERLINK("https%3A%2F%2Fwww.webofscience.com%2Fwos%2Fwoscc%2Ffull-record%2FWOS:000383251001006","View Full Record in Web of Science")</f>
        <v>View Full Record in Web of Science</v>
      </c>
      <c r="BU246" s="3"/>
      <c r="BV246" s="3"/>
      <c r="BW246" s="1"/>
    </row>
    <row r="247" spans="1:75" x14ac:dyDescent="0.25">
      <c r="A247" s="3" t="s">
        <v>103</v>
      </c>
      <c r="B247" s="3" t="s">
        <v>5282</v>
      </c>
      <c r="C247" s="3" t="s">
        <v>74</v>
      </c>
      <c r="D247" s="3" t="s">
        <v>5103</v>
      </c>
      <c r="E247" s="3" t="s">
        <v>74</v>
      </c>
      <c r="F247" s="3" t="s">
        <v>5283</v>
      </c>
      <c r="G247" s="3" t="s">
        <v>74</v>
      </c>
      <c r="H247" s="3" t="s">
        <v>74</v>
      </c>
      <c r="I247" s="3" t="s">
        <v>5284</v>
      </c>
      <c r="J247" s="3" t="s">
        <v>5285</v>
      </c>
      <c r="K247" s="3" t="s">
        <v>109</v>
      </c>
      <c r="L247" s="3" t="s">
        <v>74</v>
      </c>
      <c r="M247" s="3" t="s">
        <v>110</v>
      </c>
      <c r="N247" s="3" t="s">
        <v>111</v>
      </c>
      <c r="O247" s="3" t="s">
        <v>5286</v>
      </c>
      <c r="P247" s="3" t="s">
        <v>5287</v>
      </c>
      <c r="Q247" s="3" t="s">
        <v>5109</v>
      </c>
      <c r="R247" s="3" t="s">
        <v>74</v>
      </c>
      <c r="S247" s="3" t="s">
        <v>74</v>
      </c>
      <c r="T247" s="3" t="s">
        <v>5288</v>
      </c>
      <c r="U247" s="3" t="s">
        <v>74</v>
      </c>
      <c r="V247" s="3" t="s">
        <v>5289</v>
      </c>
      <c r="W247" s="3" t="s">
        <v>5290</v>
      </c>
      <c r="X247" s="3" t="s">
        <v>5291</v>
      </c>
      <c r="Y247" s="3" t="s">
        <v>5292</v>
      </c>
      <c r="Z247" s="3" t="s">
        <v>5293</v>
      </c>
      <c r="AA247" s="3" t="s">
        <v>74</v>
      </c>
      <c r="AB247" s="3" t="s">
        <v>74</v>
      </c>
      <c r="AC247" s="3" t="s">
        <v>74</v>
      </c>
      <c r="AD247" s="3" t="s">
        <v>74</v>
      </c>
      <c r="AE247" s="3" t="s">
        <v>74</v>
      </c>
      <c r="AF247" s="3" t="s">
        <v>74</v>
      </c>
      <c r="AG247" s="3">
        <v>11</v>
      </c>
      <c r="AH247" s="3">
        <v>6</v>
      </c>
      <c r="AI247" s="3">
        <v>7</v>
      </c>
      <c r="AJ247" s="3">
        <v>0</v>
      </c>
      <c r="AK247" s="3">
        <v>7</v>
      </c>
      <c r="AL247" s="3" t="s">
        <v>123</v>
      </c>
      <c r="AM247" s="3" t="s">
        <v>124</v>
      </c>
      <c r="AN247" s="3" t="s">
        <v>125</v>
      </c>
      <c r="AO247" s="3" t="s">
        <v>126</v>
      </c>
      <c r="AP247" s="3" t="s">
        <v>74</v>
      </c>
      <c r="AQ247" s="3" t="s">
        <v>74</v>
      </c>
      <c r="AR247" s="3" t="s">
        <v>127</v>
      </c>
      <c r="AS247" s="3" t="s">
        <v>74</v>
      </c>
      <c r="AT247" s="3" t="s">
        <v>74</v>
      </c>
      <c r="AU247" s="3">
        <v>2016</v>
      </c>
      <c r="AV247" s="3">
        <v>16</v>
      </c>
      <c r="AW247" s="3" t="s">
        <v>74</v>
      </c>
      <c r="AX247" s="3" t="s">
        <v>74</v>
      </c>
      <c r="AY247" s="3" t="s">
        <v>74</v>
      </c>
      <c r="AZ247" s="3" t="s">
        <v>74</v>
      </c>
      <c r="BA247" s="3" t="s">
        <v>74</v>
      </c>
      <c r="BB247" s="3">
        <v>89</v>
      </c>
      <c r="BC247" s="3">
        <v>103</v>
      </c>
      <c r="BD247" s="3" t="s">
        <v>74</v>
      </c>
      <c r="BE247" s="3" t="s">
        <v>5294</v>
      </c>
      <c r="BF247" s="3" t="str">
        <f>HYPERLINK("http://dx.doi.org/10.1016/j.trpro.2016.11.010","http://dx.doi.org/10.1016/j.trpro.2016.11.010")</f>
        <v>http://dx.doi.org/10.1016/j.trpro.2016.11.010</v>
      </c>
      <c r="BG247" s="3" t="s">
        <v>74</v>
      </c>
      <c r="BH247" s="3" t="s">
        <v>74</v>
      </c>
      <c r="BI247" s="3">
        <v>15</v>
      </c>
      <c r="BJ247" s="3" t="s">
        <v>5295</v>
      </c>
      <c r="BK247" s="3" t="s">
        <v>2556</v>
      </c>
      <c r="BL247" s="3" t="s">
        <v>5296</v>
      </c>
      <c r="BM247" s="3" t="s">
        <v>5297</v>
      </c>
      <c r="BN247" s="3" t="s">
        <v>74</v>
      </c>
      <c r="BO247" s="3" t="s">
        <v>100</v>
      </c>
      <c r="BP247" s="3" t="s">
        <v>74</v>
      </c>
      <c r="BQ247" s="3" t="s">
        <v>74</v>
      </c>
      <c r="BR247" s="3" t="s">
        <v>101</v>
      </c>
      <c r="BS247" s="3" t="s">
        <v>5298</v>
      </c>
      <c r="BT247" s="3" t="str">
        <f>HYPERLINK("https%3A%2F%2Fwww.webofscience.com%2Fwos%2Fwoscc%2Ffull-record%2FWOS:000390612800009","View Full Record in Web of Science")</f>
        <v>View Full Record in Web of Science</v>
      </c>
      <c r="BU247" s="3"/>
      <c r="BV247" s="3"/>
      <c r="BW247" s="1"/>
    </row>
    <row r="248" spans="1:75" x14ac:dyDescent="0.25">
      <c r="A248" s="3" t="s">
        <v>103</v>
      </c>
      <c r="B248" s="3" t="s">
        <v>5299</v>
      </c>
      <c r="C248" s="3" t="s">
        <v>74</v>
      </c>
      <c r="D248" s="3" t="s">
        <v>74</v>
      </c>
      <c r="E248" s="3" t="s">
        <v>199</v>
      </c>
      <c r="F248" s="3" t="s">
        <v>5300</v>
      </c>
      <c r="G248" s="3" t="s">
        <v>74</v>
      </c>
      <c r="H248" s="3" t="s">
        <v>74</v>
      </c>
      <c r="I248" s="3" t="s">
        <v>5301</v>
      </c>
      <c r="J248" s="3" t="s">
        <v>5302</v>
      </c>
      <c r="K248" s="3" t="s">
        <v>74</v>
      </c>
      <c r="L248" s="3" t="s">
        <v>74</v>
      </c>
      <c r="M248" s="3" t="s">
        <v>110</v>
      </c>
      <c r="N248" s="3" t="s">
        <v>111</v>
      </c>
      <c r="O248" s="3" t="s">
        <v>5303</v>
      </c>
      <c r="P248" s="3" t="s">
        <v>5304</v>
      </c>
      <c r="Q248" s="3" t="s">
        <v>5305</v>
      </c>
      <c r="R248" s="3" t="s">
        <v>74</v>
      </c>
      <c r="S248" s="3" t="s">
        <v>5306</v>
      </c>
      <c r="T248" s="3" t="s">
        <v>5307</v>
      </c>
      <c r="U248" s="3" t="s">
        <v>5308</v>
      </c>
      <c r="V248" s="3" t="s">
        <v>5309</v>
      </c>
      <c r="W248" s="3" t="s">
        <v>5310</v>
      </c>
      <c r="X248" s="3" t="s">
        <v>5311</v>
      </c>
      <c r="Y248" s="3" t="s">
        <v>5312</v>
      </c>
      <c r="Z248" s="3" t="s">
        <v>5313</v>
      </c>
      <c r="AA248" s="3" t="s">
        <v>5314</v>
      </c>
      <c r="AB248" s="3" t="s">
        <v>5315</v>
      </c>
      <c r="AC248" s="3" t="s">
        <v>74</v>
      </c>
      <c r="AD248" s="3" t="s">
        <v>74</v>
      </c>
      <c r="AE248" s="3" t="s">
        <v>74</v>
      </c>
      <c r="AF248" s="3" t="s">
        <v>74</v>
      </c>
      <c r="AG248" s="3">
        <v>26</v>
      </c>
      <c r="AH248" s="3">
        <v>3</v>
      </c>
      <c r="AI248" s="3">
        <v>3</v>
      </c>
      <c r="AJ248" s="3">
        <v>1</v>
      </c>
      <c r="AK248" s="3">
        <v>10</v>
      </c>
      <c r="AL248" s="3" t="s">
        <v>199</v>
      </c>
      <c r="AM248" s="3" t="s">
        <v>200</v>
      </c>
      <c r="AN248" s="3" t="s">
        <v>201</v>
      </c>
      <c r="AO248" s="3" t="s">
        <v>74</v>
      </c>
      <c r="AP248" s="3" t="s">
        <v>74</v>
      </c>
      <c r="AQ248" s="3" t="s">
        <v>5316</v>
      </c>
      <c r="AR248" s="3" t="s">
        <v>74</v>
      </c>
      <c r="AS248" s="3" t="s">
        <v>74</v>
      </c>
      <c r="AT248" s="3" t="s">
        <v>74</v>
      </c>
      <c r="AU248" s="3">
        <v>2015</v>
      </c>
      <c r="AV248" s="3" t="s">
        <v>74</v>
      </c>
      <c r="AW248" s="3" t="s">
        <v>74</v>
      </c>
      <c r="AX248" s="3" t="s">
        <v>74</v>
      </c>
      <c r="AY248" s="3" t="s">
        <v>74</v>
      </c>
      <c r="AZ248" s="3" t="s">
        <v>74</v>
      </c>
      <c r="BA248" s="3" t="s">
        <v>74</v>
      </c>
      <c r="BB248" s="3">
        <v>178</v>
      </c>
      <c r="BC248" s="3">
        <v>182</v>
      </c>
      <c r="BD248" s="3" t="s">
        <v>74</v>
      </c>
      <c r="BE248" s="3" t="s">
        <v>74</v>
      </c>
      <c r="BF248" s="3" t="s">
        <v>74</v>
      </c>
      <c r="BG248" s="3" t="s">
        <v>74</v>
      </c>
      <c r="BH248" s="3" t="s">
        <v>74</v>
      </c>
      <c r="BI248" s="3">
        <v>5</v>
      </c>
      <c r="BJ248" s="3" t="s">
        <v>5317</v>
      </c>
      <c r="BK248" s="3" t="s">
        <v>208</v>
      </c>
      <c r="BL248" s="3" t="s">
        <v>411</v>
      </c>
      <c r="BM248" s="3" t="s">
        <v>5318</v>
      </c>
      <c r="BN248" s="3" t="s">
        <v>74</v>
      </c>
      <c r="BO248" s="3" t="s">
        <v>74</v>
      </c>
      <c r="BP248" s="3" t="s">
        <v>74</v>
      </c>
      <c r="BQ248" s="3" t="s">
        <v>74</v>
      </c>
      <c r="BR248" s="3" t="s">
        <v>101</v>
      </c>
      <c r="BS248" s="3" t="s">
        <v>5319</v>
      </c>
      <c r="BT248" s="3" t="str">
        <f>HYPERLINK("https%3A%2F%2Fwww.webofscience.com%2Fwos%2Fwoscc%2Ffull-record%2FWOS:000411330300024","View Full Record in Web of Science")</f>
        <v>View Full Record in Web of Science</v>
      </c>
      <c r="BU248" s="3"/>
      <c r="BV248" s="3"/>
      <c r="BW248" s="1"/>
    </row>
    <row r="249" spans="1:75" x14ac:dyDescent="0.25">
      <c r="A249" s="3" t="s">
        <v>103</v>
      </c>
      <c r="B249" s="3" t="s">
        <v>5320</v>
      </c>
      <c r="C249" s="3" t="s">
        <v>74</v>
      </c>
      <c r="D249" s="3" t="s">
        <v>5321</v>
      </c>
      <c r="E249" s="3" t="s">
        <v>74</v>
      </c>
      <c r="F249" s="3" t="s">
        <v>5322</v>
      </c>
      <c r="G249" s="3" t="s">
        <v>74</v>
      </c>
      <c r="H249" s="3" t="s">
        <v>74</v>
      </c>
      <c r="I249" s="3" t="s">
        <v>5323</v>
      </c>
      <c r="J249" s="3" t="s">
        <v>5324</v>
      </c>
      <c r="K249" s="3" t="s">
        <v>74</v>
      </c>
      <c r="L249" s="3" t="s">
        <v>74</v>
      </c>
      <c r="M249" s="3" t="s">
        <v>110</v>
      </c>
      <c r="N249" s="3" t="s">
        <v>111</v>
      </c>
      <c r="O249" s="3" t="s">
        <v>5325</v>
      </c>
      <c r="P249" s="3" t="s">
        <v>5326</v>
      </c>
      <c r="Q249" s="3" t="s">
        <v>5327</v>
      </c>
      <c r="R249" s="3" t="s">
        <v>74</v>
      </c>
      <c r="S249" s="3" t="s">
        <v>5328</v>
      </c>
      <c r="T249" s="3" t="s">
        <v>5329</v>
      </c>
      <c r="U249" s="3" t="s">
        <v>74</v>
      </c>
      <c r="V249" s="3" t="s">
        <v>5330</v>
      </c>
      <c r="W249" s="3" t="s">
        <v>5331</v>
      </c>
      <c r="X249" s="3" t="s">
        <v>5332</v>
      </c>
      <c r="Y249" s="3" t="s">
        <v>74</v>
      </c>
      <c r="Z249" s="3" t="s">
        <v>5333</v>
      </c>
      <c r="AA249" s="3" t="s">
        <v>5334</v>
      </c>
      <c r="AB249" s="3" t="s">
        <v>74</v>
      </c>
      <c r="AC249" s="3" t="s">
        <v>74</v>
      </c>
      <c r="AD249" s="3" t="s">
        <v>74</v>
      </c>
      <c r="AE249" s="3" t="s">
        <v>74</v>
      </c>
      <c r="AF249" s="3" t="s">
        <v>74</v>
      </c>
      <c r="AG249" s="3">
        <v>6</v>
      </c>
      <c r="AH249" s="3">
        <v>0</v>
      </c>
      <c r="AI249" s="3">
        <v>0</v>
      </c>
      <c r="AJ249" s="3">
        <v>1</v>
      </c>
      <c r="AK249" s="3">
        <v>7</v>
      </c>
      <c r="AL249" s="3" t="s">
        <v>5335</v>
      </c>
      <c r="AM249" s="3" t="s">
        <v>5336</v>
      </c>
      <c r="AN249" s="3" t="s">
        <v>5337</v>
      </c>
      <c r="AO249" s="3" t="s">
        <v>74</v>
      </c>
      <c r="AP249" s="3" t="s">
        <v>74</v>
      </c>
      <c r="AQ249" s="3" t="s">
        <v>5338</v>
      </c>
      <c r="AR249" s="3" t="s">
        <v>74</v>
      </c>
      <c r="AS249" s="3" t="s">
        <v>74</v>
      </c>
      <c r="AT249" s="3" t="s">
        <v>74</v>
      </c>
      <c r="AU249" s="3">
        <v>2010</v>
      </c>
      <c r="AV249" s="3" t="s">
        <v>74</v>
      </c>
      <c r="AW249" s="3" t="s">
        <v>74</v>
      </c>
      <c r="AX249" s="3" t="s">
        <v>74</v>
      </c>
      <c r="AY249" s="3" t="s">
        <v>74</v>
      </c>
      <c r="AZ249" s="3" t="s">
        <v>74</v>
      </c>
      <c r="BA249" s="3" t="s">
        <v>74</v>
      </c>
      <c r="BB249" s="3">
        <v>558</v>
      </c>
      <c r="BC249" s="3">
        <v>562</v>
      </c>
      <c r="BD249" s="3" t="s">
        <v>74</v>
      </c>
      <c r="BE249" s="3" t="s">
        <v>74</v>
      </c>
      <c r="BF249" s="3" t="s">
        <v>74</v>
      </c>
      <c r="BG249" s="3" t="s">
        <v>74</v>
      </c>
      <c r="BH249" s="3" t="s">
        <v>74</v>
      </c>
      <c r="BI249" s="3">
        <v>5</v>
      </c>
      <c r="BJ249" s="3" t="s">
        <v>96</v>
      </c>
      <c r="BK249" s="3" t="s">
        <v>2556</v>
      </c>
      <c r="BL249" s="3" t="s">
        <v>98</v>
      </c>
      <c r="BM249" s="3" t="s">
        <v>5339</v>
      </c>
      <c r="BN249" s="3" t="s">
        <v>74</v>
      </c>
      <c r="BO249" s="3" t="s">
        <v>74</v>
      </c>
      <c r="BP249" s="3" t="s">
        <v>74</v>
      </c>
      <c r="BQ249" s="3" t="s">
        <v>74</v>
      </c>
      <c r="BR249" s="3" t="s">
        <v>101</v>
      </c>
      <c r="BS249" s="3" t="s">
        <v>5340</v>
      </c>
      <c r="BT249" s="3" t="str">
        <f>HYPERLINK("https%3A%2F%2Fwww.webofscience.com%2Fwos%2Fwoscc%2Ffull-record%2FWOS:000296677800094","View Full Record in Web of Science")</f>
        <v>View Full Record in Web of Science</v>
      </c>
      <c r="BU249" s="3"/>
      <c r="BV249" s="3"/>
      <c r="BW249" s="1"/>
    </row>
    <row r="250" spans="1:75" x14ac:dyDescent="0.25">
      <c r="A250" s="3" t="s">
        <v>72</v>
      </c>
      <c r="B250" s="3" t="s">
        <v>5341</v>
      </c>
      <c r="C250" s="3" t="s">
        <v>74</v>
      </c>
      <c r="D250" s="3" t="s">
        <v>74</v>
      </c>
      <c r="E250" s="3" t="s">
        <v>74</v>
      </c>
      <c r="F250" s="3" t="s">
        <v>5342</v>
      </c>
      <c r="G250" s="3" t="s">
        <v>74</v>
      </c>
      <c r="H250" s="3" t="s">
        <v>74</v>
      </c>
      <c r="I250" s="3" t="s">
        <v>5343</v>
      </c>
      <c r="J250" s="3" t="s">
        <v>138</v>
      </c>
      <c r="K250" s="3" t="s">
        <v>74</v>
      </c>
      <c r="L250" s="3" t="s">
        <v>74</v>
      </c>
      <c r="M250" s="3" t="s">
        <v>110</v>
      </c>
      <c r="N250" s="3" t="s">
        <v>79</v>
      </c>
      <c r="O250" s="3" t="s">
        <v>74</v>
      </c>
      <c r="P250" s="3" t="s">
        <v>74</v>
      </c>
      <c r="Q250" s="3" t="s">
        <v>74</v>
      </c>
      <c r="R250" s="3" t="s">
        <v>74</v>
      </c>
      <c r="S250" s="3" t="s">
        <v>74</v>
      </c>
      <c r="T250" s="3" t="s">
        <v>5344</v>
      </c>
      <c r="U250" s="3" t="s">
        <v>5345</v>
      </c>
      <c r="V250" s="3" t="s">
        <v>5346</v>
      </c>
      <c r="W250" s="3" t="s">
        <v>5347</v>
      </c>
      <c r="X250" s="3" t="s">
        <v>3357</v>
      </c>
      <c r="Y250" s="3" t="s">
        <v>5348</v>
      </c>
      <c r="Z250" s="3" t="s">
        <v>5349</v>
      </c>
      <c r="AA250" s="3" t="s">
        <v>5350</v>
      </c>
      <c r="AB250" s="3" t="s">
        <v>5351</v>
      </c>
      <c r="AC250" s="3" t="s">
        <v>74</v>
      </c>
      <c r="AD250" s="3" t="s">
        <v>74</v>
      </c>
      <c r="AE250" s="3" t="s">
        <v>74</v>
      </c>
      <c r="AF250" s="3" t="s">
        <v>74</v>
      </c>
      <c r="AG250" s="3">
        <v>51</v>
      </c>
      <c r="AH250" s="3">
        <v>0</v>
      </c>
      <c r="AI250" s="3">
        <v>0</v>
      </c>
      <c r="AJ250" s="3">
        <v>1</v>
      </c>
      <c r="AK250" s="3">
        <v>4</v>
      </c>
      <c r="AL250" s="3" t="s">
        <v>145</v>
      </c>
      <c r="AM250" s="3" t="s">
        <v>146</v>
      </c>
      <c r="AN250" s="3" t="s">
        <v>147</v>
      </c>
      <c r="AO250" s="3" t="s">
        <v>74</v>
      </c>
      <c r="AP250" s="3" t="s">
        <v>148</v>
      </c>
      <c r="AQ250" s="3" t="s">
        <v>74</v>
      </c>
      <c r="AR250" s="3" t="s">
        <v>149</v>
      </c>
      <c r="AS250" s="3" t="s">
        <v>150</v>
      </c>
      <c r="AT250" s="3" t="s">
        <v>592</v>
      </c>
      <c r="AU250" s="3">
        <v>2024</v>
      </c>
      <c r="AV250" s="3">
        <v>16</v>
      </c>
      <c r="AW250" s="3">
        <v>22</v>
      </c>
      <c r="AX250" s="3" t="s">
        <v>74</v>
      </c>
      <c r="AY250" s="3" t="s">
        <v>74</v>
      </c>
      <c r="AZ250" s="3" t="s">
        <v>74</v>
      </c>
      <c r="BA250" s="3" t="s">
        <v>74</v>
      </c>
      <c r="BB250" s="3" t="s">
        <v>74</v>
      </c>
      <c r="BC250" s="3" t="s">
        <v>74</v>
      </c>
      <c r="BD250" s="3">
        <v>9721</v>
      </c>
      <c r="BE250" s="3" t="s">
        <v>5352</v>
      </c>
      <c r="BF250" s="3" t="str">
        <f>HYPERLINK("http://dx.doi.org/10.3390/su16229721","http://dx.doi.org/10.3390/su16229721")</f>
        <v>http://dx.doi.org/10.3390/su16229721</v>
      </c>
      <c r="BG250" s="3" t="s">
        <v>74</v>
      </c>
      <c r="BH250" s="3" t="s">
        <v>74</v>
      </c>
      <c r="BI250" s="3">
        <v>14</v>
      </c>
      <c r="BJ250" s="3" t="s">
        <v>153</v>
      </c>
      <c r="BK250" s="3" t="s">
        <v>154</v>
      </c>
      <c r="BL250" s="3" t="s">
        <v>155</v>
      </c>
      <c r="BM250" s="3" t="s">
        <v>5353</v>
      </c>
      <c r="BN250" s="3" t="s">
        <v>74</v>
      </c>
      <c r="BO250" s="3" t="s">
        <v>100</v>
      </c>
      <c r="BP250" s="3" t="s">
        <v>74</v>
      </c>
      <c r="BQ250" s="3" t="s">
        <v>74</v>
      </c>
      <c r="BR250" s="3" t="s">
        <v>101</v>
      </c>
      <c r="BS250" s="3" t="s">
        <v>5354</v>
      </c>
      <c r="BT250" s="3" t="str">
        <f>HYPERLINK("https%3A%2F%2Fwww.webofscience.com%2Fwos%2Fwoscc%2Ffull-record%2FWOS:001366477800001","View Full Record in Web of Science")</f>
        <v>View Full Record in Web of Science</v>
      </c>
      <c r="BU250" s="3"/>
      <c r="BV250" s="3"/>
      <c r="BW250" s="1"/>
    </row>
    <row r="251" spans="1:75" x14ac:dyDescent="0.25">
      <c r="A251" s="3" t="s">
        <v>72</v>
      </c>
      <c r="B251" s="3" t="s">
        <v>5355</v>
      </c>
      <c r="C251" s="3" t="s">
        <v>74</v>
      </c>
      <c r="D251" s="3" t="s">
        <v>74</v>
      </c>
      <c r="E251" s="3" t="s">
        <v>74</v>
      </c>
      <c r="F251" s="3" t="s">
        <v>5356</v>
      </c>
      <c r="G251" s="3" t="s">
        <v>74</v>
      </c>
      <c r="H251" s="3" t="s">
        <v>74</v>
      </c>
      <c r="I251" s="3" t="s">
        <v>5357</v>
      </c>
      <c r="J251" s="3" t="s">
        <v>138</v>
      </c>
      <c r="K251" s="3" t="s">
        <v>74</v>
      </c>
      <c r="L251" s="3" t="s">
        <v>74</v>
      </c>
      <c r="M251" s="3" t="s">
        <v>110</v>
      </c>
      <c r="N251" s="3" t="s">
        <v>216</v>
      </c>
      <c r="O251" s="3" t="s">
        <v>74</v>
      </c>
      <c r="P251" s="3" t="s">
        <v>74</v>
      </c>
      <c r="Q251" s="3" t="s">
        <v>74</v>
      </c>
      <c r="R251" s="3" t="s">
        <v>74</v>
      </c>
      <c r="S251" s="3" t="s">
        <v>74</v>
      </c>
      <c r="T251" s="3" t="s">
        <v>5358</v>
      </c>
      <c r="U251" s="3" t="s">
        <v>5359</v>
      </c>
      <c r="V251" s="3" t="s">
        <v>5360</v>
      </c>
      <c r="W251" s="3" t="s">
        <v>5361</v>
      </c>
      <c r="X251" s="3" t="s">
        <v>5362</v>
      </c>
      <c r="Y251" s="3" t="s">
        <v>5363</v>
      </c>
      <c r="Z251" s="3" t="s">
        <v>5364</v>
      </c>
      <c r="AA251" s="3" t="s">
        <v>5365</v>
      </c>
      <c r="AB251" s="3" t="s">
        <v>5366</v>
      </c>
      <c r="AC251" s="3" t="s">
        <v>5367</v>
      </c>
      <c r="AD251" s="3" t="s">
        <v>5368</v>
      </c>
      <c r="AE251" s="3" t="s">
        <v>5369</v>
      </c>
      <c r="AF251" s="3" t="s">
        <v>74</v>
      </c>
      <c r="AG251" s="3">
        <v>183</v>
      </c>
      <c r="AH251" s="3">
        <v>102</v>
      </c>
      <c r="AI251" s="3">
        <v>125</v>
      </c>
      <c r="AJ251" s="3">
        <v>12</v>
      </c>
      <c r="AK251" s="3">
        <v>289</v>
      </c>
      <c r="AL251" s="3" t="s">
        <v>145</v>
      </c>
      <c r="AM251" s="3" t="s">
        <v>146</v>
      </c>
      <c r="AN251" s="3" t="s">
        <v>147</v>
      </c>
      <c r="AO251" s="3" t="s">
        <v>74</v>
      </c>
      <c r="AP251" s="3" t="s">
        <v>148</v>
      </c>
      <c r="AQ251" s="3" t="s">
        <v>74</v>
      </c>
      <c r="AR251" s="3" t="s">
        <v>149</v>
      </c>
      <c r="AS251" s="3" t="s">
        <v>150</v>
      </c>
      <c r="AT251" s="3" t="s">
        <v>260</v>
      </c>
      <c r="AU251" s="3">
        <v>2021</v>
      </c>
      <c r="AV251" s="3">
        <v>13</v>
      </c>
      <c r="AW251" s="3">
        <v>1</v>
      </c>
      <c r="AX251" s="3" t="s">
        <v>74</v>
      </c>
      <c r="AY251" s="3" t="s">
        <v>74</v>
      </c>
      <c r="AZ251" s="3" t="s">
        <v>74</v>
      </c>
      <c r="BA251" s="3" t="s">
        <v>74</v>
      </c>
      <c r="BB251" s="3" t="s">
        <v>74</v>
      </c>
      <c r="BC251" s="3" t="s">
        <v>74</v>
      </c>
      <c r="BD251" s="3">
        <v>6</v>
      </c>
      <c r="BE251" s="3" t="s">
        <v>5370</v>
      </c>
      <c r="BF251" s="3" t="str">
        <f>HYPERLINK("http://dx.doi.org/10.3390/su13010006","http://dx.doi.org/10.3390/su13010006")</f>
        <v>http://dx.doi.org/10.3390/su13010006</v>
      </c>
      <c r="BG251" s="3" t="s">
        <v>74</v>
      </c>
      <c r="BH251" s="3" t="s">
        <v>74</v>
      </c>
      <c r="BI251" s="3">
        <v>29</v>
      </c>
      <c r="BJ251" s="3" t="s">
        <v>153</v>
      </c>
      <c r="BK251" s="3" t="s">
        <v>154</v>
      </c>
      <c r="BL251" s="3" t="s">
        <v>155</v>
      </c>
      <c r="BM251" s="3" t="s">
        <v>5371</v>
      </c>
      <c r="BN251" s="3" t="s">
        <v>74</v>
      </c>
      <c r="BO251" s="3" t="s">
        <v>133</v>
      </c>
      <c r="BP251" s="3" t="s">
        <v>74</v>
      </c>
      <c r="BQ251" s="3" t="s">
        <v>74</v>
      </c>
      <c r="BR251" s="3" t="s">
        <v>101</v>
      </c>
      <c r="BS251" s="3" t="s">
        <v>5372</v>
      </c>
      <c r="BT251" s="3" t="str">
        <f>HYPERLINK("https%3A%2F%2Fwww.webofscience.com%2Fwos%2Fwoscc%2Ffull-record%2FWOS:000606766600001","View Full Record in Web of Science")</f>
        <v>View Full Record in Web of Science</v>
      </c>
      <c r="BU251" s="3"/>
      <c r="BV251" s="3"/>
      <c r="BW251" s="1"/>
    </row>
    <row r="252" spans="1:75" x14ac:dyDescent="0.25">
      <c r="A252" s="3" t="s">
        <v>72</v>
      </c>
      <c r="B252" s="3" t="s">
        <v>5373</v>
      </c>
      <c r="C252" s="3" t="s">
        <v>74</v>
      </c>
      <c r="D252" s="3" t="s">
        <v>74</v>
      </c>
      <c r="E252" s="3" t="s">
        <v>74</v>
      </c>
      <c r="F252" s="3" t="s">
        <v>5374</v>
      </c>
      <c r="G252" s="3" t="s">
        <v>74</v>
      </c>
      <c r="H252" s="3" t="s">
        <v>74</v>
      </c>
      <c r="I252" s="3" t="s">
        <v>5375</v>
      </c>
      <c r="J252" s="3" t="s">
        <v>5376</v>
      </c>
      <c r="K252" s="3" t="s">
        <v>74</v>
      </c>
      <c r="L252" s="3" t="s">
        <v>74</v>
      </c>
      <c r="M252" s="3" t="s">
        <v>110</v>
      </c>
      <c r="N252" s="3" t="s">
        <v>79</v>
      </c>
      <c r="O252" s="3" t="s">
        <v>74</v>
      </c>
      <c r="P252" s="3" t="s">
        <v>74</v>
      </c>
      <c r="Q252" s="3" t="s">
        <v>74</v>
      </c>
      <c r="R252" s="3" t="s">
        <v>74</v>
      </c>
      <c r="S252" s="3" t="s">
        <v>74</v>
      </c>
      <c r="T252" s="3" t="s">
        <v>5377</v>
      </c>
      <c r="U252" s="3" t="s">
        <v>5378</v>
      </c>
      <c r="V252" s="3" t="s">
        <v>5379</v>
      </c>
      <c r="W252" s="3" t="s">
        <v>5380</v>
      </c>
      <c r="X252" s="3" t="s">
        <v>5381</v>
      </c>
      <c r="Y252" s="3" t="s">
        <v>5382</v>
      </c>
      <c r="Z252" s="3" t="s">
        <v>5383</v>
      </c>
      <c r="AA252" s="3" t="s">
        <v>5384</v>
      </c>
      <c r="AB252" s="3" t="s">
        <v>5385</v>
      </c>
      <c r="AC252" s="3" t="s">
        <v>5386</v>
      </c>
      <c r="AD252" s="3" t="s">
        <v>5386</v>
      </c>
      <c r="AE252" s="3" t="s">
        <v>5387</v>
      </c>
      <c r="AF252" s="3" t="s">
        <v>74</v>
      </c>
      <c r="AG252" s="3">
        <v>63</v>
      </c>
      <c r="AH252" s="3">
        <v>7</v>
      </c>
      <c r="AI252" s="3">
        <v>9</v>
      </c>
      <c r="AJ252" s="3">
        <v>1</v>
      </c>
      <c r="AK252" s="3">
        <v>5</v>
      </c>
      <c r="AL252" s="3" t="s">
        <v>671</v>
      </c>
      <c r="AM252" s="3" t="s">
        <v>124</v>
      </c>
      <c r="AN252" s="3" t="s">
        <v>672</v>
      </c>
      <c r="AO252" s="3" t="s">
        <v>5388</v>
      </c>
      <c r="AP252" s="3" t="s">
        <v>74</v>
      </c>
      <c r="AQ252" s="3" t="s">
        <v>74</v>
      </c>
      <c r="AR252" s="3" t="s">
        <v>5389</v>
      </c>
      <c r="AS252" s="3" t="s">
        <v>5390</v>
      </c>
      <c r="AT252" s="3" t="s">
        <v>151</v>
      </c>
      <c r="AU252" s="3">
        <v>2021</v>
      </c>
      <c r="AV252" s="3">
        <v>12</v>
      </c>
      <c r="AW252" s="3" t="s">
        <v>74</v>
      </c>
      <c r="AX252" s="3" t="s">
        <v>74</v>
      </c>
      <c r="AY252" s="3" t="s">
        <v>74</v>
      </c>
      <c r="AZ252" s="3" t="s">
        <v>74</v>
      </c>
      <c r="BA252" s="3" t="s">
        <v>74</v>
      </c>
      <c r="BB252" s="3" t="s">
        <v>74</v>
      </c>
      <c r="BC252" s="3" t="s">
        <v>74</v>
      </c>
      <c r="BD252" s="3">
        <v>100496</v>
      </c>
      <c r="BE252" s="3" t="s">
        <v>5391</v>
      </c>
      <c r="BF252" s="3" t="str">
        <f>HYPERLINK("http://dx.doi.org/10.1016/j.trip.2021.100496","http://dx.doi.org/10.1016/j.trip.2021.100496")</f>
        <v>http://dx.doi.org/10.1016/j.trip.2021.100496</v>
      </c>
      <c r="BG252" s="3" t="s">
        <v>74</v>
      </c>
      <c r="BH252" s="3" t="s">
        <v>74</v>
      </c>
      <c r="BI252" s="3">
        <v>16</v>
      </c>
      <c r="BJ252" s="3" t="s">
        <v>131</v>
      </c>
      <c r="BK252" s="3" t="s">
        <v>97</v>
      </c>
      <c r="BL252" s="3" t="s">
        <v>131</v>
      </c>
      <c r="BM252" s="3" t="s">
        <v>5392</v>
      </c>
      <c r="BN252" s="3" t="s">
        <v>74</v>
      </c>
      <c r="BO252" s="3" t="s">
        <v>100</v>
      </c>
      <c r="BP252" s="3" t="s">
        <v>74</v>
      </c>
      <c r="BQ252" s="3" t="s">
        <v>74</v>
      </c>
      <c r="BR252" s="3" t="s">
        <v>101</v>
      </c>
      <c r="BS252" s="3" t="s">
        <v>5393</v>
      </c>
      <c r="BT252" s="3" t="str">
        <f>HYPERLINK("https%3A%2F%2Fwww.webofscience.com%2Fwos%2Fwoscc%2Ffull-record%2FWOS:001183250300007","View Full Record in Web of Science")</f>
        <v>View Full Record in Web of Science</v>
      </c>
      <c r="BU252" s="3"/>
      <c r="BV252" s="3"/>
      <c r="BW252" s="1"/>
    </row>
    <row r="253" spans="1:75" x14ac:dyDescent="0.25">
      <c r="A253" s="3" t="s">
        <v>72</v>
      </c>
      <c r="B253" s="3" t="s">
        <v>5394</v>
      </c>
      <c r="C253" s="3" t="s">
        <v>74</v>
      </c>
      <c r="D253" s="3" t="s">
        <v>74</v>
      </c>
      <c r="E253" s="3" t="s">
        <v>74</v>
      </c>
      <c r="F253" s="3" t="s">
        <v>5395</v>
      </c>
      <c r="G253" s="3" t="s">
        <v>74</v>
      </c>
      <c r="H253" s="3" t="s">
        <v>74</v>
      </c>
      <c r="I253" s="3" t="s">
        <v>5396</v>
      </c>
      <c r="J253" s="3" t="s">
        <v>5397</v>
      </c>
      <c r="K253" s="3" t="s">
        <v>74</v>
      </c>
      <c r="L253" s="3" t="s">
        <v>74</v>
      </c>
      <c r="M253" s="3" t="s">
        <v>110</v>
      </c>
      <c r="N253" s="3" t="s">
        <v>79</v>
      </c>
      <c r="O253" s="3" t="s">
        <v>74</v>
      </c>
      <c r="P253" s="3" t="s">
        <v>74</v>
      </c>
      <c r="Q253" s="3" t="s">
        <v>74</v>
      </c>
      <c r="R253" s="3" t="s">
        <v>74</v>
      </c>
      <c r="S253" s="3" t="s">
        <v>74</v>
      </c>
      <c r="T253" s="3" t="s">
        <v>5398</v>
      </c>
      <c r="U253" s="3" t="s">
        <v>5399</v>
      </c>
      <c r="V253" s="3" t="s">
        <v>5400</v>
      </c>
      <c r="W253" s="3" t="s">
        <v>5401</v>
      </c>
      <c r="X253" s="3" t="s">
        <v>5402</v>
      </c>
      <c r="Y253" s="3" t="s">
        <v>5403</v>
      </c>
      <c r="Z253" s="3" t="s">
        <v>5404</v>
      </c>
      <c r="AA253" s="3" t="s">
        <v>5405</v>
      </c>
      <c r="AB253" s="3" t="s">
        <v>5406</v>
      </c>
      <c r="AC253" s="3" t="s">
        <v>74</v>
      </c>
      <c r="AD253" s="3" t="s">
        <v>74</v>
      </c>
      <c r="AE253" s="3" t="s">
        <v>74</v>
      </c>
      <c r="AF253" s="3" t="s">
        <v>74</v>
      </c>
      <c r="AG253" s="3">
        <v>122</v>
      </c>
      <c r="AH253" s="3">
        <v>4</v>
      </c>
      <c r="AI253" s="3">
        <v>7</v>
      </c>
      <c r="AJ253" s="3">
        <v>0</v>
      </c>
      <c r="AK253" s="3">
        <v>19</v>
      </c>
      <c r="AL253" s="3" t="s">
        <v>401</v>
      </c>
      <c r="AM253" s="3" t="s">
        <v>402</v>
      </c>
      <c r="AN253" s="3" t="s">
        <v>403</v>
      </c>
      <c r="AO253" s="3" t="s">
        <v>5407</v>
      </c>
      <c r="AP253" s="3" t="s">
        <v>5408</v>
      </c>
      <c r="AQ253" s="3" t="s">
        <v>74</v>
      </c>
      <c r="AR253" s="3" t="s">
        <v>5409</v>
      </c>
      <c r="AS253" s="3" t="s">
        <v>5410</v>
      </c>
      <c r="AT253" s="3" t="s">
        <v>283</v>
      </c>
      <c r="AU253" s="3">
        <v>2020</v>
      </c>
      <c r="AV253" s="3">
        <v>51</v>
      </c>
      <c r="AW253" s="3">
        <v>4</v>
      </c>
      <c r="AX253" s="3" t="s">
        <v>74</v>
      </c>
      <c r="AY253" s="3" t="s">
        <v>74</v>
      </c>
      <c r="AZ253" s="3" t="s">
        <v>74</v>
      </c>
      <c r="BA253" s="3" t="s">
        <v>74</v>
      </c>
      <c r="BB253" s="3">
        <v>920</v>
      </c>
      <c r="BC253" s="3">
        <v>961</v>
      </c>
      <c r="BD253" s="3" t="s">
        <v>74</v>
      </c>
      <c r="BE253" s="3" t="s">
        <v>5411</v>
      </c>
      <c r="BF253" s="3" t="str">
        <f>HYPERLINK("http://dx.doi.org/10.1111/deci.12397","http://dx.doi.org/10.1111/deci.12397")</f>
        <v>http://dx.doi.org/10.1111/deci.12397</v>
      </c>
      <c r="BG253" s="3" t="s">
        <v>74</v>
      </c>
      <c r="BH253" s="3" t="s">
        <v>74</v>
      </c>
      <c r="BI253" s="3">
        <v>42</v>
      </c>
      <c r="BJ253" s="3" t="s">
        <v>96</v>
      </c>
      <c r="BK253" s="3" t="s">
        <v>264</v>
      </c>
      <c r="BL253" s="3" t="s">
        <v>98</v>
      </c>
      <c r="BM253" s="3" t="s">
        <v>5412</v>
      </c>
      <c r="BN253" s="3" t="s">
        <v>74</v>
      </c>
      <c r="BO253" s="3" t="s">
        <v>74</v>
      </c>
      <c r="BP253" s="3" t="s">
        <v>74</v>
      </c>
      <c r="BQ253" s="3" t="s">
        <v>74</v>
      </c>
      <c r="BR253" s="3" t="s">
        <v>101</v>
      </c>
      <c r="BS253" s="3" t="s">
        <v>5413</v>
      </c>
      <c r="BT253" s="3" t="str">
        <f>HYPERLINK("https%3A%2F%2Fwww.webofscience.com%2Fwos%2Fwoscc%2Ffull-record%2FWOS:000559378800003","View Full Record in Web of Science")</f>
        <v>View Full Record in Web of Science</v>
      </c>
      <c r="BU253" s="3"/>
      <c r="BV253" s="3"/>
      <c r="BW253" s="1"/>
    </row>
    <row r="254" spans="1:75" x14ac:dyDescent="0.25">
      <c r="A254" s="3" t="s">
        <v>103</v>
      </c>
      <c r="B254" s="3" t="s">
        <v>5414</v>
      </c>
      <c r="C254" s="3" t="s">
        <v>74</v>
      </c>
      <c r="D254" s="3" t="s">
        <v>74</v>
      </c>
      <c r="E254" s="3" t="s">
        <v>199</v>
      </c>
      <c r="F254" s="3" t="s">
        <v>5415</v>
      </c>
      <c r="G254" s="3" t="s">
        <v>74</v>
      </c>
      <c r="H254" s="3" t="s">
        <v>74</v>
      </c>
      <c r="I254" s="3" t="s">
        <v>5416</v>
      </c>
      <c r="J254" s="3" t="s">
        <v>5417</v>
      </c>
      <c r="K254" s="3" t="s">
        <v>5418</v>
      </c>
      <c r="L254" s="3" t="s">
        <v>74</v>
      </c>
      <c r="M254" s="3" t="s">
        <v>110</v>
      </c>
      <c r="N254" s="3" t="s">
        <v>111</v>
      </c>
      <c r="O254" s="3" t="s">
        <v>5419</v>
      </c>
      <c r="P254" s="3" t="s">
        <v>5420</v>
      </c>
      <c r="Q254" s="3" t="s">
        <v>5421</v>
      </c>
      <c r="R254" s="3" t="s">
        <v>74</v>
      </c>
      <c r="S254" s="3" t="s">
        <v>74</v>
      </c>
      <c r="T254" s="3" t="s">
        <v>5422</v>
      </c>
      <c r="U254" s="3" t="s">
        <v>5423</v>
      </c>
      <c r="V254" s="3" t="s">
        <v>5424</v>
      </c>
      <c r="W254" s="3" t="s">
        <v>5425</v>
      </c>
      <c r="X254" s="3" t="s">
        <v>5426</v>
      </c>
      <c r="Y254" s="3" t="s">
        <v>5427</v>
      </c>
      <c r="Z254" s="3" t="s">
        <v>5428</v>
      </c>
      <c r="AA254" s="3" t="s">
        <v>5429</v>
      </c>
      <c r="AB254" s="3" t="s">
        <v>5430</v>
      </c>
      <c r="AC254" s="3" t="s">
        <v>74</v>
      </c>
      <c r="AD254" s="3" t="s">
        <v>74</v>
      </c>
      <c r="AE254" s="3" t="s">
        <v>74</v>
      </c>
      <c r="AF254" s="3" t="s">
        <v>74</v>
      </c>
      <c r="AG254" s="3">
        <v>20</v>
      </c>
      <c r="AH254" s="3">
        <v>10</v>
      </c>
      <c r="AI254" s="3">
        <v>10</v>
      </c>
      <c r="AJ254" s="3">
        <v>1</v>
      </c>
      <c r="AK254" s="3">
        <v>16</v>
      </c>
      <c r="AL254" s="3" t="s">
        <v>199</v>
      </c>
      <c r="AM254" s="3" t="s">
        <v>200</v>
      </c>
      <c r="AN254" s="3" t="s">
        <v>201</v>
      </c>
      <c r="AO254" s="3" t="s">
        <v>5431</v>
      </c>
      <c r="AP254" s="3" t="s">
        <v>74</v>
      </c>
      <c r="AQ254" s="3" t="s">
        <v>5432</v>
      </c>
      <c r="AR254" s="3" t="s">
        <v>5433</v>
      </c>
      <c r="AS254" s="3" t="s">
        <v>74</v>
      </c>
      <c r="AT254" s="3" t="s">
        <v>74</v>
      </c>
      <c r="AU254" s="3">
        <v>2013</v>
      </c>
      <c r="AV254" s="3" t="s">
        <v>74</v>
      </c>
      <c r="AW254" s="3" t="s">
        <v>74</v>
      </c>
      <c r="AX254" s="3" t="s">
        <v>74</v>
      </c>
      <c r="AY254" s="3" t="s">
        <v>74</v>
      </c>
      <c r="AZ254" s="3" t="s">
        <v>74</v>
      </c>
      <c r="BA254" s="3" t="s">
        <v>74</v>
      </c>
      <c r="BB254" s="3">
        <v>126</v>
      </c>
      <c r="BC254" s="3">
        <v>131</v>
      </c>
      <c r="BD254" s="3" t="s">
        <v>74</v>
      </c>
      <c r="BE254" s="3" t="s">
        <v>74</v>
      </c>
      <c r="BF254" s="3" t="s">
        <v>74</v>
      </c>
      <c r="BG254" s="3" t="s">
        <v>74</v>
      </c>
      <c r="BH254" s="3" t="s">
        <v>74</v>
      </c>
      <c r="BI254" s="3">
        <v>6</v>
      </c>
      <c r="BJ254" s="3" t="s">
        <v>2503</v>
      </c>
      <c r="BK254" s="3" t="s">
        <v>208</v>
      </c>
      <c r="BL254" s="3" t="s">
        <v>383</v>
      </c>
      <c r="BM254" s="3" t="s">
        <v>5434</v>
      </c>
      <c r="BN254" s="3" t="s">
        <v>74</v>
      </c>
      <c r="BO254" s="3" t="s">
        <v>683</v>
      </c>
      <c r="BP254" s="3" t="s">
        <v>74</v>
      </c>
      <c r="BQ254" s="3" t="s">
        <v>74</v>
      </c>
      <c r="BR254" s="3" t="s">
        <v>101</v>
      </c>
      <c r="BS254" s="3" t="s">
        <v>5435</v>
      </c>
      <c r="BT254" s="3" t="str">
        <f>HYPERLINK("https%3A%2F%2Fwww.webofscience.com%2Fwos%2Fwoscc%2Ffull-record%2FWOS:000333812900022","View Full Record in Web of Science")</f>
        <v>View Full Record in Web of Science</v>
      </c>
      <c r="BU254" s="3"/>
      <c r="BV254" s="3"/>
      <c r="BW254" s="1"/>
    </row>
    <row r="255" spans="1:75" x14ac:dyDescent="0.25">
      <c r="A255" s="3" t="s">
        <v>103</v>
      </c>
      <c r="B255" s="3" t="s">
        <v>5436</v>
      </c>
      <c r="C255" s="3" t="s">
        <v>74</v>
      </c>
      <c r="D255" s="3" t="s">
        <v>5437</v>
      </c>
      <c r="E255" s="3" t="s">
        <v>74</v>
      </c>
      <c r="F255" s="3" t="s">
        <v>5438</v>
      </c>
      <c r="G255" s="3" t="s">
        <v>74</v>
      </c>
      <c r="H255" s="3" t="s">
        <v>74</v>
      </c>
      <c r="I255" s="3" t="s">
        <v>5439</v>
      </c>
      <c r="J255" s="3" t="s">
        <v>5440</v>
      </c>
      <c r="K255" s="3" t="s">
        <v>74</v>
      </c>
      <c r="L255" s="3" t="s">
        <v>74</v>
      </c>
      <c r="M255" s="3" t="s">
        <v>110</v>
      </c>
      <c r="N255" s="3" t="s">
        <v>111</v>
      </c>
      <c r="O255" s="3" t="s">
        <v>5441</v>
      </c>
      <c r="P255" s="3" t="s">
        <v>5442</v>
      </c>
      <c r="Q255" s="3" t="s">
        <v>5443</v>
      </c>
      <c r="R255" s="3" t="s">
        <v>74</v>
      </c>
      <c r="S255" s="3" t="s">
        <v>74</v>
      </c>
      <c r="T255" s="3" t="s">
        <v>5444</v>
      </c>
      <c r="U255" s="3" t="s">
        <v>5445</v>
      </c>
      <c r="V255" s="3" t="s">
        <v>5446</v>
      </c>
      <c r="W255" s="3" t="s">
        <v>5447</v>
      </c>
      <c r="X255" s="3" t="s">
        <v>5448</v>
      </c>
      <c r="Y255" s="3" t="s">
        <v>74</v>
      </c>
      <c r="Z255" s="3" t="s">
        <v>5449</v>
      </c>
      <c r="AA255" s="3" t="s">
        <v>74</v>
      </c>
      <c r="AB255" s="3" t="s">
        <v>74</v>
      </c>
      <c r="AC255" s="3" t="s">
        <v>74</v>
      </c>
      <c r="AD255" s="3" t="s">
        <v>74</v>
      </c>
      <c r="AE255" s="3" t="s">
        <v>74</v>
      </c>
      <c r="AF255" s="3" t="s">
        <v>74</v>
      </c>
      <c r="AG255" s="3">
        <v>12</v>
      </c>
      <c r="AH255" s="3">
        <v>0</v>
      </c>
      <c r="AI255" s="3">
        <v>0</v>
      </c>
      <c r="AJ255" s="3">
        <v>0</v>
      </c>
      <c r="AK255" s="3">
        <v>7</v>
      </c>
      <c r="AL255" s="3" t="s">
        <v>5450</v>
      </c>
      <c r="AM255" s="3" t="s">
        <v>5451</v>
      </c>
      <c r="AN255" s="3" t="s">
        <v>5452</v>
      </c>
      <c r="AO255" s="3" t="s">
        <v>74</v>
      </c>
      <c r="AP255" s="3" t="s">
        <v>74</v>
      </c>
      <c r="AQ255" s="3" t="s">
        <v>5453</v>
      </c>
      <c r="AR255" s="3" t="s">
        <v>74</v>
      </c>
      <c r="AS255" s="3" t="s">
        <v>74</v>
      </c>
      <c r="AT255" s="3" t="s">
        <v>74</v>
      </c>
      <c r="AU255" s="3">
        <v>2012</v>
      </c>
      <c r="AV255" s="3" t="s">
        <v>74</v>
      </c>
      <c r="AW255" s="3" t="s">
        <v>74</v>
      </c>
      <c r="AX255" s="3" t="s">
        <v>74</v>
      </c>
      <c r="AY255" s="3" t="s">
        <v>74</v>
      </c>
      <c r="AZ255" s="3" t="s">
        <v>74</v>
      </c>
      <c r="BA255" s="3" t="s">
        <v>74</v>
      </c>
      <c r="BB255" s="3">
        <v>434</v>
      </c>
      <c r="BC255" s="3">
        <v>438</v>
      </c>
      <c r="BD255" s="3" t="s">
        <v>74</v>
      </c>
      <c r="BE255" s="3" t="s">
        <v>74</v>
      </c>
      <c r="BF255" s="3" t="s">
        <v>74</v>
      </c>
      <c r="BG255" s="3" t="s">
        <v>74</v>
      </c>
      <c r="BH255" s="3" t="s">
        <v>74</v>
      </c>
      <c r="BI255" s="3">
        <v>5</v>
      </c>
      <c r="BJ255" s="3" t="s">
        <v>5454</v>
      </c>
      <c r="BK255" s="3" t="s">
        <v>2556</v>
      </c>
      <c r="BL255" s="3" t="s">
        <v>98</v>
      </c>
      <c r="BM255" s="3" t="s">
        <v>5455</v>
      </c>
      <c r="BN255" s="3" t="s">
        <v>74</v>
      </c>
      <c r="BO255" s="3" t="s">
        <v>74</v>
      </c>
      <c r="BP255" s="3" t="s">
        <v>74</v>
      </c>
      <c r="BQ255" s="3" t="s">
        <v>74</v>
      </c>
      <c r="BR255" s="3" t="s">
        <v>101</v>
      </c>
      <c r="BS255" s="3" t="s">
        <v>5456</v>
      </c>
      <c r="BT255" s="3" t="str">
        <f>HYPERLINK("https%3A%2F%2Fwww.webofscience.com%2Fwos%2Fwoscc%2Ffull-record%2FWOS:000327205300056","View Full Record in Web of Science")</f>
        <v>View Full Record in Web of Science</v>
      </c>
      <c r="BU255" s="3"/>
      <c r="BV255" s="3"/>
      <c r="BW255" s="1"/>
    </row>
    <row r="256" spans="1:75" x14ac:dyDescent="0.25">
      <c r="A256" s="3" t="s">
        <v>72</v>
      </c>
      <c r="B256" s="3" t="s">
        <v>5457</v>
      </c>
      <c r="C256" s="3" t="s">
        <v>74</v>
      </c>
      <c r="D256" s="3" t="s">
        <v>74</v>
      </c>
      <c r="E256" s="3" t="s">
        <v>74</v>
      </c>
      <c r="F256" s="3" t="s">
        <v>5458</v>
      </c>
      <c r="G256" s="3" t="s">
        <v>74</v>
      </c>
      <c r="H256" s="3" t="s">
        <v>74</v>
      </c>
      <c r="I256" s="3" t="s">
        <v>5459</v>
      </c>
      <c r="J256" s="3" t="s">
        <v>5460</v>
      </c>
      <c r="K256" s="3" t="s">
        <v>74</v>
      </c>
      <c r="L256" s="3" t="s">
        <v>74</v>
      </c>
      <c r="M256" s="3" t="s">
        <v>110</v>
      </c>
      <c r="N256" s="3" t="s">
        <v>79</v>
      </c>
      <c r="O256" s="3" t="s">
        <v>74</v>
      </c>
      <c r="P256" s="3" t="s">
        <v>74</v>
      </c>
      <c r="Q256" s="3" t="s">
        <v>74</v>
      </c>
      <c r="R256" s="3" t="s">
        <v>74</v>
      </c>
      <c r="S256" s="3" t="s">
        <v>74</v>
      </c>
      <c r="T256" s="3" t="s">
        <v>5461</v>
      </c>
      <c r="U256" s="3" t="s">
        <v>5462</v>
      </c>
      <c r="V256" s="3" t="s">
        <v>5463</v>
      </c>
      <c r="W256" s="3" t="s">
        <v>5464</v>
      </c>
      <c r="X256" s="3" t="s">
        <v>5465</v>
      </c>
      <c r="Y256" s="3" t="s">
        <v>5466</v>
      </c>
      <c r="Z256" s="3" t="s">
        <v>5467</v>
      </c>
      <c r="AA256" s="3" t="s">
        <v>74</v>
      </c>
      <c r="AB256" s="3" t="s">
        <v>74</v>
      </c>
      <c r="AC256" s="3" t="s">
        <v>5468</v>
      </c>
      <c r="AD256" s="3" t="s">
        <v>5469</v>
      </c>
      <c r="AE256" s="3" t="s">
        <v>5470</v>
      </c>
      <c r="AF256" s="3" t="s">
        <v>74</v>
      </c>
      <c r="AG256" s="3">
        <v>57</v>
      </c>
      <c r="AH256" s="3">
        <v>0</v>
      </c>
      <c r="AI256" s="3">
        <v>0</v>
      </c>
      <c r="AJ256" s="3">
        <v>0</v>
      </c>
      <c r="AK256" s="3">
        <v>0</v>
      </c>
      <c r="AL256" s="3" t="s">
        <v>671</v>
      </c>
      <c r="AM256" s="3" t="s">
        <v>124</v>
      </c>
      <c r="AN256" s="3" t="s">
        <v>672</v>
      </c>
      <c r="AO256" s="3" t="s">
        <v>5471</v>
      </c>
      <c r="AP256" s="3" t="s">
        <v>5472</v>
      </c>
      <c r="AQ256" s="3" t="s">
        <v>74</v>
      </c>
      <c r="AR256" s="3" t="s">
        <v>5473</v>
      </c>
      <c r="AS256" s="3" t="s">
        <v>5474</v>
      </c>
      <c r="AT256" s="3" t="s">
        <v>151</v>
      </c>
      <c r="AU256" s="3">
        <v>2025</v>
      </c>
      <c r="AV256" s="3">
        <v>290</v>
      </c>
      <c r="AW256" s="3" t="s">
        <v>74</v>
      </c>
      <c r="AX256" s="3" t="s">
        <v>74</v>
      </c>
      <c r="AY256" s="3" t="s">
        <v>74</v>
      </c>
      <c r="AZ256" s="3" t="s">
        <v>74</v>
      </c>
      <c r="BA256" s="3" t="s">
        <v>74</v>
      </c>
      <c r="BB256" s="3" t="s">
        <v>74</v>
      </c>
      <c r="BC256" s="3" t="s">
        <v>74</v>
      </c>
      <c r="BD256" s="3">
        <v>109772</v>
      </c>
      <c r="BE256" s="3" t="s">
        <v>5475</v>
      </c>
      <c r="BF256" s="3" t="str">
        <f>HYPERLINK("http://dx.doi.org/10.1016/j.ijpe.2025.109772","http://dx.doi.org/10.1016/j.ijpe.2025.109772")</f>
        <v>http://dx.doi.org/10.1016/j.ijpe.2025.109772</v>
      </c>
      <c r="BG256" s="3" t="s">
        <v>74</v>
      </c>
      <c r="BH256" s="3" t="s">
        <v>5476</v>
      </c>
      <c r="BI256" s="3">
        <v>14</v>
      </c>
      <c r="BJ256" s="3" t="s">
        <v>1591</v>
      </c>
      <c r="BK256" s="3" t="s">
        <v>179</v>
      </c>
      <c r="BL256" s="3" t="s">
        <v>209</v>
      </c>
      <c r="BM256" s="3" t="s">
        <v>5477</v>
      </c>
      <c r="BN256" s="3" t="s">
        <v>74</v>
      </c>
      <c r="BO256" s="3" t="s">
        <v>884</v>
      </c>
      <c r="BP256" s="3" t="s">
        <v>74</v>
      </c>
      <c r="BQ256" s="3" t="s">
        <v>74</v>
      </c>
      <c r="BR256" s="3" t="s">
        <v>101</v>
      </c>
      <c r="BS256" s="3" t="s">
        <v>5478</v>
      </c>
      <c r="BT256" s="3" t="str">
        <f>HYPERLINK("https%3A%2F%2Fwww.webofscience.com%2Fwos%2Fwoscc%2Ffull-record%2FWOS:001620311800004","View Full Record in Web of Science")</f>
        <v>View Full Record in Web of Science</v>
      </c>
      <c r="BU256" s="3"/>
      <c r="BV256" s="3"/>
      <c r="BW256" s="1"/>
    </row>
    <row r="257" spans="1:75" x14ac:dyDescent="0.25">
      <c r="A257" s="3" t="s">
        <v>72</v>
      </c>
      <c r="B257" s="3" t="s">
        <v>5479</v>
      </c>
      <c r="C257" s="3" t="s">
        <v>74</v>
      </c>
      <c r="D257" s="3" t="s">
        <v>74</v>
      </c>
      <c r="E257" s="3" t="s">
        <v>74</v>
      </c>
      <c r="F257" s="3" t="s">
        <v>5480</v>
      </c>
      <c r="G257" s="3" t="s">
        <v>74</v>
      </c>
      <c r="H257" s="3" t="s">
        <v>74</v>
      </c>
      <c r="I257" s="3" t="s">
        <v>5481</v>
      </c>
      <c r="J257" s="3" t="s">
        <v>859</v>
      </c>
      <c r="K257" s="3" t="s">
        <v>74</v>
      </c>
      <c r="L257" s="3" t="s">
        <v>74</v>
      </c>
      <c r="M257" s="3" t="s">
        <v>110</v>
      </c>
      <c r="N257" s="3" t="s">
        <v>79</v>
      </c>
      <c r="O257" s="3" t="s">
        <v>74</v>
      </c>
      <c r="P257" s="3" t="s">
        <v>74</v>
      </c>
      <c r="Q257" s="3" t="s">
        <v>74</v>
      </c>
      <c r="R257" s="3" t="s">
        <v>74</v>
      </c>
      <c r="S257" s="3" t="s">
        <v>74</v>
      </c>
      <c r="T257" s="3" t="s">
        <v>5482</v>
      </c>
      <c r="U257" s="3" t="s">
        <v>5483</v>
      </c>
      <c r="V257" s="3" t="s">
        <v>5484</v>
      </c>
      <c r="W257" s="3" t="s">
        <v>5485</v>
      </c>
      <c r="X257" s="3" t="s">
        <v>5486</v>
      </c>
      <c r="Y257" s="3" t="s">
        <v>5487</v>
      </c>
      <c r="Z257" s="3" t="s">
        <v>5488</v>
      </c>
      <c r="AA257" s="3" t="s">
        <v>5489</v>
      </c>
      <c r="AB257" s="3" t="s">
        <v>5490</v>
      </c>
      <c r="AC257" s="3" t="s">
        <v>5491</v>
      </c>
      <c r="AD257" s="3" t="s">
        <v>5492</v>
      </c>
      <c r="AE257" s="3" t="s">
        <v>5493</v>
      </c>
      <c r="AF257" s="3" t="s">
        <v>74</v>
      </c>
      <c r="AG257" s="3">
        <v>129</v>
      </c>
      <c r="AH257" s="3">
        <v>9</v>
      </c>
      <c r="AI257" s="3">
        <v>9</v>
      </c>
      <c r="AJ257" s="3">
        <v>18</v>
      </c>
      <c r="AK257" s="3">
        <v>59</v>
      </c>
      <c r="AL257" s="3" t="s">
        <v>872</v>
      </c>
      <c r="AM257" s="3" t="s">
        <v>873</v>
      </c>
      <c r="AN257" s="3" t="s">
        <v>874</v>
      </c>
      <c r="AO257" s="3" t="s">
        <v>875</v>
      </c>
      <c r="AP257" s="3" t="s">
        <v>876</v>
      </c>
      <c r="AQ257" s="3" t="s">
        <v>74</v>
      </c>
      <c r="AR257" s="3" t="s">
        <v>877</v>
      </c>
      <c r="AS257" s="3" t="s">
        <v>878</v>
      </c>
      <c r="AT257" s="3" t="s">
        <v>2910</v>
      </c>
      <c r="AU257" s="3">
        <v>2024</v>
      </c>
      <c r="AV257" s="3">
        <v>27</v>
      </c>
      <c r="AW257" s="3">
        <v>11</v>
      </c>
      <c r="AX257" s="3" t="s">
        <v>74</v>
      </c>
      <c r="AY257" s="3" t="s">
        <v>74</v>
      </c>
      <c r="AZ257" s="3" t="s">
        <v>74</v>
      </c>
      <c r="BA257" s="3" t="s">
        <v>74</v>
      </c>
      <c r="BB257" s="3">
        <v>1984</v>
      </c>
      <c r="BC257" s="3">
        <v>2020</v>
      </c>
      <c r="BD257" s="3" t="s">
        <v>74</v>
      </c>
      <c r="BE257" s="3" t="s">
        <v>5494</v>
      </c>
      <c r="BF257" s="3" t="str">
        <f>HYPERLINK("http://dx.doi.org/10.1080/13675567.2024.2327394","http://dx.doi.org/10.1080/13675567.2024.2327394")</f>
        <v>http://dx.doi.org/10.1080/13675567.2024.2327394</v>
      </c>
      <c r="BG257" s="3" t="s">
        <v>74</v>
      </c>
      <c r="BH257" s="3" t="s">
        <v>2733</v>
      </c>
      <c r="BI257" s="3">
        <v>37</v>
      </c>
      <c r="BJ257" s="3" t="s">
        <v>96</v>
      </c>
      <c r="BK257" s="3" t="s">
        <v>264</v>
      </c>
      <c r="BL257" s="3" t="s">
        <v>98</v>
      </c>
      <c r="BM257" s="3" t="s">
        <v>5495</v>
      </c>
      <c r="BN257" s="3" t="s">
        <v>74</v>
      </c>
      <c r="BO257" s="3" t="s">
        <v>884</v>
      </c>
      <c r="BP257" s="3" t="s">
        <v>74</v>
      </c>
      <c r="BQ257" s="3" t="s">
        <v>74</v>
      </c>
      <c r="BR257" s="3" t="s">
        <v>101</v>
      </c>
      <c r="BS257" s="3" t="s">
        <v>5496</v>
      </c>
      <c r="BT257" s="3" t="str">
        <f>HYPERLINK("https%3A%2F%2Fwww.webofscience.com%2Fwos%2Fwoscc%2Ffull-record%2FWOS:001181752900001","View Full Record in Web of Science")</f>
        <v>View Full Record in Web of Science</v>
      </c>
      <c r="BU257" s="3"/>
      <c r="BV257" s="3"/>
      <c r="BW257" s="1"/>
    </row>
    <row r="258" spans="1:75" x14ac:dyDescent="0.25">
      <c r="A258" s="3" t="s">
        <v>72</v>
      </c>
      <c r="B258" s="3" t="s">
        <v>5497</v>
      </c>
      <c r="C258" s="3" t="s">
        <v>74</v>
      </c>
      <c r="D258" s="3" t="s">
        <v>74</v>
      </c>
      <c r="E258" s="3" t="s">
        <v>74</v>
      </c>
      <c r="F258" s="3" t="s">
        <v>5498</v>
      </c>
      <c r="G258" s="3" t="s">
        <v>74</v>
      </c>
      <c r="H258" s="3" t="s">
        <v>74</v>
      </c>
      <c r="I258" s="3" t="s">
        <v>5499</v>
      </c>
      <c r="J258" s="3" t="s">
        <v>270</v>
      </c>
      <c r="K258" s="3" t="s">
        <v>74</v>
      </c>
      <c r="L258" s="3" t="s">
        <v>74</v>
      </c>
      <c r="M258" s="3" t="s">
        <v>110</v>
      </c>
      <c r="N258" s="3" t="s">
        <v>79</v>
      </c>
      <c r="O258" s="3" t="s">
        <v>74</v>
      </c>
      <c r="P258" s="3" t="s">
        <v>74</v>
      </c>
      <c r="Q258" s="3" t="s">
        <v>74</v>
      </c>
      <c r="R258" s="3" t="s">
        <v>74</v>
      </c>
      <c r="S258" s="3" t="s">
        <v>74</v>
      </c>
      <c r="T258" s="3" t="s">
        <v>5500</v>
      </c>
      <c r="U258" s="3" t="s">
        <v>5501</v>
      </c>
      <c r="V258" s="3" t="s">
        <v>5502</v>
      </c>
      <c r="W258" s="3" t="s">
        <v>5503</v>
      </c>
      <c r="X258" s="3" t="s">
        <v>166</v>
      </c>
      <c r="Y258" s="3" t="s">
        <v>5504</v>
      </c>
      <c r="Z258" s="3" t="s">
        <v>5505</v>
      </c>
      <c r="AA258" s="3" t="s">
        <v>5506</v>
      </c>
      <c r="AB258" s="3" t="s">
        <v>5507</v>
      </c>
      <c r="AC258" s="3" t="s">
        <v>166</v>
      </c>
      <c r="AD258" s="3" t="s">
        <v>166</v>
      </c>
      <c r="AE258" s="3" t="s">
        <v>3342</v>
      </c>
      <c r="AF258" s="3" t="s">
        <v>74</v>
      </c>
      <c r="AG258" s="3">
        <v>112</v>
      </c>
      <c r="AH258" s="3">
        <v>7</v>
      </c>
      <c r="AI258" s="3">
        <v>7</v>
      </c>
      <c r="AJ258" s="3">
        <v>1</v>
      </c>
      <c r="AK258" s="3">
        <v>7</v>
      </c>
      <c r="AL258" s="3" t="s">
        <v>145</v>
      </c>
      <c r="AM258" s="3" t="s">
        <v>146</v>
      </c>
      <c r="AN258" s="3" t="s">
        <v>279</v>
      </c>
      <c r="AO258" s="3" t="s">
        <v>74</v>
      </c>
      <c r="AP258" s="3" t="s">
        <v>280</v>
      </c>
      <c r="AQ258" s="3" t="s">
        <v>74</v>
      </c>
      <c r="AR258" s="3" t="s">
        <v>281</v>
      </c>
      <c r="AS258" s="3" t="s">
        <v>282</v>
      </c>
      <c r="AT258" s="3" t="s">
        <v>807</v>
      </c>
      <c r="AU258" s="3">
        <v>2024</v>
      </c>
      <c r="AV258" s="3">
        <v>7</v>
      </c>
      <c r="AW258" s="3">
        <v>1</v>
      </c>
      <c r="AX258" s="3" t="s">
        <v>74</v>
      </c>
      <c r="AY258" s="3" t="s">
        <v>74</v>
      </c>
      <c r="AZ258" s="3" t="s">
        <v>74</v>
      </c>
      <c r="BA258" s="3" t="s">
        <v>74</v>
      </c>
      <c r="BB258" s="3">
        <v>541</v>
      </c>
      <c r="BC258" s="3">
        <v>565</v>
      </c>
      <c r="BD258" s="3" t="s">
        <v>74</v>
      </c>
      <c r="BE258" s="3" t="s">
        <v>5508</v>
      </c>
      <c r="BF258" s="3" t="str">
        <f>HYPERLINK("http://dx.doi.org/10.3390/smartcities7010022","http://dx.doi.org/10.3390/smartcities7010022")</f>
        <v>http://dx.doi.org/10.3390/smartcities7010022</v>
      </c>
      <c r="BG258" s="3" t="s">
        <v>74</v>
      </c>
      <c r="BH258" s="3" t="s">
        <v>74</v>
      </c>
      <c r="BI258" s="3">
        <v>25</v>
      </c>
      <c r="BJ258" s="3" t="s">
        <v>285</v>
      </c>
      <c r="BK258" s="3" t="s">
        <v>97</v>
      </c>
      <c r="BL258" s="3" t="s">
        <v>286</v>
      </c>
      <c r="BM258" s="3" t="s">
        <v>5509</v>
      </c>
      <c r="BN258" s="3" t="s">
        <v>74</v>
      </c>
      <c r="BO258" s="3" t="s">
        <v>100</v>
      </c>
      <c r="BP258" s="3" t="s">
        <v>74</v>
      </c>
      <c r="BQ258" s="3" t="s">
        <v>74</v>
      </c>
      <c r="BR258" s="3" t="s">
        <v>101</v>
      </c>
      <c r="BS258" s="3" t="s">
        <v>5510</v>
      </c>
      <c r="BT258" s="3" t="str">
        <f>HYPERLINK("https%3A%2F%2Fwww.webofscience.com%2Fwos%2Fwoscc%2Ffull-record%2FWOS:001172533500001","View Full Record in Web of Science")</f>
        <v>View Full Record in Web of Science</v>
      </c>
      <c r="BU258" s="3"/>
      <c r="BV258" s="3"/>
      <c r="BW258" s="1"/>
    </row>
    <row r="259" spans="1:75" x14ac:dyDescent="0.25">
      <c r="A259" s="3" t="s">
        <v>72</v>
      </c>
      <c r="B259" s="3" t="s">
        <v>5511</v>
      </c>
      <c r="C259" s="3" t="s">
        <v>74</v>
      </c>
      <c r="D259" s="3" t="s">
        <v>74</v>
      </c>
      <c r="E259" s="3" t="s">
        <v>74</v>
      </c>
      <c r="F259" s="3" t="s">
        <v>5512</v>
      </c>
      <c r="G259" s="3" t="s">
        <v>74</v>
      </c>
      <c r="H259" s="3" t="s">
        <v>74</v>
      </c>
      <c r="I259" s="3" t="s">
        <v>5513</v>
      </c>
      <c r="J259" s="3" t="s">
        <v>5514</v>
      </c>
      <c r="K259" s="3" t="s">
        <v>74</v>
      </c>
      <c r="L259" s="3" t="s">
        <v>74</v>
      </c>
      <c r="M259" s="3" t="s">
        <v>110</v>
      </c>
      <c r="N259" s="3" t="s">
        <v>79</v>
      </c>
      <c r="O259" s="3" t="s">
        <v>74</v>
      </c>
      <c r="P259" s="3" t="s">
        <v>74</v>
      </c>
      <c r="Q259" s="3" t="s">
        <v>74</v>
      </c>
      <c r="R259" s="3" t="s">
        <v>74</v>
      </c>
      <c r="S259" s="3" t="s">
        <v>74</v>
      </c>
      <c r="T259" s="3" t="s">
        <v>5515</v>
      </c>
      <c r="U259" s="3" t="s">
        <v>5516</v>
      </c>
      <c r="V259" s="3" t="s">
        <v>5517</v>
      </c>
      <c r="W259" s="3" t="s">
        <v>5518</v>
      </c>
      <c r="X259" s="3" t="s">
        <v>5519</v>
      </c>
      <c r="Y259" s="3" t="s">
        <v>5520</v>
      </c>
      <c r="Z259" s="3" t="s">
        <v>5521</v>
      </c>
      <c r="AA259" s="3" t="s">
        <v>5522</v>
      </c>
      <c r="AB259" s="3" t="s">
        <v>5523</v>
      </c>
      <c r="AC259" s="3" t="s">
        <v>74</v>
      </c>
      <c r="AD259" s="3" t="s">
        <v>74</v>
      </c>
      <c r="AE259" s="3" t="s">
        <v>74</v>
      </c>
      <c r="AF259" s="3" t="s">
        <v>74</v>
      </c>
      <c r="AG259" s="3">
        <v>118</v>
      </c>
      <c r="AH259" s="3">
        <v>10</v>
      </c>
      <c r="AI259" s="3">
        <v>14</v>
      </c>
      <c r="AJ259" s="3">
        <v>2</v>
      </c>
      <c r="AK259" s="3">
        <v>31</v>
      </c>
      <c r="AL259" s="3" t="s">
        <v>1120</v>
      </c>
      <c r="AM259" s="3" t="s">
        <v>1121</v>
      </c>
      <c r="AN259" s="3" t="s">
        <v>1122</v>
      </c>
      <c r="AO259" s="3" t="s">
        <v>5524</v>
      </c>
      <c r="AP259" s="3" t="s">
        <v>5525</v>
      </c>
      <c r="AQ259" s="3" t="s">
        <v>74</v>
      </c>
      <c r="AR259" s="3" t="s">
        <v>5526</v>
      </c>
      <c r="AS259" s="3" t="s">
        <v>5527</v>
      </c>
      <c r="AT259" s="3" t="s">
        <v>807</v>
      </c>
      <c r="AU259" s="3">
        <v>2023</v>
      </c>
      <c r="AV259" s="3">
        <v>25</v>
      </c>
      <c r="AW259" s="3">
        <v>2</v>
      </c>
      <c r="AX259" s="3" t="s">
        <v>74</v>
      </c>
      <c r="AY259" s="3" t="s">
        <v>74</v>
      </c>
      <c r="AZ259" s="3" t="s">
        <v>74</v>
      </c>
      <c r="BA259" s="3" t="s">
        <v>74</v>
      </c>
      <c r="BB259" s="3">
        <v>1383</v>
      </c>
      <c r="BC259" s="3">
        <v>1419</v>
      </c>
      <c r="BD259" s="3" t="s">
        <v>74</v>
      </c>
      <c r="BE259" s="3" t="s">
        <v>5528</v>
      </c>
      <c r="BF259" s="3" t="str">
        <f>HYPERLINK("http://dx.doi.org/10.1007/s10668-021-02099-0","http://dx.doi.org/10.1007/s10668-021-02099-0")</f>
        <v>http://dx.doi.org/10.1007/s10668-021-02099-0</v>
      </c>
      <c r="BG259" s="3" t="s">
        <v>74</v>
      </c>
      <c r="BH259" s="3" t="s">
        <v>3736</v>
      </c>
      <c r="BI259" s="3">
        <v>37</v>
      </c>
      <c r="BJ259" s="3" t="s">
        <v>5052</v>
      </c>
      <c r="BK259" s="3" t="s">
        <v>179</v>
      </c>
      <c r="BL259" s="3" t="s">
        <v>155</v>
      </c>
      <c r="BM259" s="3" t="s">
        <v>5529</v>
      </c>
      <c r="BN259" s="3" t="s">
        <v>74</v>
      </c>
      <c r="BO259" s="3" t="s">
        <v>74</v>
      </c>
      <c r="BP259" s="3" t="s">
        <v>74</v>
      </c>
      <c r="BQ259" s="3" t="s">
        <v>74</v>
      </c>
      <c r="BR259" s="3" t="s">
        <v>101</v>
      </c>
      <c r="BS259" s="3" t="s">
        <v>5530</v>
      </c>
      <c r="BT259" s="3" t="str">
        <f>HYPERLINK("https%3A%2F%2Fwww.webofscience.com%2Fwos%2Fwoscc%2Ffull-record%2FWOS:000741624800004","View Full Record in Web of Science")</f>
        <v>View Full Record in Web of Science</v>
      </c>
      <c r="BU259" s="3"/>
      <c r="BV259" s="3"/>
      <c r="BW259" s="1"/>
    </row>
    <row r="260" spans="1:75" x14ac:dyDescent="0.25">
      <c r="A260" s="3" t="s">
        <v>72</v>
      </c>
      <c r="B260" s="3" t="s">
        <v>5531</v>
      </c>
      <c r="C260" s="3" t="s">
        <v>74</v>
      </c>
      <c r="D260" s="3" t="s">
        <v>74</v>
      </c>
      <c r="E260" s="3" t="s">
        <v>74</v>
      </c>
      <c r="F260" s="3" t="s">
        <v>5532</v>
      </c>
      <c r="G260" s="3" t="s">
        <v>74</v>
      </c>
      <c r="H260" s="3" t="s">
        <v>74</v>
      </c>
      <c r="I260" s="3" t="s">
        <v>5533</v>
      </c>
      <c r="J260" s="3" t="s">
        <v>5534</v>
      </c>
      <c r="K260" s="3" t="s">
        <v>74</v>
      </c>
      <c r="L260" s="3" t="s">
        <v>74</v>
      </c>
      <c r="M260" s="3" t="s">
        <v>110</v>
      </c>
      <c r="N260" s="3" t="s">
        <v>79</v>
      </c>
      <c r="O260" s="3" t="s">
        <v>74</v>
      </c>
      <c r="P260" s="3" t="s">
        <v>74</v>
      </c>
      <c r="Q260" s="3" t="s">
        <v>74</v>
      </c>
      <c r="R260" s="3" t="s">
        <v>74</v>
      </c>
      <c r="S260" s="3" t="s">
        <v>74</v>
      </c>
      <c r="T260" s="3" t="s">
        <v>5535</v>
      </c>
      <c r="U260" s="3" t="s">
        <v>5536</v>
      </c>
      <c r="V260" s="3" t="s">
        <v>5537</v>
      </c>
      <c r="W260" s="3" t="s">
        <v>5538</v>
      </c>
      <c r="X260" s="3" t="s">
        <v>5539</v>
      </c>
      <c r="Y260" s="3" t="s">
        <v>5540</v>
      </c>
      <c r="Z260" s="3" t="s">
        <v>5541</v>
      </c>
      <c r="AA260" s="3" t="s">
        <v>5542</v>
      </c>
      <c r="AB260" s="3" t="s">
        <v>5543</v>
      </c>
      <c r="AC260" s="3" t="s">
        <v>74</v>
      </c>
      <c r="AD260" s="3" t="s">
        <v>74</v>
      </c>
      <c r="AE260" s="3" t="s">
        <v>74</v>
      </c>
      <c r="AF260" s="3" t="s">
        <v>74</v>
      </c>
      <c r="AG260" s="3">
        <v>87</v>
      </c>
      <c r="AH260" s="3">
        <v>51</v>
      </c>
      <c r="AI260" s="3">
        <v>55</v>
      </c>
      <c r="AJ260" s="3">
        <v>0</v>
      </c>
      <c r="AK260" s="3">
        <v>80</v>
      </c>
      <c r="AL260" s="3" t="s">
        <v>846</v>
      </c>
      <c r="AM260" s="3" t="s">
        <v>847</v>
      </c>
      <c r="AN260" s="3" t="s">
        <v>848</v>
      </c>
      <c r="AO260" s="3" t="s">
        <v>5544</v>
      </c>
      <c r="AP260" s="3" t="s">
        <v>5545</v>
      </c>
      <c r="AQ260" s="3" t="s">
        <v>74</v>
      </c>
      <c r="AR260" s="3" t="s">
        <v>5546</v>
      </c>
      <c r="AS260" s="3" t="s">
        <v>5547</v>
      </c>
      <c r="AT260" s="3" t="s">
        <v>807</v>
      </c>
      <c r="AU260" s="3">
        <v>2023</v>
      </c>
      <c r="AV260" s="3">
        <v>31</v>
      </c>
      <c r="AW260" s="3">
        <v>2</v>
      </c>
      <c r="AX260" s="3" t="s">
        <v>74</v>
      </c>
      <c r="AY260" s="3" t="s">
        <v>74</v>
      </c>
      <c r="AZ260" s="3" t="s">
        <v>74</v>
      </c>
      <c r="BA260" s="3" t="s">
        <v>74</v>
      </c>
      <c r="BB260" s="3">
        <v>407</v>
      </c>
      <c r="BC260" s="3">
        <v>420</v>
      </c>
      <c r="BD260" s="3" t="s">
        <v>74</v>
      </c>
      <c r="BE260" s="3" t="s">
        <v>5548</v>
      </c>
      <c r="BF260" s="3" t="str">
        <f>HYPERLINK("http://dx.doi.org/10.1109/TFUZZ.2022.3164053","http://dx.doi.org/10.1109/TFUZZ.2022.3164053")</f>
        <v>http://dx.doi.org/10.1109/TFUZZ.2022.3164053</v>
      </c>
      <c r="BG260" s="3" t="s">
        <v>74</v>
      </c>
      <c r="BH260" s="3" t="s">
        <v>74</v>
      </c>
      <c r="BI260" s="3">
        <v>14</v>
      </c>
      <c r="BJ260" s="3" t="s">
        <v>2145</v>
      </c>
      <c r="BK260" s="3" t="s">
        <v>179</v>
      </c>
      <c r="BL260" s="3" t="s">
        <v>383</v>
      </c>
      <c r="BM260" s="3" t="s">
        <v>5549</v>
      </c>
      <c r="BN260" s="3" t="s">
        <v>74</v>
      </c>
      <c r="BO260" s="3" t="s">
        <v>74</v>
      </c>
      <c r="BP260" s="3" t="s">
        <v>74</v>
      </c>
      <c r="BQ260" s="3" t="s">
        <v>74</v>
      </c>
      <c r="BR260" s="3" t="s">
        <v>101</v>
      </c>
      <c r="BS260" s="3" t="s">
        <v>5550</v>
      </c>
      <c r="BT260" s="3" t="str">
        <f>HYPERLINK("https%3A%2F%2Fwww.webofscience.com%2Fwos%2Fwoscc%2Ffull-record%2FWOS:000966325800001","View Full Record in Web of Science")</f>
        <v>View Full Record in Web of Science</v>
      </c>
      <c r="BU260" s="3"/>
      <c r="BV260" s="3"/>
      <c r="BW260" s="1"/>
    </row>
    <row r="261" spans="1:75" x14ac:dyDescent="0.25">
      <c r="A261" s="3" t="s">
        <v>72</v>
      </c>
      <c r="B261" s="3" t="s">
        <v>5551</v>
      </c>
      <c r="C261" s="3" t="s">
        <v>74</v>
      </c>
      <c r="D261" s="3" t="s">
        <v>74</v>
      </c>
      <c r="E261" s="3" t="s">
        <v>74</v>
      </c>
      <c r="F261" s="3" t="s">
        <v>5552</v>
      </c>
      <c r="G261" s="3" t="s">
        <v>74</v>
      </c>
      <c r="H261" s="3" t="s">
        <v>74</v>
      </c>
      <c r="I261" s="3" t="s">
        <v>5553</v>
      </c>
      <c r="J261" s="3" t="s">
        <v>5554</v>
      </c>
      <c r="K261" s="3" t="s">
        <v>74</v>
      </c>
      <c r="L261" s="3" t="s">
        <v>74</v>
      </c>
      <c r="M261" s="3" t="s">
        <v>110</v>
      </c>
      <c r="N261" s="3" t="s">
        <v>79</v>
      </c>
      <c r="O261" s="3" t="s">
        <v>74</v>
      </c>
      <c r="P261" s="3" t="s">
        <v>74</v>
      </c>
      <c r="Q261" s="3" t="s">
        <v>74</v>
      </c>
      <c r="R261" s="3" t="s">
        <v>74</v>
      </c>
      <c r="S261" s="3" t="s">
        <v>74</v>
      </c>
      <c r="T261" s="3" t="s">
        <v>5555</v>
      </c>
      <c r="U261" s="3" t="s">
        <v>74</v>
      </c>
      <c r="V261" s="3" t="s">
        <v>5556</v>
      </c>
      <c r="W261" s="3" t="s">
        <v>5557</v>
      </c>
      <c r="X261" s="3" t="s">
        <v>5558</v>
      </c>
      <c r="Y261" s="3" t="s">
        <v>5559</v>
      </c>
      <c r="Z261" s="3" t="s">
        <v>5560</v>
      </c>
      <c r="AA261" s="3" t="s">
        <v>5561</v>
      </c>
      <c r="AB261" s="3" t="s">
        <v>5562</v>
      </c>
      <c r="AC261" s="3" t="s">
        <v>74</v>
      </c>
      <c r="AD261" s="3" t="s">
        <v>74</v>
      </c>
      <c r="AE261" s="3" t="s">
        <v>74</v>
      </c>
      <c r="AF261" s="3" t="s">
        <v>74</v>
      </c>
      <c r="AG261" s="3">
        <v>27</v>
      </c>
      <c r="AH261" s="3">
        <v>8</v>
      </c>
      <c r="AI261" s="3">
        <v>8</v>
      </c>
      <c r="AJ261" s="3">
        <v>0</v>
      </c>
      <c r="AK261" s="3">
        <v>7</v>
      </c>
      <c r="AL261" s="3" t="s">
        <v>671</v>
      </c>
      <c r="AM261" s="3" t="s">
        <v>124</v>
      </c>
      <c r="AN261" s="3" t="s">
        <v>672</v>
      </c>
      <c r="AO261" s="3" t="s">
        <v>5563</v>
      </c>
      <c r="AP261" s="3" t="s">
        <v>74</v>
      </c>
      <c r="AQ261" s="3" t="s">
        <v>74</v>
      </c>
      <c r="AR261" s="3" t="s">
        <v>5564</v>
      </c>
      <c r="AS261" s="3" t="s">
        <v>5565</v>
      </c>
      <c r="AT261" s="3" t="s">
        <v>1240</v>
      </c>
      <c r="AU261" s="3">
        <v>2024</v>
      </c>
      <c r="AV261" s="3">
        <v>25</v>
      </c>
      <c r="AW261" s="3" t="s">
        <v>74</v>
      </c>
      <c r="AX261" s="3" t="s">
        <v>74</v>
      </c>
      <c r="AY261" s="3" t="s">
        <v>74</v>
      </c>
      <c r="AZ261" s="3" t="s">
        <v>74</v>
      </c>
      <c r="BA261" s="3" t="s">
        <v>74</v>
      </c>
      <c r="BB261" s="3" t="s">
        <v>74</v>
      </c>
      <c r="BC261" s="3" t="s">
        <v>74</v>
      </c>
      <c r="BD261" s="3">
        <v>101091</v>
      </c>
      <c r="BE261" s="3" t="s">
        <v>5566</v>
      </c>
      <c r="BF261" s="3" t="str">
        <f>HYPERLINK("http://dx.doi.org/10.1016/j.gsd.2024.101091","http://dx.doi.org/10.1016/j.gsd.2024.101091")</f>
        <v>http://dx.doi.org/10.1016/j.gsd.2024.101091</v>
      </c>
      <c r="BG261" s="3" t="s">
        <v>74</v>
      </c>
      <c r="BH261" s="3" t="s">
        <v>5567</v>
      </c>
      <c r="BI261" s="3">
        <v>9</v>
      </c>
      <c r="BJ261" s="3" t="s">
        <v>5568</v>
      </c>
      <c r="BK261" s="3" t="s">
        <v>97</v>
      </c>
      <c r="BL261" s="3" t="s">
        <v>5569</v>
      </c>
      <c r="BM261" s="3" t="s">
        <v>5570</v>
      </c>
      <c r="BN261" s="3" t="s">
        <v>74</v>
      </c>
      <c r="BO261" s="3" t="s">
        <v>74</v>
      </c>
      <c r="BP261" s="3" t="s">
        <v>74</v>
      </c>
      <c r="BQ261" s="3" t="s">
        <v>74</v>
      </c>
      <c r="BR261" s="3" t="s">
        <v>101</v>
      </c>
      <c r="BS261" s="3" t="s">
        <v>5571</v>
      </c>
      <c r="BT261" s="3" t="str">
        <f>HYPERLINK("https%3A%2F%2Fwww.webofscience.com%2Fwos%2Fwoscc%2Ffull-record%2FWOS:001178334300001","View Full Record in Web of Science")</f>
        <v>View Full Record in Web of Science</v>
      </c>
      <c r="BU261" s="3"/>
      <c r="BV261" s="3"/>
      <c r="BW261" s="1"/>
    </row>
    <row r="262" spans="1:75" x14ac:dyDescent="0.25">
      <c r="A262" s="3" t="s">
        <v>72</v>
      </c>
      <c r="B262" s="3" t="s">
        <v>5572</v>
      </c>
      <c r="C262" s="3" t="s">
        <v>74</v>
      </c>
      <c r="D262" s="3" t="s">
        <v>74</v>
      </c>
      <c r="E262" s="3" t="s">
        <v>74</v>
      </c>
      <c r="F262" s="3" t="s">
        <v>5573</v>
      </c>
      <c r="G262" s="3" t="s">
        <v>74</v>
      </c>
      <c r="H262" s="3" t="s">
        <v>74</v>
      </c>
      <c r="I262" s="3" t="s">
        <v>5574</v>
      </c>
      <c r="J262" s="3" t="s">
        <v>4126</v>
      </c>
      <c r="K262" s="3" t="s">
        <v>74</v>
      </c>
      <c r="L262" s="3" t="s">
        <v>74</v>
      </c>
      <c r="M262" s="3" t="s">
        <v>110</v>
      </c>
      <c r="N262" s="3" t="s">
        <v>79</v>
      </c>
      <c r="O262" s="3" t="s">
        <v>74</v>
      </c>
      <c r="P262" s="3" t="s">
        <v>74</v>
      </c>
      <c r="Q262" s="3" t="s">
        <v>74</v>
      </c>
      <c r="R262" s="3" t="s">
        <v>74</v>
      </c>
      <c r="S262" s="3" t="s">
        <v>74</v>
      </c>
      <c r="T262" s="3" t="s">
        <v>5575</v>
      </c>
      <c r="U262" s="3" t="s">
        <v>5576</v>
      </c>
      <c r="V262" s="3" t="s">
        <v>5577</v>
      </c>
      <c r="W262" s="3" t="s">
        <v>5578</v>
      </c>
      <c r="X262" s="3" t="s">
        <v>5579</v>
      </c>
      <c r="Y262" s="3" t="s">
        <v>5580</v>
      </c>
      <c r="Z262" s="3" t="s">
        <v>5581</v>
      </c>
      <c r="AA262" s="3" t="s">
        <v>5582</v>
      </c>
      <c r="AB262" s="3" t="s">
        <v>5583</v>
      </c>
      <c r="AC262" s="3" t="s">
        <v>74</v>
      </c>
      <c r="AD262" s="3" t="s">
        <v>74</v>
      </c>
      <c r="AE262" s="3" t="s">
        <v>74</v>
      </c>
      <c r="AF262" s="3" t="s">
        <v>74</v>
      </c>
      <c r="AG262" s="3">
        <v>37</v>
      </c>
      <c r="AH262" s="3">
        <v>32</v>
      </c>
      <c r="AI262" s="3">
        <v>36</v>
      </c>
      <c r="AJ262" s="3">
        <v>6</v>
      </c>
      <c r="AK262" s="3">
        <v>85</v>
      </c>
      <c r="AL262" s="3" t="s">
        <v>671</v>
      </c>
      <c r="AM262" s="3" t="s">
        <v>124</v>
      </c>
      <c r="AN262" s="3" t="s">
        <v>672</v>
      </c>
      <c r="AO262" s="3" t="s">
        <v>4139</v>
      </c>
      <c r="AP262" s="3" t="s">
        <v>4140</v>
      </c>
      <c r="AQ262" s="3" t="s">
        <v>74</v>
      </c>
      <c r="AR262" s="3" t="s">
        <v>4141</v>
      </c>
      <c r="AS262" s="3" t="s">
        <v>4142</v>
      </c>
      <c r="AT262" s="3" t="s">
        <v>5584</v>
      </c>
      <c r="AU262" s="3">
        <v>2023</v>
      </c>
      <c r="AV262" s="3">
        <v>307</v>
      </c>
      <c r="AW262" s="3">
        <v>3</v>
      </c>
      <c r="AX262" s="3" t="s">
        <v>74</v>
      </c>
      <c r="AY262" s="3" t="s">
        <v>74</v>
      </c>
      <c r="AZ262" s="3" t="s">
        <v>74</v>
      </c>
      <c r="BA262" s="3" t="s">
        <v>74</v>
      </c>
      <c r="BB262" s="3">
        <v>1071</v>
      </c>
      <c r="BC262" s="3">
        <v>1084</v>
      </c>
      <c r="BD262" s="3" t="s">
        <v>74</v>
      </c>
      <c r="BE262" s="3" t="s">
        <v>5585</v>
      </c>
      <c r="BF262" s="3" t="str">
        <f>HYPERLINK("http://dx.doi.org/10.1016/j.ejor.2022.09.022","http://dx.doi.org/10.1016/j.ejor.2022.09.022")</f>
        <v>http://dx.doi.org/10.1016/j.ejor.2022.09.022</v>
      </c>
      <c r="BG262" s="3" t="s">
        <v>74</v>
      </c>
      <c r="BH262" s="3" t="s">
        <v>5586</v>
      </c>
      <c r="BI262" s="3">
        <v>14</v>
      </c>
      <c r="BJ262" s="3" t="s">
        <v>3346</v>
      </c>
      <c r="BK262" s="3" t="s">
        <v>179</v>
      </c>
      <c r="BL262" s="3" t="s">
        <v>3347</v>
      </c>
      <c r="BM262" s="3" t="s">
        <v>5587</v>
      </c>
      <c r="BN262" s="3" t="s">
        <v>74</v>
      </c>
      <c r="BO262" s="3" t="s">
        <v>74</v>
      </c>
      <c r="BP262" s="3" t="s">
        <v>74</v>
      </c>
      <c r="BQ262" s="3" t="s">
        <v>74</v>
      </c>
      <c r="BR262" s="3" t="s">
        <v>101</v>
      </c>
      <c r="BS262" s="3" t="s">
        <v>5588</v>
      </c>
      <c r="BT262" s="3" t="str">
        <f>HYPERLINK("https%3A%2F%2Fwww.webofscience.com%2Fwos%2Fwoscc%2Ffull-record%2FWOS:000933853200001","View Full Record in Web of Science")</f>
        <v>View Full Record in Web of Science</v>
      </c>
      <c r="BU262" s="3"/>
      <c r="BV262" s="3"/>
      <c r="BW262" s="1"/>
    </row>
    <row r="263" spans="1:75" x14ac:dyDescent="0.25">
      <c r="A263" s="3" t="s">
        <v>72</v>
      </c>
      <c r="B263" s="3" t="s">
        <v>5589</v>
      </c>
      <c r="C263" s="3" t="s">
        <v>74</v>
      </c>
      <c r="D263" s="3" t="s">
        <v>74</v>
      </c>
      <c r="E263" s="3" t="s">
        <v>74</v>
      </c>
      <c r="F263" s="3" t="s">
        <v>5590</v>
      </c>
      <c r="G263" s="3" t="s">
        <v>74</v>
      </c>
      <c r="H263" s="3" t="s">
        <v>74</v>
      </c>
      <c r="I263" s="3" t="s">
        <v>5591</v>
      </c>
      <c r="J263" s="3" t="s">
        <v>5592</v>
      </c>
      <c r="K263" s="3" t="s">
        <v>74</v>
      </c>
      <c r="L263" s="3" t="s">
        <v>74</v>
      </c>
      <c r="M263" s="3" t="s">
        <v>110</v>
      </c>
      <c r="N263" s="3" t="s">
        <v>2802</v>
      </c>
      <c r="O263" s="3" t="s">
        <v>74</v>
      </c>
      <c r="P263" s="3" t="s">
        <v>74</v>
      </c>
      <c r="Q263" s="3" t="s">
        <v>74</v>
      </c>
      <c r="R263" s="3" t="s">
        <v>74</v>
      </c>
      <c r="S263" s="3" t="s">
        <v>74</v>
      </c>
      <c r="T263" s="3" t="s">
        <v>5593</v>
      </c>
      <c r="U263" s="3" t="s">
        <v>5594</v>
      </c>
      <c r="V263" s="3" t="s">
        <v>5595</v>
      </c>
      <c r="W263" s="3" t="s">
        <v>5596</v>
      </c>
      <c r="X263" s="3" t="s">
        <v>5597</v>
      </c>
      <c r="Y263" s="3" t="s">
        <v>5598</v>
      </c>
      <c r="Z263" s="3" t="s">
        <v>5599</v>
      </c>
      <c r="AA263" s="3" t="s">
        <v>5600</v>
      </c>
      <c r="AB263" s="3" t="s">
        <v>5601</v>
      </c>
      <c r="AC263" s="3" t="s">
        <v>5602</v>
      </c>
      <c r="AD263" s="3" t="s">
        <v>5602</v>
      </c>
      <c r="AE263" s="3" t="s">
        <v>3342</v>
      </c>
      <c r="AF263" s="3" t="s">
        <v>74</v>
      </c>
      <c r="AG263" s="3">
        <v>39</v>
      </c>
      <c r="AH263" s="3">
        <v>3</v>
      </c>
      <c r="AI263" s="3">
        <v>3</v>
      </c>
      <c r="AJ263" s="3">
        <v>3</v>
      </c>
      <c r="AK263" s="3">
        <v>9</v>
      </c>
      <c r="AL263" s="3" t="s">
        <v>1120</v>
      </c>
      <c r="AM263" s="3" t="s">
        <v>1121</v>
      </c>
      <c r="AN263" s="3" t="s">
        <v>1122</v>
      </c>
      <c r="AO263" s="3" t="s">
        <v>5603</v>
      </c>
      <c r="AP263" s="3" t="s">
        <v>5604</v>
      </c>
      <c r="AQ263" s="3" t="s">
        <v>74</v>
      </c>
      <c r="AR263" s="3" t="s">
        <v>5605</v>
      </c>
      <c r="AS263" s="3" t="s">
        <v>5606</v>
      </c>
      <c r="AT263" s="3" t="s">
        <v>5607</v>
      </c>
      <c r="AU263" s="3">
        <v>2024</v>
      </c>
      <c r="AV263" s="3" t="s">
        <v>74</v>
      </c>
      <c r="AW263" s="3" t="s">
        <v>74</v>
      </c>
      <c r="AX263" s="3" t="s">
        <v>74</v>
      </c>
      <c r="AY263" s="3" t="s">
        <v>74</v>
      </c>
      <c r="AZ263" s="3" t="s">
        <v>74</v>
      </c>
      <c r="BA263" s="3" t="s">
        <v>74</v>
      </c>
      <c r="BB263" s="3" t="s">
        <v>74</v>
      </c>
      <c r="BC263" s="3" t="s">
        <v>74</v>
      </c>
      <c r="BD263" s="3" t="s">
        <v>74</v>
      </c>
      <c r="BE263" s="3" t="s">
        <v>5608</v>
      </c>
      <c r="BF263" s="3" t="str">
        <f>HYPERLINK("http://dx.doi.org/10.1007/s10479-024-06034-0","http://dx.doi.org/10.1007/s10479-024-06034-0")</f>
        <v>http://dx.doi.org/10.1007/s10479-024-06034-0</v>
      </c>
      <c r="BG263" s="3" t="s">
        <v>74</v>
      </c>
      <c r="BH263" s="3" t="s">
        <v>2748</v>
      </c>
      <c r="BI263" s="3">
        <v>19</v>
      </c>
      <c r="BJ263" s="3" t="s">
        <v>1060</v>
      </c>
      <c r="BK263" s="3" t="s">
        <v>179</v>
      </c>
      <c r="BL263" s="3" t="s">
        <v>1060</v>
      </c>
      <c r="BM263" s="3" t="s">
        <v>5609</v>
      </c>
      <c r="BN263" s="3" t="s">
        <v>74</v>
      </c>
      <c r="BO263" s="3" t="s">
        <v>74</v>
      </c>
      <c r="BP263" s="3" t="s">
        <v>74</v>
      </c>
      <c r="BQ263" s="3" t="s">
        <v>74</v>
      </c>
      <c r="BR263" s="3" t="s">
        <v>101</v>
      </c>
      <c r="BS263" s="3" t="s">
        <v>5610</v>
      </c>
      <c r="BT263" s="3" t="str">
        <f>HYPERLINK("https%3A%2F%2Fwww.webofscience.com%2Fwos%2Fwoscc%2Ffull-record%2FWOS:001227151700002","View Full Record in Web of Science")</f>
        <v>View Full Record in Web of Science</v>
      </c>
      <c r="BU263" s="3"/>
      <c r="BV263" s="3"/>
      <c r="BW263" s="1"/>
    </row>
    <row r="264" spans="1:75" x14ac:dyDescent="0.25">
      <c r="A264" s="3" t="s">
        <v>72</v>
      </c>
      <c r="B264" s="3" t="s">
        <v>5611</v>
      </c>
      <c r="C264" s="3" t="s">
        <v>74</v>
      </c>
      <c r="D264" s="3" t="s">
        <v>74</v>
      </c>
      <c r="E264" s="3" t="s">
        <v>74</v>
      </c>
      <c r="F264" s="3" t="s">
        <v>5612</v>
      </c>
      <c r="G264" s="3" t="s">
        <v>74</v>
      </c>
      <c r="H264" s="3" t="s">
        <v>74</v>
      </c>
      <c r="I264" s="3" t="s">
        <v>5613</v>
      </c>
      <c r="J264" s="3" t="s">
        <v>5614</v>
      </c>
      <c r="K264" s="3" t="s">
        <v>74</v>
      </c>
      <c r="L264" s="3" t="s">
        <v>74</v>
      </c>
      <c r="M264" s="3" t="s">
        <v>110</v>
      </c>
      <c r="N264" s="3" t="s">
        <v>216</v>
      </c>
      <c r="O264" s="3" t="s">
        <v>74</v>
      </c>
      <c r="P264" s="3" t="s">
        <v>74</v>
      </c>
      <c r="Q264" s="3" t="s">
        <v>74</v>
      </c>
      <c r="R264" s="3" t="s">
        <v>74</v>
      </c>
      <c r="S264" s="3" t="s">
        <v>74</v>
      </c>
      <c r="T264" s="3" t="s">
        <v>5615</v>
      </c>
      <c r="U264" s="3" t="s">
        <v>5616</v>
      </c>
      <c r="V264" s="3" t="s">
        <v>5617</v>
      </c>
      <c r="W264" s="3" t="s">
        <v>5618</v>
      </c>
      <c r="X264" s="3" t="s">
        <v>5619</v>
      </c>
      <c r="Y264" s="3" t="s">
        <v>5620</v>
      </c>
      <c r="Z264" s="3" t="s">
        <v>5621</v>
      </c>
      <c r="AA264" s="3" t="s">
        <v>5622</v>
      </c>
      <c r="AB264" s="3" t="s">
        <v>5623</v>
      </c>
      <c r="AC264" s="3" t="s">
        <v>5624</v>
      </c>
      <c r="AD264" s="3" t="s">
        <v>5624</v>
      </c>
      <c r="AE264" s="3" t="s">
        <v>5625</v>
      </c>
      <c r="AF264" s="3" t="s">
        <v>74</v>
      </c>
      <c r="AG264" s="3">
        <v>57</v>
      </c>
      <c r="AH264" s="3">
        <v>1</v>
      </c>
      <c r="AI264" s="3">
        <v>2</v>
      </c>
      <c r="AJ264" s="3">
        <v>4</v>
      </c>
      <c r="AK264" s="3">
        <v>5</v>
      </c>
      <c r="AL264" s="3" t="s">
        <v>1120</v>
      </c>
      <c r="AM264" s="3" t="s">
        <v>200</v>
      </c>
      <c r="AN264" s="3" t="s">
        <v>1559</v>
      </c>
      <c r="AO264" s="3" t="s">
        <v>74</v>
      </c>
      <c r="AP264" s="3" t="s">
        <v>5626</v>
      </c>
      <c r="AQ264" s="3" t="s">
        <v>74</v>
      </c>
      <c r="AR264" s="3" t="s">
        <v>5627</v>
      </c>
      <c r="AS264" s="3" t="s">
        <v>5628</v>
      </c>
      <c r="AT264" s="3" t="s">
        <v>5629</v>
      </c>
      <c r="AU264" s="3">
        <v>2024</v>
      </c>
      <c r="AV264" s="3">
        <v>6</v>
      </c>
      <c r="AW264" s="3">
        <v>12</v>
      </c>
      <c r="AX264" s="3" t="s">
        <v>74</v>
      </c>
      <c r="AY264" s="3" t="s">
        <v>74</v>
      </c>
      <c r="AZ264" s="3" t="s">
        <v>74</v>
      </c>
      <c r="BA264" s="3" t="s">
        <v>74</v>
      </c>
      <c r="BB264" s="3" t="s">
        <v>74</v>
      </c>
      <c r="BC264" s="3" t="s">
        <v>74</v>
      </c>
      <c r="BD264" s="3">
        <v>660</v>
      </c>
      <c r="BE264" s="3" t="s">
        <v>5630</v>
      </c>
      <c r="BF264" s="3" t="str">
        <f>HYPERLINK("http://dx.doi.org/10.1007/s42452-024-06404-0","http://dx.doi.org/10.1007/s42452-024-06404-0")</f>
        <v>http://dx.doi.org/10.1007/s42452-024-06404-0</v>
      </c>
      <c r="BG264" s="3" t="s">
        <v>74</v>
      </c>
      <c r="BH264" s="3" t="s">
        <v>74</v>
      </c>
      <c r="BI264" s="3">
        <v>18</v>
      </c>
      <c r="BJ264" s="3" t="s">
        <v>235</v>
      </c>
      <c r="BK264" s="3" t="s">
        <v>97</v>
      </c>
      <c r="BL264" s="3" t="s">
        <v>236</v>
      </c>
      <c r="BM264" s="3" t="s">
        <v>5631</v>
      </c>
      <c r="BN264" s="3" t="s">
        <v>74</v>
      </c>
      <c r="BO264" s="3" t="s">
        <v>100</v>
      </c>
      <c r="BP264" s="3" t="s">
        <v>74</v>
      </c>
      <c r="BQ264" s="3" t="s">
        <v>74</v>
      </c>
      <c r="BR264" s="3" t="s">
        <v>101</v>
      </c>
      <c r="BS264" s="3" t="s">
        <v>5632</v>
      </c>
      <c r="BT264" s="3" t="str">
        <f>HYPERLINK("https%3A%2F%2Fwww.webofscience.com%2Fwos%2Fwoscc%2Ffull-record%2FWOS:001369371900003","View Full Record in Web of Science")</f>
        <v>View Full Record in Web of Science</v>
      </c>
      <c r="BU264" s="3"/>
      <c r="BV264" s="3"/>
      <c r="BW264" s="1"/>
    </row>
    <row r="265" spans="1:75" x14ac:dyDescent="0.25">
      <c r="A265" s="3" t="s">
        <v>103</v>
      </c>
      <c r="B265" s="3" t="s">
        <v>5633</v>
      </c>
      <c r="C265" s="3" t="s">
        <v>74</v>
      </c>
      <c r="D265" s="3" t="s">
        <v>74</v>
      </c>
      <c r="E265" s="3" t="s">
        <v>199</v>
      </c>
      <c r="F265" s="3" t="s">
        <v>5634</v>
      </c>
      <c r="G265" s="3" t="s">
        <v>74</v>
      </c>
      <c r="H265" s="3" t="s">
        <v>74</v>
      </c>
      <c r="I265" s="3" t="s">
        <v>5635</v>
      </c>
      <c r="J265" s="3" t="s">
        <v>5636</v>
      </c>
      <c r="K265" s="3" t="s">
        <v>74</v>
      </c>
      <c r="L265" s="3" t="s">
        <v>74</v>
      </c>
      <c r="M265" s="3" t="s">
        <v>110</v>
      </c>
      <c r="N265" s="3" t="s">
        <v>111</v>
      </c>
      <c r="O265" s="3" t="s">
        <v>5637</v>
      </c>
      <c r="P265" s="3" t="s">
        <v>5638</v>
      </c>
      <c r="Q265" s="3" t="s">
        <v>5639</v>
      </c>
      <c r="R265" s="3" t="s">
        <v>74</v>
      </c>
      <c r="S265" s="3" t="s">
        <v>5640</v>
      </c>
      <c r="T265" s="3" t="s">
        <v>5641</v>
      </c>
      <c r="U265" s="3" t="s">
        <v>74</v>
      </c>
      <c r="V265" s="3" t="s">
        <v>5642</v>
      </c>
      <c r="W265" s="3" t="s">
        <v>5643</v>
      </c>
      <c r="X265" s="3" t="s">
        <v>5644</v>
      </c>
      <c r="Y265" s="3" t="s">
        <v>5645</v>
      </c>
      <c r="Z265" s="3" t="s">
        <v>5646</v>
      </c>
      <c r="AA265" s="3" t="s">
        <v>5647</v>
      </c>
      <c r="AB265" s="3" t="s">
        <v>5648</v>
      </c>
      <c r="AC265" s="3" t="s">
        <v>74</v>
      </c>
      <c r="AD265" s="3" t="s">
        <v>74</v>
      </c>
      <c r="AE265" s="3" t="s">
        <v>74</v>
      </c>
      <c r="AF265" s="3" t="s">
        <v>74</v>
      </c>
      <c r="AG265" s="3">
        <v>21</v>
      </c>
      <c r="AH265" s="3">
        <v>2</v>
      </c>
      <c r="AI265" s="3">
        <v>3</v>
      </c>
      <c r="AJ265" s="3">
        <v>0</v>
      </c>
      <c r="AK265" s="3">
        <v>2</v>
      </c>
      <c r="AL265" s="3" t="s">
        <v>199</v>
      </c>
      <c r="AM265" s="3" t="s">
        <v>200</v>
      </c>
      <c r="AN265" s="3" t="s">
        <v>201</v>
      </c>
      <c r="AO265" s="3" t="s">
        <v>74</v>
      </c>
      <c r="AP265" s="3" t="s">
        <v>74</v>
      </c>
      <c r="AQ265" s="3" t="s">
        <v>5649</v>
      </c>
      <c r="AR265" s="3" t="s">
        <v>74</v>
      </c>
      <c r="AS265" s="3" t="s">
        <v>74</v>
      </c>
      <c r="AT265" s="3" t="s">
        <v>74</v>
      </c>
      <c r="AU265" s="3">
        <v>2024</v>
      </c>
      <c r="AV265" s="3" t="s">
        <v>74</v>
      </c>
      <c r="AW265" s="3" t="s">
        <v>74</v>
      </c>
      <c r="AX265" s="3" t="s">
        <v>74</v>
      </c>
      <c r="AY265" s="3" t="s">
        <v>74</v>
      </c>
      <c r="AZ265" s="3" t="s">
        <v>74</v>
      </c>
      <c r="BA265" s="3" t="s">
        <v>74</v>
      </c>
      <c r="BB265" s="3">
        <v>362</v>
      </c>
      <c r="BC265" s="3">
        <v>367</v>
      </c>
      <c r="BD265" s="3" t="s">
        <v>74</v>
      </c>
      <c r="BE265" s="3" t="s">
        <v>5650</v>
      </c>
      <c r="BF265" s="3" t="str">
        <f>HYPERLINK("http://dx.doi.org/10.1109/ICOICI62503.2024.10696734","http://dx.doi.org/10.1109/ICOICI62503.2024.10696734")</f>
        <v>http://dx.doi.org/10.1109/ICOICI62503.2024.10696734</v>
      </c>
      <c r="BG265" s="3" t="s">
        <v>74</v>
      </c>
      <c r="BH265" s="3" t="s">
        <v>74</v>
      </c>
      <c r="BI265" s="3">
        <v>6</v>
      </c>
      <c r="BJ265" s="3" t="s">
        <v>3153</v>
      </c>
      <c r="BK265" s="3" t="s">
        <v>208</v>
      </c>
      <c r="BL265" s="3" t="s">
        <v>486</v>
      </c>
      <c r="BM265" s="3" t="s">
        <v>5651</v>
      </c>
      <c r="BN265" s="3" t="s">
        <v>74</v>
      </c>
      <c r="BO265" s="3" t="s">
        <v>74</v>
      </c>
      <c r="BP265" s="3" t="s">
        <v>74</v>
      </c>
      <c r="BQ265" s="3" t="s">
        <v>74</v>
      </c>
      <c r="BR265" s="3" t="s">
        <v>101</v>
      </c>
      <c r="BS265" s="3" t="s">
        <v>5652</v>
      </c>
      <c r="BT265" s="3" t="str">
        <f>HYPERLINK("https%3A%2F%2Fwww.webofscience.com%2Fwos%2Fwoscc%2Ffull-record%2FWOS:001339488100059","View Full Record in Web of Science")</f>
        <v>View Full Record in Web of Science</v>
      </c>
      <c r="BU265" s="3"/>
      <c r="BV265" s="3"/>
      <c r="BW265" s="1"/>
    </row>
    <row r="266" spans="1:75" x14ac:dyDescent="0.25">
      <c r="A266" s="3" t="s">
        <v>72</v>
      </c>
      <c r="B266" s="3" t="s">
        <v>5653</v>
      </c>
      <c r="C266" s="3" t="s">
        <v>74</v>
      </c>
      <c r="D266" s="3" t="s">
        <v>74</v>
      </c>
      <c r="E266" s="3" t="s">
        <v>74</v>
      </c>
      <c r="F266" s="3" t="s">
        <v>5654</v>
      </c>
      <c r="G266" s="3" t="s">
        <v>74</v>
      </c>
      <c r="H266" s="3" t="s">
        <v>74</v>
      </c>
      <c r="I266" s="3" t="s">
        <v>5655</v>
      </c>
      <c r="J266" s="3" t="s">
        <v>5656</v>
      </c>
      <c r="K266" s="3" t="s">
        <v>74</v>
      </c>
      <c r="L266" s="3" t="s">
        <v>74</v>
      </c>
      <c r="M266" s="3" t="s">
        <v>110</v>
      </c>
      <c r="N266" s="3" t="s">
        <v>79</v>
      </c>
      <c r="O266" s="3" t="s">
        <v>74</v>
      </c>
      <c r="P266" s="3" t="s">
        <v>74</v>
      </c>
      <c r="Q266" s="3" t="s">
        <v>74</v>
      </c>
      <c r="R266" s="3" t="s">
        <v>74</v>
      </c>
      <c r="S266" s="3" t="s">
        <v>74</v>
      </c>
      <c r="T266" s="3" t="s">
        <v>5657</v>
      </c>
      <c r="U266" s="3" t="s">
        <v>5658</v>
      </c>
      <c r="V266" s="3" t="s">
        <v>5659</v>
      </c>
      <c r="W266" s="3" t="s">
        <v>5660</v>
      </c>
      <c r="X266" s="3" t="s">
        <v>5661</v>
      </c>
      <c r="Y266" s="3" t="s">
        <v>5662</v>
      </c>
      <c r="Z266" s="3" t="s">
        <v>5663</v>
      </c>
      <c r="AA266" s="3" t="s">
        <v>74</v>
      </c>
      <c r="AB266" s="3" t="s">
        <v>74</v>
      </c>
      <c r="AC266" s="3" t="s">
        <v>5664</v>
      </c>
      <c r="AD266" s="3" t="s">
        <v>5665</v>
      </c>
      <c r="AE266" s="3" t="s">
        <v>5666</v>
      </c>
      <c r="AF266" s="3" t="s">
        <v>74</v>
      </c>
      <c r="AG266" s="3">
        <v>41</v>
      </c>
      <c r="AH266" s="3">
        <v>5</v>
      </c>
      <c r="AI266" s="3">
        <v>6</v>
      </c>
      <c r="AJ266" s="3">
        <v>3</v>
      </c>
      <c r="AK266" s="3">
        <v>46</v>
      </c>
      <c r="AL266" s="3" t="s">
        <v>2834</v>
      </c>
      <c r="AM266" s="3" t="s">
        <v>2835</v>
      </c>
      <c r="AN266" s="3" t="s">
        <v>2836</v>
      </c>
      <c r="AO266" s="3" t="s">
        <v>74</v>
      </c>
      <c r="AP266" s="3" t="s">
        <v>5667</v>
      </c>
      <c r="AQ266" s="3" t="s">
        <v>74</v>
      </c>
      <c r="AR266" s="3" t="s">
        <v>5668</v>
      </c>
      <c r="AS266" s="3" t="s">
        <v>5669</v>
      </c>
      <c r="AT266" s="3" t="s">
        <v>5670</v>
      </c>
      <c r="AU266" s="3">
        <v>2023</v>
      </c>
      <c r="AV266" s="3">
        <v>11</v>
      </c>
      <c r="AW266" s="3" t="s">
        <v>74</v>
      </c>
      <c r="AX266" s="3" t="s">
        <v>74</v>
      </c>
      <c r="AY266" s="3" t="s">
        <v>74</v>
      </c>
      <c r="AZ266" s="3" t="s">
        <v>74</v>
      </c>
      <c r="BA266" s="3" t="s">
        <v>74</v>
      </c>
      <c r="BB266" s="3" t="s">
        <v>74</v>
      </c>
      <c r="BC266" s="3" t="s">
        <v>74</v>
      </c>
      <c r="BD266" s="3">
        <v>1128079</v>
      </c>
      <c r="BE266" s="3" t="s">
        <v>5671</v>
      </c>
      <c r="BF266" s="3" t="str">
        <f>HYPERLINK("http://dx.doi.org/10.3389/fenvs.2023.1128079","http://dx.doi.org/10.3389/fenvs.2023.1128079")</f>
        <v>http://dx.doi.org/10.3389/fenvs.2023.1128079</v>
      </c>
      <c r="BG266" s="3" t="s">
        <v>74</v>
      </c>
      <c r="BH266" s="3" t="s">
        <v>74</v>
      </c>
      <c r="BI266" s="3">
        <v>16</v>
      </c>
      <c r="BJ266" s="3" t="s">
        <v>704</v>
      </c>
      <c r="BK266" s="3" t="s">
        <v>179</v>
      </c>
      <c r="BL266" s="3" t="s">
        <v>705</v>
      </c>
      <c r="BM266" s="3" t="s">
        <v>5672</v>
      </c>
      <c r="BN266" s="3" t="s">
        <v>74</v>
      </c>
      <c r="BO266" s="3" t="s">
        <v>100</v>
      </c>
      <c r="BP266" s="3" t="s">
        <v>74</v>
      </c>
      <c r="BQ266" s="3" t="s">
        <v>74</v>
      </c>
      <c r="BR266" s="3" t="s">
        <v>101</v>
      </c>
      <c r="BS266" s="3" t="s">
        <v>5673</v>
      </c>
      <c r="BT266" s="3" t="str">
        <f>HYPERLINK("https%3A%2F%2Fwww.webofscience.com%2Fwos%2Fwoscc%2Ffull-record%2FWOS:000944091900001","View Full Record in Web of Science")</f>
        <v>View Full Record in Web of Science</v>
      </c>
      <c r="BU266" s="3"/>
      <c r="BV266" s="3"/>
      <c r="BW266" s="1"/>
    </row>
    <row r="267" spans="1:75" x14ac:dyDescent="0.25">
      <c r="A267" s="3" t="s">
        <v>103</v>
      </c>
      <c r="B267" s="3" t="s">
        <v>5674</v>
      </c>
      <c r="C267" s="3" t="s">
        <v>74</v>
      </c>
      <c r="D267" s="3" t="s">
        <v>5675</v>
      </c>
      <c r="E267" s="3" t="s">
        <v>74</v>
      </c>
      <c r="F267" s="3" t="s">
        <v>5676</v>
      </c>
      <c r="G267" s="3" t="s">
        <v>74</v>
      </c>
      <c r="H267" s="3" t="s">
        <v>74</v>
      </c>
      <c r="I267" s="3" t="s">
        <v>5677</v>
      </c>
      <c r="J267" s="3" t="s">
        <v>5678</v>
      </c>
      <c r="K267" s="3" t="s">
        <v>3508</v>
      </c>
      <c r="L267" s="3" t="s">
        <v>74</v>
      </c>
      <c r="M267" s="3" t="s">
        <v>110</v>
      </c>
      <c r="N267" s="3" t="s">
        <v>111</v>
      </c>
      <c r="O267" s="3" t="s">
        <v>5679</v>
      </c>
      <c r="P267" s="3" t="s">
        <v>5680</v>
      </c>
      <c r="Q267" s="3" t="s">
        <v>5681</v>
      </c>
      <c r="R267" s="3" t="s">
        <v>74</v>
      </c>
      <c r="S267" s="3" t="s">
        <v>74</v>
      </c>
      <c r="T267" s="3" t="s">
        <v>5682</v>
      </c>
      <c r="U267" s="3" t="s">
        <v>74</v>
      </c>
      <c r="V267" s="3" t="s">
        <v>5683</v>
      </c>
      <c r="W267" s="3" t="s">
        <v>5684</v>
      </c>
      <c r="X267" s="3" t="s">
        <v>5685</v>
      </c>
      <c r="Y267" s="3" t="s">
        <v>5686</v>
      </c>
      <c r="Z267" s="3" t="s">
        <v>5687</v>
      </c>
      <c r="AA267" s="3" t="s">
        <v>74</v>
      </c>
      <c r="AB267" s="3" t="s">
        <v>5688</v>
      </c>
      <c r="AC267" s="3" t="s">
        <v>74</v>
      </c>
      <c r="AD267" s="3" t="s">
        <v>74</v>
      </c>
      <c r="AE267" s="3" t="s">
        <v>74</v>
      </c>
      <c r="AF267" s="3" t="s">
        <v>74</v>
      </c>
      <c r="AG267" s="3">
        <v>19</v>
      </c>
      <c r="AH267" s="3">
        <v>0</v>
      </c>
      <c r="AI267" s="3">
        <v>0</v>
      </c>
      <c r="AJ267" s="3">
        <v>3</v>
      </c>
      <c r="AK267" s="3">
        <v>3</v>
      </c>
      <c r="AL267" s="3" t="s">
        <v>374</v>
      </c>
      <c r="AM267" s="3" t="s">
        <v>375</v>
      </c>
      <c r="AN267" s="3" t="s">
        <v>376</v>
      </c>
      <c r="AO267" s="3" t="s">
        <v>3521</v>
      </c>
      <c r="AP267" s="3" t="s">
        <v>3522</v>
      </c>
      <c r="AQ267" s="3" t="s">
        <v>5689</v>
      </c>
      <c r="AR267" s="3" t="s">
        <v>3524</v>
      </c>
      <c r="AS267" s="3" t="s">
        <v>74</v>
      </c>
      <c r="AT267" s="3" t="s">
        <v>74</v>
      </c>
      <c r="AU267" s="3">
        <v>2025</v>
      </c>
      <c r="AV267" s="3">
        <v>1335</v>
      </c>
      <c r="AW267" s="3" t="s">
        <v>74</v>
      </c>
      <c r="AX267" s="3" t="s">
        <v>74</v>
      </c>
      <c r="AY267" s="3" t="s">
        <v>74</v>
      </c>
      <c r="AZ267" s="3" t="s">
        <v>74</v>
      </c>
      <c r="BA267" s="3" t="s">
        <v>74</v>
      </c>
      <c r="BB267" s="3">
        <v>372</v>
      </c>
      <c r="BC267" s="3">
        <v>384</v>
      </c>
      <c r="BD267" s="3" t="s">
        <v>74</v>
      </c>
      <c r="BE267" s="3" t="s">
        <v>5690</v>
      </c>
      <c r="BF267" s="3" t="str">
        <f>HYPERLINK("http://dx.doi.org/10.1007/978-3-031-87376-8_33","http://dx.doi.org/10.1007/978-3-031-87376-8_33")</f>
        <v>http://dx.doi.org/10.1007/978-3-031-87376-8_33</v>
      </c>
      <c r="BG267" s="3" t="s">
        <v>74</v>
      </c>
      <c r="BH267" s="3" t="s">
        <v>74</v>
      </c>
      <c r="BI267" s="3">
        <v>13</v>
      </c>
      <c r="BJ267" s="3" t="s">
        <v>788</v>
      </c>
      <c r="BK267" s="3" t="s">
        <v>208</v>
      </c>
      <c r="BL267" s="3" t="s">
        <v>789</v>
      </c>
      <c r="BM267" s="3" t="s">
        <v>5691</v>
      </c>
      <c r="BN267" s="3" t="s">
        <v>74</v>
      </c>
      <c r="BO267" s="3" t="s">
        <v>74</v>
      </c>
      <c r="BP267" s="3" t="s">
        <v>74</v>
      </c>
      <c r="BQ267" s="3" t="s">
        <v>74</v>
      </c>
      <c r="BR267" s="3" t="s">
        <v>101</v>
      </c>
      <c r="BS267" s="3" t="s">
        <v>5692</v>
      </c>
      <c r="BT267" s="3" t="str">
        <f>HYPERLINK("https%3A%2F%2Fwww.webofscience.com%2Fwos%2Fwoscc%2Ffull-record%2FWOS:001512824500033","View Full Record in Web of Science")</f>
        <v>View Full Record in Web of Science</v>
      </c>
      <c r="BU267" s="3"/>
      <c r="BV267" s="3"/>
      <c r="BW267" s="1"/>
    </row>
    <row r="268" spans="1:75" x14ac:dyDescent="0.25">
      <c r="A268" s="3" t="s">
        <v>72</v>
      </c>
      <c r="B268" s="3" t="s">
        <v>5693</v>
      </c>
      <c r="C268" s="3" t="s">
        <v>74</v>
      </c>
      <c r="D268" s="3" t="s">
        <v>74</v>
      </c>
      <c r="E268" s="3" t="s">
        <v>74</v>
      </c>
      <c r="F268" s="3" t="s">
        <v>5694</v>
      </c>
      <c r="G268" s="3" t="s">
        <v>74</v>
      </c>
      <c r="H268" s="3" t="s">
        <v>74</v>
      </c>
      <c r="I268" s="3" t="s">
        <v>5695</v>
      </c>
      <c r="J268" s="3" t="s">
        <v>5696</v>
      </c>
      <c r="K268" s="3" t="s">
        <v>74</v>
      </c>
      <c r="L268" s="3" t="s">
        <v>74</v>
      </c>
      <c r="M268" s="3" t="s">
        <v>110</v>
      </c>
      <c r="N268" s="3" t="s">
        <v>79</v>
      </c>
      <c r="O268" s="3" t="s">
        <v>74</v>
      </c>
      <c r="P268" s="3" t="s">
        <v>74</v>
      </c>
      <c r="Q268" s="3" t="s">
        <v>74</v>
      </c>
      <c r="R268" s="3" t="s">
        <v>74</v>
      </c>
      <c r="S268" s="3" t="s">
        <v>74</v>
      </c>
      <c r="T268" s="3" t="s">
        <v>5697</v>
      </c>
      <c r="U268" s="3" t="s">
        <v>5698</v>
      </c>
      <c r="V268" s="3" t="s">
        <v>5699</v>
      </c>
      <c r="W268" s="3" t="s">
        <v>5700</v>
      </c>
      <c r="X268" s="3" t="s">
        <v>5701</v>
      </c>
      <c r="Y268" s="3" t="s">
        <v>5702</v>
      </c>
      <c r="Z268" s="3" t="s">
        <v>5703</v>
      </c>
      <c r="AA268" s="3" t="s">
        <v>74</v>
      </c>
      <c r="AB268" s="3" t="s">
        <v>5704</v>
      </c>
      <c r="AC268" s="3" t="s">
        <v>5705</v>
      </c>
      <c r="AD268" s="3" t="s">
        <v>5706</v>
      </c>
      <c r="AE268" s="3" t="s">
        <v>5707</v>
      </c>
      <c r="AF268" s="3" t="s">
        <v>74</v>
      </c>
      <c r="AG268" s="3">
        <v>82</v>
      </c>
      <c r="AH268" s="3">
        <v>2</v>
      </c>
      <c r="AI268" s="3">
        <v>2</v>
      </c>
      <c r="AJ268" s="3">
        <v>3</v>
      </c>
      <c r="AK268" s="3">
        <v>6</v>
      </c>
      <c r="AL268" s="3" t="s">
        <v>5708</v>
      </c>
      <c r="AM268" s="3" t="s">
        <v>200</v>
      </c>
      <c r="AN268" s="3" t="s">
        <v>5709</v>
      </c>
      <c r="AO268" s="3" t="s">
        <v>5710</v>
      </c>
      <c r="AP268" s="3" t="s">
        <v>5711</v>
      </c>
      <c r="AQ268" s="3" t="s">
        <v>74</v>
      </c>
      <c r="AR268" s="3" t="s">
        <v>5712</v>
      </c>
      <c r="AS268" s="3" t="s">
        <v>5713</v>
      </c>
      <c r="AT268" s="3" t="s">
        <v>608</v>
      </c>
      <c r="AU268" s="3">
        <v>2025</v>
      </c>
      <c r="AV268" s="3">
        <v>213</v>
      </c>
      <c r="AW268" s="3" t="s">
        <v>74</v>
      </c>
      <c r="AX268" s="3" t="s">
        <v>74</v>
      </c>
      <c r="AY268" s="3" t="s">
        <v>74</v>
      </c>
      <c r="AZ268" s="3" t="s">
        <v>74</v>
      </c>
      <c r="BA268" s="3" t="s">
        <v>74</v>
      </c>
      <c r="BB268" s="3" t="s">
        <v>74</v>
      </c>
      <c r="BC268" s="3" t="s">
        <v>74</v>
      </c>
      <c r="BD268" s="3">
        <v>124023</v>
      </c>
      <c r="BE268" s="3" t="s">
        <v>5714</v>
      </c>
      <c r="BF268" s="3" t="str">
        <f>HYPERLINK("http://dx.doi.org/10.1016/j.techfore.2025.124023","http://dx.doi.org/10.1016/j.techfore.2025.124023")</f>
        <v>http://dx.doi.org/10.1016/j.techfore.2025.124023</v>
      </c>
      <c r="BG268" s="3" t="s">
        <v>74</v>
      </c>
      <c r="BH268" s="3" t="s">
        <v>5715</v>
      </c>
      <c r="BI268" s="3">
        <v>12</v>
      </c>
      <c r="BJ268" s="3" t="s">
        <v>5716</v>
      </c>
      <c r="BK268" s="3" t="s">
        <v>264</v>
      </c>
      <c r="BL268" s="3" t="s">
        <v>5717</v>
      </c>
      <c r="BM268" s="3" t="s">
        <v>5718</v>
      </c>
      <c r="BN268" s="3" t="s">
        <v>74</v>
      </c>
      <c r="BO268" s="3" t="s">
        <v>3738</v>
      </c>
      <c r="BP268" s="3" t="s">
        <v>74</v>
      </c>
      <c r="BQ268" s="3" t="s">
        <v>74</v>
      </c>
      <c r="BR268" s="3" t="s">
        <v>101</v>
      </c>
      <c r="BS268" s="3" t="s">
        <v>5719</v>
      </c>
      <c r="BT268" s="3" t="str">
        <f>HYPERLINK("https%3A%2F%2Fwww.webofscience.com%2Fwos%2Fwoscc%2Ffull-record%2FWOS:001422360900001","View Full Record in Web of Science")</f>
        <v>View Full Record in Web of Science</v>
      </c>
      <c r="BU268" s="3"/>
      <c r="BV268" s="3"/>
      <c r="BW268" s="1"/>
    </row>
    <row r="269" spans="1:75" x14ac:dyDescent="0.25">
      <c r="A269" s="3" t="s">
        <v>72</v>
      </c>
      <c r="B269" s="3" t="s">
        <v>5720</v>
      </c>
      <c r="C269" s="3" t="s">
        <v>74</v>
      </c>
      <c r="D269" s="3" t="s">
        <v>74</v>
      </c>
      <c r="E269" s="3" t="s">
        <v>74</v>
      </c>
      <c r="F269" s="3" t="s">
        <v>5721</v>
      </c>
      <c r="G269" s="3" t="s">
        <v>74</v>
      </c>
      <c r="H269" s="3" t="s">
        <v>74</v>
      </c>
      <c r="I269" s="3" t="s">
        <v>5722</v>
      </c>
      <c r="J269" s="3" t="s">
        <v>1783</v>
      </c>
      <c r="K269" s="3" t="s">
        <v>74</v>
      </c>
      <c r="L269" s="3" t="s">
        <v>74</v>
      </c>
      <c r="M269" s="3" t="s">
        <v>110</v>
      </c>
      <c r="N269" s="3" t="s">
        <v>79</v>
      </c>
      <c r="O269" s="3" t="s">
        <v>74</v>
      </c>
      <c r="P269" s="3" t="s">
        <v>74</v>
      </c>
      <c r="Q269" s="3" t="s">
        <v>74</v>
      </c>
      <c r="R269" s="3" t="s">
        <v>74</v>
      </c>
      <c r="S269" s="3" t="s">
        <v>74</v>
      </c>
      <c r="T269" s="3" t="s">
        <v>5723</v>
      </c>
      <c r="U269" s="3" t="s">
        <v>5724</v>
      </c>
      <c r="V269" s="3" t="s">
        <v>5725</v>
      </c>
      <c r="W269" s="3" t="s">
        <v>5726</v>
      </c>
      <c r="X269" s="3" t="s">
        <v>5727</v>
      </c>
      <c r="Y269" s="3" t="s">
        <v>5728</v>
      </c>
      <c r="Z269" s="3" t="s">
        <v>5729</v>
      </c>
      <c r="AA269" s="3" t="s">
        <v>5730</v>
      </c>
      <c r="AB269" s="3" t="s">
        <v>5731</v>
      </c>
      <c r="AC269" s="3" t="s">
        <v>5732</v>
      </c>
      <c r="AD269" s="3" t="s">
        <v>5733</v>
      </c>
      <c r="AE269" s="3" t="s">
        <v>5734</v>
      </c>
      <c r="AF269" s="3" t="s">
        <v>74</v>
      </c>
      <c r="AG269" s="3">
        <v>55</v>
      </c>
      <c r="AH269" s="3">
        <v>204</v>
      </c>
      <c r="AI269" s="3">
        <v>233</v>
      </c>
      <c r="AJ269" s="3">
        <v>7</v>
      </c>
      <c r="AK269" s="3">
        <v>366</v>
      </c>
      <c r="AL269" s="3" t="s">
        <v>304</v>
      </c>
      <c r="AM269" s="3" t="s">
        <v>305</v>
      </c>
      <c r="AN269" s="3" t="s">
        <v>306</v>
      </c>
      <c r="AO269" s="3" t="s">
        <v>1798</v>
      </c>
      <c r="AP269" s="3" t="s">
        <v>74</v>
      </c>
      <c r="AQ269" s="3" t="s">
        <v>74</v>
      </c>
      <c r="AR269" s="3" t="s">
        <v>1799</v>
      </c>
      <c r="AS269" s="3" t="s">
        <v>1800</v>
      </c>
      <c r="AT269" s="3" t="s">
        <v>1240</v>
      </c>
      <c r="AU269" s="3">
        <v>2015</v>
      </c>
      <c r="AV269" s="3">
        <v>36</v>
      </c>
      <c r="AW269" s="3" t="s">
        <v>74</v>
      </c>
      <c r="AX269" s="3" t="s">
        <v>74</v>
      </c>
      <c r="AY269" s="3" t="s">
        <v>74</v>
      </c>
      <c r="AZ269" s="3" t="s">
        <v>74</v>
      </c>
      <c r="BA269" s="3" t="s">
        <v>74</v>
      </c>
      <c r="BB269" s="3">
        <v>29</v>
      </c>
      <c r="BC269" s="3">
        <v>44</v>
      </c>
      <c r="BD269" s="3" t="s">
        <v>74</v>
      </c>
      <c r="BE269" s="3" t="s">
        <v>5735</v>
      </c>
      <c r="BF269" s="3" t="str">
        <f>HYPERLINK("http://dx.doi.org/10.1016/j.trd.2015.02.008","http://dx.doi.org/10.1016/j.trd.2015.02.008")</f>
        <v>http://dx.doi.org/10.1016/j.trd.2015.02.008</v>
      </c>
      <c r="BG269" s="3" t="s">
        <v>74</v>
      </c>
      <c r="BH269" s="3" t="s">
        <v>74</v>
      </c>
      <c r="BI269" s="3">
        <v>16</v>
      </c>
      <c r="BJ269" s="3" t="s">
        <v>1802</v>
      </c>
      <c r="BK269" s="3" t="s">
        <v>154</v>
      </c>
      <c r="BL269" s="3" t="s">
        <v>1804</v>
      </c>
      <c r="BM269" s="3" t="s">
        <v>5736</v>
      </c>
      <c r="BN269" s="3" t="s">
        <v>74</v>
      </c>
      <c r="BO269" s="3" t="s">
        <v>74</v>
      </c>
      <c r="BP269" s="3" t="s">
        <v>74</v>
      </c>
      <c r="BQ269" s="3" t="s">
        <v>74</v>
      </c>
      <c r="BR269" s="3" t="s">
        <v>101</v>
      </c>
      <c r="BS269" s="3" t="s">
        <v>5737</v>
      </c>
      <c r="BT269" s="3" t="str">
        <f>HYPERLINK("https%3A%2F%2Fwww.webofscience.com%2Fwos%2Fwoscc%2Ffull-record%2FWOS:000353742400004","View Full Record in Web of Science")</f>
        <v>View Full Record in Web of Science</v>
      </c>
      <c r="BU269" s="3"/>
      <c r="BV269" s="3"/>
      <c r="BW269" s="1"/>
    </row>
    <row r="270" spans="1:75" x14ac:dyDescent="0.25">
      <c r="A270" s="3" t="s">
        <v>72</v>
      </c>
      <c r="B270" s="3" t="s">
        <v>5738</v>
      </c>
      <c r="C270" s="3" t="s">
        <v>74</v>
      </c>
      <c r="D270" s="3" t="s">
        <v>74</v>
      </c>
      <c r="E270" s="3" t="s">
        <v>74</v>
      </c>
      <c r="F270" s="3" t="s">
        <v>5739</v>
      </c>
      <c r="G270" s="3" t="s">
        <v>74</v>
      </c>
      <c r="H270" s="3" t="s">
        <v>74</v>
      </c>
      <c r="I270" s="3" t="s">
        <v>5740</v>
      </c>
      <c r="J270" s="3" t="s">
        <v>5741</v>
      </c>
      <c r="K270" s="3" t="s">
        <v>74</v>
      </c>
      <c r="L270" s="3" t="s">
        <v>74</v>
      </c>
      <c r="M270" s="3" t="s">
        <v>110</v>
      </c>
      <c r="N270" s="3" t="s">
        <v>2802</v>
      </c>
      <c r="O270" s="3" t="s">
        <v>74</v>
      </c>
      <c r="P270" s="3" t="s">
        <v>74</v>
      </c>
      <c r="Q270" s="3" t="s">
        <v>74</v>
      </c>
      <c r="R270" s="3" t="s">
        <v>74</v>
      </c>
      <c r="S270" s="3" t="s">
        <v>74</v>
      </c>
      <c r="T270" s="3" t="s">
        <v>5742</v>
      </c>
      <c r="U270" s="3" t="s">
        <v>5743</v>
      </c>
      <c r="V270" s="3" t="s">
        <v>5744</v>
      </c>
      <c r="W270" s="3" t="s">
        <v>5745</v>
      </c>
      <c r="X270" s="3" t="s">
        <v>5746</v>
      </c>
      <c r="Y270" s="3" t="s">
        <v>5747</v>
      </c>
      <c r="Z270" s="3" t="s">
        <v>5748</v>
      </c>
      <c r="AA270" s="3" t="s">
        <v>74</v>
      </c>
      <c r="AB270" s="3" t="s">
        <v>74</v>
      </c>
      <c r="AC270" s="3" t="s">
        <v>74</v>
      </c>
      <c r="AD270" s="3" t="s">
        <v>74</v>
      </c>
      <c r="AE270" s="3" t="s">
        <v>74</v>
      </c>
      <c r="AF270" s="3" t="s">
        <v>74</v>
      </c>
      <c r="AG270" s="3">
        <v>46</v>
      </c>
      <c r="AH270" s="3">
        <v>0</v>
      </c>
      <c r="AI270" s="3">
        <v>0</v>
      </c>
      <c r="AJ270" s="3">
        <v>9</v>
      </c>
      <c r="AK270" s="3">
        <v>12</v>
      </c>
      <c r="AL270" s="3" t="s">
        <v>872</v>
      </c>
      <c r="AM270" s="3" t="s">
        <v>873</v>
      </c>
      <c r="AN270" s="3" t="s">
        <v>874</v>
      </c>
      <c r="AO270" s="3" t="s">
        <v>5749</v>
      </c>
      <c r="AP270" s="3" t="s">
        <v>5750</v>
      </c>
      <c r="AQ270" s="3" t="s">
        <v>74</v>
      </c>
      <c r="AR270" s="3" t="s">
        <v>5751</v>
      </c>
      <c r="AS270" s="3" t="s">
        <v>5752</v>
      </c>
      <c r="AT270" s="3" t="s">
        <v>5753</v>
      </c>
      <c r="AU270" s="3">
        <v>2025</v>
      </c>
      <c r="AV270" s="3" t="s">
        <v>74</v>
      </c>
      <c r="AW270" s="3" t="s">
        <v>74</v>
      </c>
      <c r="AX270" s="3" t="s">
        <v>74</v>
      </c>
      <c r="AY270" s="3" t="s">
        <v>74</v>
      </c>
      <c r="AZ270" s="3" t="s">
        <v>74</v>
      </c>
      <c r="BA270" s="3" t="s">
        <v>74</v>
      </c>
      <c r="BB270" s="3" t="s">
        <v>74</v>
      </c>
      <c r="BC270" s="3" t="s">
        <v>74</v>
      </c>
      <c r="BD270" s="3" t="s">
        <v>74</v>
      </c>
      <c r="BE270" s="3" t="s">
        <v>5754</v>
      </c>
      <c r="BF270" s="3" t="str">
        <f>HYPERLINK("http://dx.doi.org/10.1080/03081060.2025.2476747","http://dx.doi.org/10.1080/03081060.2025.2476747")</f>
        <v>http://dx.doi.org/10.1080/03081060.2025.2476747</v>
      </c>
      <c r="BG270" s="3" t="s">
        <v>74</v>
      </c>
      <c r="BH270" s="3" t="s">
        <v>992</v>
      </c>
      <c r="BI270" s="3">
        <v>22</v>
      </c>
      <c r="BJ270" s="3" t="s">
        <v>2355</v>
      </c>
      <c r="BK270" s="3" t="s">
        <v>179</v>
      </c>
      <c r="BL270" s="3" t="s">
        <v>131</v>
      </c>
      <c r="BM270" s="3" t="s">
        <v>5755</v>
      </c>
      <c r="BN270" s="3" t="s">
        <v>74</v>
      </c>
      <c r="BO270" s="3" t="s">
        <v>683</v>
      </c>
      <c r="BP270" s="3" t="s">
        <v>74</v>
      </c>
      <c r="BQ270" s="3" t="s">
        <v>74</v>
      </c>
      <c r="BR270" s="3" t="s">
        <v>101</v>
      </c>
      <c r="BS270" s="3" t="s">
        <v>5756</v>
      </c>
      <c r="BT270" s="3" t="str">
        <f>HYPERLINK("https%3A%2F%2Fwww.webofscience.com%2Fwos%2Fwoscc%2Ffull-record%2FWOS:001441914000001","View Full Record in Web of Science")</f>
        <v>View Full Record in Web of Science</v>
      </c>
      <c r="BU270" s="3"/>
      <c r="BV270" s="3"/>
      <c r="BW270" s="1"/>
    </row>
    <row r="271" spans="1:75" x14ac:dyDescent="0.25">
      <c r="A271" s="3" t="s">
        <v>72</v>
      </c>
      <c r="B271" s="3" t="s">
        <v>5757</v>
      </c>
      <c r="C271" s="3" t="s">
        <v>74</v>
      </c>
      <c r="D271" s="3" t="s">
        <v>74</v>
      </c>
      <c r="E271" s="3" t="s">
        <v>74</v>
      </c>
      <c r="F271" s="3" t="s">
        <v>5758</v>
      </c>
      <c r="G271" s="3" t="s">
        <v>74</v>
      </c>
      <c r="H271" s="3" t="s">
        <v>74</v>
      </c>
      <c r="I271" s="3" t="s">
        <v>5759</v>
      </c>
      <c r="J271" s="3" t="s">
        <v>138</v>
      </c>
      <c r="K271" s="3" t="s">
        <v>74</v>
      </c>
      <c r="L271" s="3" t="s">
        <v>74</v>
      </c>
      <c r="M271" s="3" t="s">
        <v>110</v>
      </c>
      <c r="N271" s="3" t="s">
        <v>79</v>
      </c>
      <c r="O271" s="3" t="s">
        <v>74</v>
      </c>
      <c r="P271" s="3" t="s">
        <v>74</v>
      </c>
      <c r="Q271" s="3" t="s">
        <v>74</v>
      </c>
      <c r="R271" s="3" t="s">
        <v>74</v>
      </c>
      <c r="S271" s="3" t="s">
        <v>74</v>
      </c>
      <c r="T271" s="3" t="s">
        <v>5760</v>
      </c>
      <c r="U271" s="3" t="s">
        <v>5761</v>
      </c>
      <c r="V271" s="3" t="s">
        <v>5762</v>
      </c>
      <c r="W271" s="3" t="s">
        <v>5763</v>
      </c>
      <c r="X271" s="3" t="s">
        <v>5764</v>
      </c>
      <c r="Y271" s="3" t="s">
        <v>5765</v>
      </c>
      <c r="Z271" s="3" t="s">
        <v>5766</v>
      </c>
      <c r="AA271" s="3" t="s">
        <v>5767</v>
      </c>
      <c r="AB271" s="3" t="s">
        <v>5768</v>
      </c>
      <c r="AC271" s="3" t="s">
        <v>5769</v>
      </c>
      <c r="AD271" s="3" t="s">
        <v>5770</v>
      </c>
      <c r="AE271" s="3" t="s">
        <v>5771</v>
      </c>
      <c r="AF271" s="3" t="s">
        <v>74</v>
      </c>
      <c r="AG271" s="3">
        <v>53</v>
      </c>
      <c r="AH271" s="3">
        <v>7</v>
      </c>
      <c r="AI271" s="3">
        <v>7</v>
      </c>
      <c r="AJ271" s="3">
        <v>4</v>
      </c>
      <c r="AK271" s="3">
        <v>17</v>
      </c>
      <c r="AL271" s="3" t="s">
        <v>145</v>
      </c>
      <c r="AM271" s="3" t="s">
        <v>146</v>
      </c>
      <c r="AN271" s="3" t="s">
        <v>147</v>
      </c>
      <c r="AO271" s="3" t="s">
        <v>74</v>
      </c>
      <c r="AP271" s="3" t="s">
        <v>148</v>
      </c>
      <c r="AQ271" s="3" t="s">
        <v>74</v>
      </c>
      <c r="AR271" s="3" t="s">
        <v>149</v>
      </c>
      <c r="AS271" s="3" t="s">
        <v>150</v>
      </c>
      <c r="AT271" s="3" t="s">
        <v>592</v>
      </c>
      <c r="AU271" s="3">
        <v>2024</v>
      </c>
      <c r="AV271" s="3">
        <v>16</v>
      </c>
      <c r="AW271" s="3">
        <v>21</v>
      </c>
      <c r="AX271" s="3" t="s">
        <v>74</v>
      </c>
      <c r="AY271" s="3" t="s">
        <v>74</v>
      </c>
      <c r="AZ271" s="3" t="s">
        <v>74</v>
      </c>
      <c r="BA271" s="3" t="s">
        <v>74</v>
      </c>
      <c r="BB271" s="3" t="s">
        <v>74</v>
      </c>
      <c r="BC271" s="3" t="s">
        <v>74</v>
      </c>
      <c r="BD271" s="3">
        <v>9586</v>
      </c>
      <c r="BE271" s="3" t="s">
        <v>5772</v>
      </c>
      <c r="BF271" s="3" t="str">
        <f>HYPERLINK("http://dx.doi.org/10.3390/su16219586","http://dx.doi.org/10.3390/su16219586")</f>
        <v>http://dx.doi.org/10.3390/su16219586</v>
      </c>
      <c r="BG271" s="3" t="s">
        <v>74</v>
      </c>
      <c r="BH271" s="3" t="s">
        <v>74</v>
      </c>
      <c r="BI271" s="3">
        <v>13</v>
      </c>
      <c r="BJ271" s="3" t="s">
        <v>153</v>
      </c>
      <c r="BK271" s="3" t="s">
        <v>154</v>
      </c>
      <c r="BL271" s="3" t="s">
        <v>155</v>
      </c>
      <c r="BM271" s="3" t="s">
        <v>5773</v>
      </c>
      <c r="BN271" s="3" t="s">
        <v>74</v>
      </c>
      <c r="BO271" s="3" t="s">
        <v>100</v>
      </c>
      <c r="BP271" s="3" t="s">
        <v>74</v>
      </c>
      <c r="BQ271" s="3" t="s">
        <v>74</v>
      </c>
      <c r="BR271" s="3" t="s">
        <v>101</v>
      </c>
      <c r="BS271" s="3" t="s">
        <v>5774</v>
      </c>
      <c r="BT271" s="3" t="str">
        <f>HYPERLINK("https%3A%2F%2Fwww.webofscience.com%2Fwos%2Fwoscc%2Ffull-record%2FWOS:001351993700001","View Full Record in Web of Science")</f>
        <v>View Full Record in Web of Science</v>
      </c>
      <c r="BU271" s="3"/>
      <c r="BV271" s="3"/>
      <c r="BW271" s="1"/>
    </row>
    <row r="272" spans="1:75" x14ac:dyDescent="0.25">
      <c r="A272" s="3" t="s">
        <v>72</v>
      </c>
      <c r="B272" s="3" t="s">
        <v>5775</v>
      </c>
      <c r="C272" s="3" t="s">
        <v>74</v>
      </c>
      <c r="D272" s="3" t="s">
        <v>74</v>
      </c>
      <c r="E272" s="3" t="s">
        <v>74</v>
      </c>
      <c r="F272" s="3" t="s">
        <v>5776</v>
      </c>
      <c r="G272" s="3" t="s">
        <v>74</v>
      </c>
      <c r="H272" s="3" t="s">
        <v>74</v>
      </c>
      <c r="I272" s="3" t="s">
        <v>5777</v>
      </c>
      <c r="J272" s="3" t="s">
        <v>1171</v>
      </c>
      <c r="K272" s="3" t="s">
        <v>74</v>
      </c>
      <c r="L272" s="3" t="s">
        <v>74</v>
      </c>
      <c r="M272" s="3" t="s">
        <v>110</v>
      </c>
      <c r="N272" s="3" t="s">
        <v>79</v>
      </c>
      <c r="O272" s="3" t="s">
        <v>74</v>
      </c>
      <c r="P272" s="3" t="s">
        <v>74</v>
      </c>
      <c r="Q272" s="3" t="s">
        <v>74</v>
      </c>
      <c r="R272" s="3" t="s">
        <v>74</v>
      </c>
      <c r="S272" s="3" t="s">
        <v>74</v>
      </c>
      <c r="T272" s="3" t="s">
        <v>5778</v>
      </c>
      <c r="U272" s="3" t="s">
        <v>5779</v>
      </c>
      <c r="V272" s="3" t="s">
        <v>5780</v>
      </c>
      <c r="W272" s="3" t="s">
        <v>5781</v>
      </c>
      <c r="X272" s="3" t="s">
        <v>166</v>
      </c>
      <c r="Y272" s="3" t="s">
        <v>5782</v>
      </c>
      <c r="Z272" s="3" t="s">
        <v>5783</v>
      </c>
      <c r="AA272" s="3" t="s">
        <v>5784</v>
      </c>
      <c r="AB272" s="3" t="s">
        <v>74</v>
      </c>
      <c r="AC272" s="3" t="s">
        <v>5785</v>
      </c>
      <c r="AD272" s="3" t="s">
        <v>5786</v>
      </c>
      <c r="AE272" s="3" t="s">
        <v>5787</v>
      </c>
      <c r="AF272" s="3" t="s">
        <v>74</v>
      </c>
      <c r="AG272" s="3">
        <v>74</v>
      </c>
      <c r="AH272" s="3">
        <v>7</v>
      </c>
      <c r="AI272" s="3">
        <v>8</v>
      </c>
      <c r="AJ272" s="3">
        <v>2</v>
      </c>
      <c r="AK272" s="3">
        <v>27</v>
      </c>
      <c r="AL272" s="3" t="s">
        <v>671</v>
      </c>
      <c r="AM272" s="3" t="s">
        <v>124</v>
      </c>
      <c r="AN272" s="3" t="s">
        <v>672</v>
      </c>
      <c r="AO272" s="3" t="s">
        <v>1181</v>
      </c>
      <c r="AP272" s="3" t="s">
        <v>1182</v>
      </c>
      <c r="AQ272" s="3" t="s">
        <v>74</v>
      </c>
      <c r="AR272" s="3" t="s">
        <v>1183</v>
      </c>
      <c r="AS272" s="3" t="s">
        <v>1184</v>
      </c>
      <c r="AT272" s="3" t="s">
        <v>283</v>
      </c>
      <c r="AU272" s="3">
        <v>2023</v>
      </c>
      <c r="AV272" s="3">
        <v>49</v>
      </c>
      <c r="AW272" s="3" t="s">
        <v>74</v>
      </c>
      <c r="AX272" s="3" t="s">
        <v>74</v>
      </c>
      <c r="AY272" s="3" t="s">
        <v>74</v>
      </c>
      <c r="AZ272" s="3" t="s">
        <v>74</v>
      </c>
      <c r="BA272" s="3" t="s">
        <v>74</v>
      </c>
      <c r="BB272" s="3" t="s">
        <v>74</v>
      </c>
      <c r="BC272" s="3" t="s">
        <v>74</v>
      </c>
      <c r="BD272" s="3">
        <v>101009</v>
      </c>
      <c r="BE272" s="3" t="s">
        <v>5788</v>
      </c>
      <c r="BF272" s="3" t="str">
        <f>HYPERLINK("http://dx.doi.org/10.1016/j.rtbm.2023.101009","http://dx.doi.org/10.1016/j.rtbm.2023.101009")</f>
        <v>http://dx.doi.org/10.1016/j.rtbm.2023.101009</v>
      </c>
      <c r="BG272" s="3" t="s">
        <v>74</v>
      </c>
      <c r="BH272" s="3" t="s">
        <v>5789</v>
      </c>
      <c r="BI272" s="3">
        <v>17</v>
      </c>
      <c r="BJ272" s="3" t="s">
        <v>1186</v>
      </c>
      <c r="BK272" s="3" t="s">
        <v>264</v>
      </c>
      <c r="BL272" s="3" t="s">
        <v>1187</v>
      </c>
      <c r="BM272" s="3" t="s">
        <v>5790</v>
      </c>
      <c r="BN272" s="3" t="s">
        <v>74</v>
      </c>
      <c r="BO272" s="3" t="s">
        <v>74</v>
      </c>
      <c r="BP272" s="3" t="s">
        <v>74</v>
      </c>
      <c r="BQ272" s="3" t="s">
        <v>74</v>
      </c>
      <c r="BR272" s="3" t="s">
        <v>101</v>
      </c>
      <c r="BS272" s="3" t="s">
        <v>5791</v>
      </c>
      <c r="BT272" s="3" t="str">
        <f>HYPERLINK("https%3A%2F%2Fwww.webofscience.com%2Fwos%2Fwoscc%2Ffull-record%2FWOS:001040387800001","View Full Record in Web of Science")</f>
        <v>View Full Record in Web of Science</v>
      </c>
      <c r="BU272" s="3"/>
      <c r="BV272" s="3"/>
      <c r="BW272" s="1"/>
    </row>
    <row r="273" spans="1:75" x14ac:dyDescent="0.25">
      <c r="A273" s="3" t="s">
        <v>72</v>
      </c>
      <c r="B273" s="3" t="s">
        <v>5792</v>
      </c>
      <c r="C273" s="3" t="s">
        <v>74</v>
      </c>
      <c r="D273" s="3" t="s">
        <v>74</v>
      </c>
      <c r="E273" s="3" t="s">
        <v>74</v>
      </c>
      <c r="F273" s="3" t="s">
        <v>5793</v>
      </c>
      <c r="G273" s="3" t="s">
        <v>74</v>
      </c>
      <c r="H273" s="3" t="s">
        <v>74</v>
      </c>
      <c r="I273" s="3" t="s">
        <v>5794</v>
      </c>
      <c r="J273" s="3" t="s">
        <v>835</v>
      </c>
      <c r="K273" s="3" t="s">
        <v>74</v>
      </c>
      <c r="L273" s="3" t="s">
        <v>74</v>
      </c>
      <c r="M273" s="3" t="s">
        <v>110</v>
      </c>
      <c r="N273" s="3" t="s">
        <v>79</v>
      </c>
      <c r="O273" s="3" t="s">
        <v>74</v>
      </c>
      <c r="P273" s="3" t="s">
        <v>74</v>
      </c>
      <c r="Q273" s="3" t="s">
        <v>74</v>
      </c>
      <c r="R273" s="3" t="s">
        <v>74</v>
      </c>
      <c r="S273" s="3" t="s">
        <v>74</v>
      </c>
      <c r="T273" s="3" t="s">
        <v>5795</v>
      </c>
      <c r="U273" s="3" t="s">
        <v>5796</v>
      </c>
      <c r="V273" s="3" t="s">
        <v>5797</v>
      </c>
      <c r="W273" s="3" t="s">
        <v>5798</v>
      </c>
      <c r="X273" s="3" t="s">
        <v>5799</v>
      </c>
      <c r="Y273" s="3" t="s">
        <v>5800</v>
      </c>
      <c r="Z273" s="3" t="s">
        <v>5801</v>
      </c>
      <c r="AA273" s="3" t="s">
        <v>5802</v>
      </c>
      <c r="AB273" s="3" t="s">
        <v>5803</v>
      </c>
      <c r="AC273" s="3" t="s">
        <v>5804</v>
      </c>
      <c r="AD273" s="3" t="s">
        <v>5805</v>
      </c>
      <c r="AE273" s="3" t="s">
        <v>5806</v>
      </c>
      <c r="AF273" s="3" t="s">
        <v>74</v>
      </c>
      <c r="AG273" s="3">
        <v>41</v>
      </c>
      <c r="AH273" s="3">
        <v>2</v>
      </c>
      <c r="AI273" s="3">
        <v>2</v>
      </c>
      <c r="AJ273" s="3">
        <v>2</v>
      </c>
      <c r="AK273" s="3">
        <v>20</v>
      </c>
      <c r="AL273" s="3" t="s">
        <v>846</v>
      </c>
      <c r="AM273" s="3" t="s">
        <v>847</v>
      </c>
      <c r="AN273" s="3" t="s">
        <v>848</v>
      </c>
      <c r="AO273" s="3" t="s">
        <v>849</v>
      </c>
      <c r="AP273" s="3" t="s">
        <v>74</v>
      </c>
      <c r="AQ273" s="3" t="s">
        <v>74</v>
      </c>
      <c r="AR273" s="3" t="s">
        <v>835</v>
      </c>
      <c r="AS273" s="3" t="s">
        <v>850</v>
      </c>
      <c r="AT273" s="3" t="s">
        <v>74</v>
      </c>
      <c r="AU273" s="3">
        <v>2024</v>
      </c>
      <c r="AV273" s="3">
        <v>12</v>
      </c>
      <c r="AW273" s="3" t="s">
        <v>74</v>
      </c>
      <c r="AX273" s="3" t="s">
        <v>74</v>
      </c>
      <c r="AY273" s="3" t="s">
        <v>74</v>
      </c>
      <c r="AZ273" s="3" t="s">
        <v>74</v>
      </c>
      <c r="BA273" s="3" t="s">
        <v>74</v>
      </c>
      <c r="BB273" s="3">
        <v>83072</v>
      </c>
      <c r="BC273" s="3">
        <v>83090</v>
      </c>
      <c r="BD273" s="3" t="s">
        <v>74</v>
      </c>
      <c r="BE273" s="3" t="s">
        <v>5807</v>
      </c>
      <c r="BF273" s="3" t="str">
        <f>HYPERLINK("http://dx.doi.org/10.1109/ACCESS.2024.3412709","http://dx.doi.org/10.1109/ACCESS.2024.3412709")</f>
        <v>http://dx.doi.org/10.1109/ACCESS.2024.3412709</v>
      </c>
      <c r="BG273" s="3" t="s">
        <v>74</v>
      </c>
      <c r="BH273" s="3" t="s">
        <v>74</v>
      </c>
      <c r="BI273" s="3">
        <v>19</v>
      </c>
      <c r="BJ273" s="3" t="s">
        <v>852</v>
      </c>
      <c r="BK273" s="3" t="s">
        <v>179</v>
      </c>
      <c r="BL273" s="3" t="s">
        <v>853</v>
      </c>
      <c r="BM273" s="3" t="s">
        <v>5808</v>
      </c>
      <c r="BN273" s="3" t="s">
        <v>74</v>
      </c>
      <c r="BO273" s="3" t="s">
        <v>554</v>
      </c>
      <c r="BP273" s="3" t="s">
        <v>74</v>
      </c>
      <c r="BQ273" s="3" t="s">
        <v>74</v>
      </c>
      <c r="BR273" s="3" t="s">
        <v>101</v>
      </c>
      <c r="BS273" s="3" t="s">
        <v>5809</v>
      </c>
      <c r="BT273" s="3" t="str">
        <f>HYPERLINK("https%3A%2F%2Fwww.webofscience.com%2Fwos%2Fwoscc%2Ffull-record%2FWOS:001251109900001","View Full Record in Web of Science")</f>
        <v>View Full Record in Web of Science</v>
      </c>
      <c r="BU273" s="3"/>
      <c r="BV273" s="3"/>
      <c r="BW273" s="1"/>
    </row>
    <row r="274" spans="1:75" x14ac:dyDescent="0.25">
      <c r="A274" s="3" t="s">
        <v>72</v>
      </c>
      <c r="B274" s="3" t="s">
        <v>5810</v>
      </c>
      <c r="C274" s="3" t="s">
        <v>74</v>
      </c>
      <c r="D274" s="3" t="s">
        <v>74</v>
      </c>
      <c r="E274" s="3" t="s">
        <v>74</v>
      </c>
      <c r="F274" s="3" t="s">
        <v>5811</v>
      </c>
      <c r="G274" s="3" t="s">
        <v>74</v>
      </c>
      <c r="H274" s="3" t="s">
        <v>74</v>
      </c>
      <c r="I274" s="3" t="s">
        <v>5812</v>
      </c>
      <c r="J274" s="3" t="s">
        <v>1499</v>
      </c>
      <c r="K274" s="3" t="s">
        <v>74</v>
      </c>
      <c r="L274" s="3" t="s">
        <v>74</v>
      </c>
      <c r="M274" s="3" t="s">
        <v>110</v>
      </c>
      <c r="N274" s="3" t="s">
        <v>79</v>
      </c>
      <c r="O274" s="3" t="s">
        <v>74</v>
      </c>
      <c r="P274" s="3" t="s">
        <v>74</v>
      </c>
      <c r="Q274" s="3" t="s">
        <v>74</v>
      </c>
      <c r="R274" s="3" t="s">
        <v>74</v>
      </c>
      <c r="S274" s="3" t="s">
        <v>74</v>
      </c>
      <c r="T274" s="3" t="s">
        <v>74</v>
      </c>
      <c r="U274" s="3" t="s">
        <v>2420</v>
      </c>
      <c r="V274" s="3" t="s">
        <v>5813</v>
      </c>
      <c r="W274" s="3" t="s">
        <v>5814</v>
      </c>
      <c r="X274" s="3" t="s">
        <v>5815</v>
      </c>
      <c r="Y274" s="3" t="s">
        <v>5816</v>
      </c>
      <c r="Z274" s="3" t="s">
        <v>5817</v>
      </c>
      <c r="AA274" s="3" t="s">
        <v>74</v>
      </c>
      <c r="AB274" s="3" t="s">
        <v>74</v>
      </c>
      <c r="AC274" s="3" t="s">
        <v>5818</v>
      </c>
      <c r="AD274" s="3" t="s">
        <v>5819</v>
      </c>
      <c r="AE274" s="3" t="s">
        <v>5820</v>
      </c>
      <c r="AF274" s="3" t="s">
        <v>74</v>
      </c>
      <c r="AG274" s="3">
        <v>23</v>
      </c>
      <c r="AH274" s="3">
        <v>29</v>
      </c>
      <c r="AI274" s="3">
        <v>37</v>
      </c>
      <c r="AJ274" s="3">
        <v>1</v>
      </c>
      <c r="AK274" s="3">
        <v>32</v>
      </c>
      <c r="AL274" s="3" t="s">
        <v>671</v>
      </c>
      <c r="AM274" s="3" t="s">
        <v>124</v>
      </c>
      <c r="AN274" s="3" t="s">
        <v>672</v>
      </c>
      <c r="AO274" s="3" t="s">
        <v>1512</v>
      </c>
      <c r="AP274" s="3" t="s">
        <v>1513</v>
      </c>
      <c r="AQ274" s="3" t="s">
        <v>74</v>
      </c>
      <c r="AR274" s="3" t="s">
        <v>1514</v>
      </c>
      <c r="AS274" s="3" t="s">
        <v>1515</v>
      </c>
      <c r="AT274" s="3" t="s">
        <v>283</v>
      </c>
      <c r="AU274" s="3">
        <v>2022</v>
      </c>
      <c r="AV274" s="3">
        <v>52</v>
      </c>
      <c r="AW274" s="3" t="s">
        <v>74</v>
      </c>
      <c r="AX274" s="3" t="s">
        <v>5821</v>
      </c>
      <c r="AY274" s="3" t="s">
        <v>74</v>
      </c>
      <c r="AZ274" s="3" t="s">
        <v>74</v>
      </c>
      <c r="BA274" s="3" t="s">
        <v>74</v>
      </c>
      <c r="BB274" s="3" t="s">
        <v>74</v>
      </c>
      <c r="BC274" s="3" t="s">
        <v>74</v>
      </c>
      <c r="BD274" s="3">
        <v>102052</v>
      </c>
      <c r="BE274" s="3" t="s">
        <v>5822</v>
      </c>
      <c r="BF274" s="3" t="str">
        <f>HYPERLINK("http://dx.doi.org/10.1016/j.seta.2022.102052","http://dx.doi.org/10.1016/j.seta.2022.102052")</f>
        <v>http://dx.doi.org/10.1016/j.seta.2022.102052</v>
      </c>
      <c r="BG274" s="3" t="s">
        <v>74</v>
      </c>
      <c r="BH274" s="3" t="s">
        <v>5823</v>
      </c>
      <c r="BI274" s="3">
        <v>9</v>
      </c>
      <c r="BJ274" s="3" t="s">
        <v>1518</v>
      </c>
      <c r="BK274" s="3" t="s">
        <v>179</v>
      </c>
      <c r="BL274" s="3" t="s">
        <v>1519</v>
      </c>
      <c r="BM274" s="3" t="s">
        <v>5824</v>
      </c>
      <c r="BN274" s="3" t="s">
        <v>74</v>
      </c>
      <c r="BO274" s="3" t="s">
        <v>74</v>
      </c>
      <c r="BP274" s="3" t="s">
        <v>74</v>
      </c>
      <c r="BQ274" s="3" t="s">
        <v>74</v>
      </c>
      <c r="BR274" s="3" t="s">
        <v>101</v>
      </c>
      <c r="BS274" s="3" t="s">
        <v>5825</v>
      </c>
      <c r="BT274" s="3" t="str">
        <f>HYPERLINK("https%3A%2F%2Fwww.webofscience.com%2Fwos%2Fwoscc%2Ffull-record%2FWOS:000789645000007","View Full Record in Web of Science")</f>
        <v>View Full Record in Web of Science</v>
      </c>
      <c r="BU274" s="3"/>
      <c r="BV274" s="3"/>
      <c r="BW274" s="1"/>
    </row>
    <row r="275" spans="1:75" x14ac:dyDescent="0.25">
      <c r="A275" s="3" t="s">
        <v>72</v>
      </c>
      <c r="B275" s="3" t="s">
        <v>5826</v>
      </c>
      <c r="C275" s="3" t="s">
        <v>74</v>
      </c>
      <c r="D275" s="3" t="s">
        <v>74</v>
      </c>
      <c r="E275" s="3" t="s">
        <v>74</v>
      </c>
      <c r="F275" s="3" t="s">
        <v>5827</v>
      </c>
      <c r="G275" s="3" t="s">
        <v>74</v>
      </c>
      <c r="H275" s="3" t="s">
        <v>74</v>
      </c>
      <c r="I275" s="3" t="s">
        <v>5828</v>
      </c>
      <c r="J275" s="3" t="s">
        <v>3807</v>
      </c>
      <c r="K275" s="3" t="s">
        <v>74</v>
      </c>
      <c r="L275" s="3" t="s">
        <v>74</v>
      </c>
      <c r="M275" s="3" t="s">
        <v>110</v>
      </c>
      <c r="N275" s="3" t="s">
        <v>79</v>
      </c>
      <c r="O275" s="3" t="s">
        <v>74</v>
      </c>
      <c r="P275" s="3" t="s">
        <v>74</v>
      </c>
      <c r="Q275" s="3" t="s">
        <v>74</v>
      </c>
      <c r="R275" s="3" t="s">
        <v>74</v>
      </c>
      <c r="S275" s="3" t="s">
        <v>74</v>
      </c>
      <c r="T275" s="3" t="s">
        <v>5829</v>
      </c>
      <c r="U275" s="3" t="s">
        <v>5830</v>
      </c>
      <c r="V275" s="3" t="s">
        <v>5831</v>
      </c>
      <c r="W275" s="3" t="s">
        <v>5832</v>
      </c>
      <c r="X275" s="3" t="s">
        <v>5833</v>
      </c>
      <c r="Y275" s="3" t="s">
        <v>5834</v>
      </c>
      <c r="Z275" s="3" t="s">
        <v>74</v>
      </c>
      <c r="AA275" s="3" t="s">
        <v>5835</v>
      </c>
      <c r="AB275" s="3" t="s">
        <v>5836</v>
      </c>
      <c r="AC275" s="3" t="s">
        <v>5837</v>
      </c>
      <c r="AD275" s="3" t="s">
        <v>5838</v>
      </c>
      <c r="AE275" s="3" t="s">
        <v>5839</v>
      </c>
      <c r="AF275" s="3" t="s">
        <v>74</v>
      </c>
      <c r="AG275" s="3">
        <v>89</v>
      </c>
      <c r="AH275" s="3">
        <v>7</v>
      </c>
      <c r="AI275" s="3">
        <v>7</v>
      </c>
      <c r="AJ275" s="3">
        <v>6</v>
      </c>
      <c r="AK275" s="3">
        <v>19</v>
      </c>
      <c r="AL275" s="3" t="s">
        <v>671</v>
      </c>
      <c r="AM275" s="3" t="s">
        <v>124</v>
      </c>
      <c r="AN275" s="3" t="s">
        <v>672</v>
      </c>
      <c r="AO275" s="3" t="s">
        <v>3820</v>
      </c>
      <c r="AP275" s="3" t="s">
        <v>3821</v>
      </c>
      <c r="AQ275" s="3" t="s">
        <v>74</v>
      </c>
      <c r="AR275" s="3" t="s">
        <v>3822</v>
      </c>
      <c r="AS275" s="3" t="s">
        <v>3823</v>
      </c>
      <c r="AT275" s="3" t="s">
        <v>5840</v>
      </c>
      <c r="AU275" s="3">
        <v>2024</v>
      </c>
      <c r="AV275" s="3">
        <v>906</v>
      </c>
      <c r="AW275" s="3" t="s">
        <v>74</v>
      </c>
      <c r="AX275" s="3" t="s">
        <v>74</v>
      </c>
      <c r="AY275" s="3" t="s">
        <v>74</v>
      </c>
      <c r="AZ275" s="3" t="s">
        <v>74</v>
      </c>
      <c r="BA275" s="3" t="s">
        <v>74</v>
      </c>
      <c r="BB275" s="3" t="s">
        <v>74</v>
      </c>
      <c r="BC275" s="3" t="s">
        <v>74</v>
      </c>
      <c r="BD275" s="3">
        <v>167560</v>
      </c>
      <c r="BE275" s="3" t="s">
        <v>5841</v>
      </c>
      <c r="BF275" s="3" t="str">
        <f>HYPERLINK("http://dx.doi.org/10.1016/j.scitotenv.2023.167560","http://dx.doi.org/10.1016/j.scitotenv.2023.167560")</f>
        <v>http://dx.doi.org/10.1016/j.scitotenv.2023.167560</v>
      </c>
      <c r="BG275" s="3" t="s">
        <v>74</v>
      </c>
      <c r="BH275" s="3" t="s">
        <v>5842</v>
      </c>
      <c r="BI275" s="3">
        <v>10</v>
      </c>
      <c r="BJ275" s="3" t="s">
        <v>704</v>
      </c>
      <c r="BK275" s="3" t="s">
        <v>179</v>
      </c>
      <c r="BL275" s="3" t="s">
        <v>705</v>
      </c>
      <c r="BM275" s="3" t="s">
        <v>5843</v>
      </c>
      <c r="BN275" s="3">
        <v>37797770</v>
      </c>
      <c r="BO275" s="3" t="s">
        <v>3738</v>
      </c>
      <c r="BP275" s="3" t="s">
        <v>74</v>
      </c>
      <c r="BQ275" s="3" t="s">
        <v>74</v>
      </c>
      <c r="BR275" s="3" t="s">
        <v>101</v>
      </c>
      <c r="BS275" s="3" t="s">
        <v>5844</v>
      </c>
      <c r="BT275" s="3" t="str">
        <f>HYPERLINK("https%3A%2F%2Fwww.webofscience.com%2Fwos%2Fwoscc%2Ffull-record%2FWOS:001089189000001","View Full Record in Web of Science")</f>
        <v>View Full Record in Web of Science</v>
      </c>
      <c r="BU275" s="3"/>
      <c r="BV275" s="3"/>
      <c r="BW275" s="1"/>
    </row>
    <row r="276" spans="1:75" x14ac:dyDescent="0.25">
      <c r="A276" s="3" t="s">
        <v>72</v>
      </c>
      <c r="B276" s="3" t="s">
        <v>5845</v>
      </c>
      <c r="C276" s="3" t="s">
        <v>74</v>
      </c>
      <c r="D276" s="3" t="s">
        <v>74</v>
      </c>
      <c r="E276" s="3" t="s">
        <v>74</v>
      </c>
      <c r="F276" s="3" t="s">
        <v>5846</v>
      </c>
      <c r="G276" s="3" t="s">
        <v>74</v>
      </c>
      <c r="H276" s="3" t="s">
        <v>74</v>
      </c>
      <c r="I276" s="3" t="s">
        <v>5847</v>
      </c>
      <c r="J276" s="3" t="s">
        <v>161</v>
      </c>
      <c r="K276" s="3" t="s">
        <v>74</v>
      </c>
      <c r="L276" s="3" t="s">
        <v>74</v>
      </c>
      <c r="M276" s="3" t="s">
        <v>110</v>
      </c>
      <c r="N276" s="3" t="s">
        <v>79</v>
      </c>
      <c r="O276" s="3" t="s">
        <v>74</v>
      </c>
      <c r="P276" s="3" t="s">
        <v>74</v>
      </c>
      <c r="Q276" s="3" t="s">
        <v>74</v>
      </c>
      <c r="R276" s="3" t="s">
        <v>74</v>
      </c>
      <c r="S276" s="3" t="s">
        <v>74</v>
      </c>
      <c r="T276" s="3" t="s">
        <v>5848</v>
      </c>
      <c r="U276" s="3" t="s">
        <v>5849</v>
      </c>
      <c r="V276" s="3" t="s">
        <v>5850</v>
      </c>
      <c r="W276" s="3" t="s">
        <v>5851</v>
      </c>
      <c r="X276" s="3" t="s">
        <v>5852</v>
      </c>
      <c r="Y276" s="3" t="s">
        <v>5853</v>
      </c>
      <c r="Z276" s="3" t="s">
        <v>5854</v>
      </c>
      <c r="AA276" s="3" t="s">
        <v>5855</v>
      </c>
      <c r="AB276" s="3" t="s">
        <v>5856</v>
      </c>
      <c r="AC276" s="3" t="s">
        <v>5857</v>
      </c>
      <c r="AD276" s="3" t="s">
        <v>5858</v>
      </c>
      <c r="AE276" s="3" t="s">
        <v>5859</v>
      </c>
      <c r="AF276" s="3" t="s">
        <v>74</v>
      </c>
      <c r="AG276" s="3">
        <v>69</v>
      </c>
      <c r="AH276" s="3">
        <v>5</v>
      </c>
      <c r="AI276" s="3">
        <v>7</v>
      </c>
      <c r="AJ276" s="3">
        <v>4</v>
      </c>
      <c r="AK276" s="3">
        <v>16</v>
      </c>
      <c r="AL276" s="3" t="s">
        <v>145</v>
      </c>
      <c r="AM276" s="3" t="s">
        <v>146</v>
      </c>
      <c r="AN276" s="3" t="s">
        <v>147</v>
      </c>
      <c r="AO276" s="3" t="s">
        <v>74</v>
      </c>
      <c r="AP276" s="3" t="s">
        <v>174</v>
      </c>
      <c r="AQ276" s="3" t="s">
        <v>74</v>
      </c>
      <c r="AR276" s="3" t="s">
        <v>161</v>
      </c>
      <c r="AS276" s="3" t="s">
        <v>175</v>
      </c>
      <c r="AT276" s="3" t="s">
        <v>592</v>
      </c>
      <c r="AU276" s="3">
        <v>2024</v>
      </c>
      <c r="AV276" s="3">
        <v>17</v>
      </c>
      <c r="AW276" s="3">
        <v>21</v>
      </c>
      <c r="AX276" s="3" t="s">
        <v>74</v>
      </c>
      <c r="AY276" s="3" t="s">
        <v>74</v>
      </c>
      <c r="AZ276" s="3" t="s">
        <v>74</v>
      </c>
      <c r="BA276" s="3" t="s">
        <v>74</v>
      </c>
      <c r="BB276" s="3" t="s">
        <v>74</v>
      </c>
      <c r="BC276" s="3" t="s">
        <v>74</v>
      </c>
      <c r="BD276" s="3">
        <v>5284</v>
      </c>
      <c r="BE276" s="3" t="s">
        <v>5860</v>
      </c>
      <c r="BF276" s="3" t="str">
        <f>HYPERLINK("http://dx.doi.org/10.3390/en17215284","http://dx.doi.org/10.3390/en17215284")</f>
        <v>http://dx.doi.org/10.3390/en17215284</v>
      </c>
      <c r="BG276" s="3" t="s">
        <v>74</v>
      </c>
      <c r="BH276" s="3" t="s">
        <v>74</v>
      </c>
      <c r="BI276" s="3">
        <v>27</v>
      </c>
      <c r="BJ276" s="3" t="s">
        <v>178</v>
      </c>
      <c r="BK276" s="3" t="s">
        <v>179</v>
      </c>
      <c r="BL276" s="3" t="s">
        <v>178</v>
      </c>
      <c r="BM276" s="3" t="s">
        <v>5861</v>
      </c>
      <c r="BN276" s="3" t="s">
        <v>74</v>
      </c>
      <c r="BO276" s="3" t="s">
        <v>100</v>
      </c>
      <c r="BP276" s="3" t="s">
        <v>74</v>
      </c>
      <c r="BQ276" s="3" t="s">
        <v>74</v>
      </c>
      <c r="BR276" s="3" t="s">
        <v>101</v>
      </c>
      <c r="BS276" s="3" t="s">
        <v>5862</v>
      </c>
      <c r="BT276" s="3" t="str">
        <f>HYPERLINK("https%3A%2F%2Fwww.webofscience.com%2Fwos%2Fwoscc%2Ffull-record%2FWOS:001351320700001","View Full Record in Web of Science")</f>
        <v>View Full Record in Web of Science</v>
      </c>
      <c r="BU276" s="3"/>
      <c r="BV276" s="3"/>
      <c r="BW276" s="1"/>
    </row>
    <row r="277" spans="1:75" x14ac:dyDescent="0.25">
      <c r="A277" s="3" t="s">
        <v>72</v>
      </c>
      <c r="B277" s="3" t="s">
        <v>5863</v>
      </c>
      <c r="C277" s="3" t="s">
        <v>74</v>
      </c>
      <c r="D277" s="3" t="s">
        <v>74</v>
      </c>
      <c r="E277" s="3" t="s">
        <v>74</v>
      </c>
      <c r="F277" s="3" t="s">
        <v>5864</v>
      </c>
      <c r="G277" s="3" t="s">
        <v>74</v>
      </c>
      <c r="H277" s="3" t="s">
        <v>74</v>
      </c>
      <c r="I277" s="3" t="s">
        <v>5865</v>
      </c>
      <c r="J277" s="3" t="s">
        <v>5866</v>
      </c>
      <c r="K277" s="3" t="s">
        <v>74</v>
      </c>
      <c r="L277" s="3" t="s">
        <v>74</v>
      </c>
      <c r="M277" s="3" t="s">
        <v>110</v>
      </c>
      <c r="N277" s="3" t="s">
        <v>79</v>
      </c>
      <c r="O277" s="3" t="s">
        <v>74</v>
      </c>
      <c r="P277" s="3" t="s">
        <v>74</v>
      </c>
      <c r="Q277" s="3" t="s">
        <v>74</v>
      </c>
      <c r="R277" s="3" t="s">
        <v>74</v>
      </c>
      <c r="S277" s="3" t="s">
        <v>74</v>
      </c>
      <c r="T277" s="3" t="s">
        <v>5867</v>
      </c>
      <c r="U277" s="3" t="s">
        <v>5868</v>
      </c>
      <c r="V277" s="3" t="s">
        <v>5869</v>
      </c>
      <c r="W277" s="3" t="s">
        <v>5870</v>
      </c>
      <c r="X277" s="3" t="s">
        <v>4917</v>
      </c>
      <c r="Y277" s="3" t="s">
        <v>5871</v>
      </c>
      <c r="Z277" s="3" t="s">
        <v>5872</v>
      </c>
      <c r="AA277" s="3" t="s">
        <v>5873</v>
      </c>
      <c r="AB277" s="3" t="s">
        <v>4921</v>
      </c>
      <c r="AC277" s="3" t="s">
        <v>5874</v>
      </c>
      <c r="AD277" s="3" t="s">
        <v>5875</v>
      </c>
      <c r="AE277" s="3" t="s">
        <v>5876</v>
      </c>
      <c r="AF277" s="3" t="s">
        <v>74</v>
      </c>
      <c r="AG277" s="3">
        <v>170</v>
      </c>
      <c r="AH277" s="3">
        <v>35</v>
      </c>
      <c r="AI277" s="3">
        <v>44</v>
      </c>
      <c r="AJ277" s="3">
        <v>12</v>
      </c>
      <c r="AK277" s="3">
        <v>182</v>
      </c>
      <c r="AL277" s="3" t="s">
        <v>5708</v>
      </c>
      <c r="AM277" s="3" t="s">
        <v>200</v>
      </c>
      <c r="AN277" s="3" t="s">
        <v>5709</v>
      </c>
      <c r="AO277" s="3" t="s">
        <v>5877</v>
      </c>
      <c r="AP277" s="3" t="s">
        <v>5878</v>
      </c>
      <c r="AQ277" s="3" t="s">
        <v>74</v>
      </c>
      <c r="AR277" s="3" t="s">
        <v>5879</v>
      </c>
      <c r="AS277" s="3" t="s">
        <v>5880</v>
      </c>
      <c r="AT277" s="3" t="s">
        <v>176</v>
      </c>
      <c r="AU277" s="3">
        <v>2022</v>
      </c>
      <c r="AV277" s="3">
        <v>81</v>
      </c>
      <c r="AW277" s="3" t="s">
        <v>74</v>
      </c>
      <c r="AX277" s="3" t="s">
        <v>74</v>
      </c>
      <c r="AY277" s="3" t="s">
        <v>74</v>
      </c>
      <c r="AZ277" s="3" t="s">
        <v>74</v>
      </c>
      <c r="BA277" s="3" t="s">
        <v>74</v>
      </c>
      <c r="BB277" s="3" t="s">
        <v>74</v>
      </c>
      <c r="BC277" s="3" t="s">
        <v>74</v>
      </c>
      <c r="BD277" s="3">
        <v>101197</v>
      </c>
      <c r="BE277" s="3" t="s">
        <v>5881</v>
      </c>
      <c r="BF277" s="3" t="str">
        <f>HYPERLINK("http://dx.doi.org/10.1016/j.seps.2021.101197","http://dx.doi.org/10.1016/j.seps.2021.101197")</f>
        <v>http://dx.doi.org/10.1016/j.seps.2021.101197</v>
      </c>
      <c r="BG277" s="3" t="s">
        <v>74</v>
      </c>
      <c r="BH277" s="3" t="s">
        <v>1128</v>
      </c>
      <c r="BI277" s="3">
        <v>14</v>
      </c>
      <c r="BJ277" s="3" t="s">
        <v>5882</v>
      </c>
      <c r="BK277" s="3" t="s">
        <v>154</v>
      </c>
      <c r="BL277" s="3" t="s">
        <v>3347</v>
      </c>
      <c r="BM277" s="3" t="s">
        <v>5883</v>
      </c>
      <c r="BN277" s="3" t="s">
        <v>74</v>
      </c>
      <c r="BO277" s="3" t="s">
        <v>74</v>
      </c>
      <c r="BP277" s="3" t="s">
        <v>74</v>
      </c>
      <c r="BQ277" s="3" t="s">
        <v>74</v>
      </c>
      <c r="BR277" s="3" t="s">
        <v>101</v>
      </c>
      <c r="BS277" s="3" t="s">
        <v>5884</v>
      </c>
      <c r="BT277" s="3" t="str">
        <f>HYPERLINK("https%3A%2F%2Fwww.webofscience.com%2Fwos%2Fwoscc%2Ffull-record%2FWOS:000821840900008","View Full Record in Web of Science")</f>
        <v>View Full Record in Web of Science</v>
      </c>
      <c r="BU277" s="3"/>
      <c r="BV277" s="3"/>
      <c r="BW277" s="1"/>
    </row>
    <row r="278" spans="1:75" x14ac:dyDescent="0.25">
      <c r="A278" s="3" t="s">
        <v>72</v>
      </c>
      <c r="B278" s="3" t="s">
        <v>5885</v>
      </c>
      <c r="C278" s="3" t="s">
        <v>74</v>
      </c>
      <c r="D278" s="3" t="s">
        <v>74</v>
      </c>
      <c r="E278" s="3" t="s">
        <v>74</v>
      </c>
      <c r="F278" s="3" t="s">
        <v>5886</v>
      </c>
      <c r="G278" s="3" t="s">
        <v>74</v>
      </c>
      <c r="H278" s="3" t="s">
        <v>74</v>
      </c>
      <c r="I278" s="3" t="s">
        <v>5887</v>
      </c>
      <c r="J278" s="3" t="s">
        <v>1783</v>
      </c>
      <c r="K278" s="3" t="s">
        <v>74</v>
      </c>
      <c r="L278" s="3" t="s">
        <v>74</v>
      </c>
      <c r="M278" s="3" t="s">
        <v>110</v>
      </c>
      <c r="N278" s="3" t="s">
        <v>79</v>
      </c>
      <c r="O278" s="3" t="s">
        <v>74</v>
      </c>
      <c r="P278" s="3" t="s">
        <v>74</v>
      </c>
      <c r="Q278" s="3" t="s">
        <v>74</v>
      </c>
      <c r="R278" s="3" t="s">
        <v>74</v>
      </c>
      <c r="S278" s="3" t="s">
        <v>74</v>
      </c>
      <c r="T278" s="3" t="s">
        <v>5888</v>
      </c>
      <c r="U278" s="3" t="s">
        <v>5889</v>
      </c>
      <c r="V278" s="3" t="s">
        <v>5890</v>
      </c>
      <c r="W278" s="3" t="s">
        <v>5891</v>
      </c>
      <c r="X278" s="3" t="s">
        <v>5892</v>
      </c>
      <c r="Y278" s="3" t="s">
        <v>5893</v>
      </c>
      <c r="Z278" s="3" t="s">
        <v>5894</v>
      </c>
      <c r="AA278" s="3" t="s">
        <v>5895</v>
      </c>
      <c r="AB278" s="3" t="s">
        <v>5896</v>
      </c>
      <c r="AC278" s="3" t="s">
        <v>5897</v>
      </c>
      <c r="AD278" s="3" t="s">
        <v>5897</v>
      </c>
      <c r="AE278" s="3" t="s">
        <v>5898</v>
      </c>
      <c r="AF278" s="3" t="s">
        <v>74</v>
      </c>
      <c r="AG278" s="3">
        <v>90</v>
      </c>
      <c r="AH278" s="3">
        <v>1</v>
      </c>
      <c r="AI278" s="3">
        <v>1</v>
      </c>
      <c r="AJ278" s="3">
        <v>7</v>
      </c>
      <c r="AK278" s="3">
        <v>7</v>
      </c>
      <c r="AL278" s="3" t="s">
        <v>304</v>
      </c>
      <c r="AM278" s="3" t="s">
        <v>305</v>
      </c>
      <c r="AN278" s="3" t="s">
        <v>306</v>
      </c>
      <c r="AO278" s="3" t="s">
        <v>1798</v>
      </c>
      <c r="AP278" s="3" t="s">
        <v>5899</v>
      </c>
      <c r="AQ278" s="3" t="s">
        <v>74</v>
      </c>
      <c r="AR278" s="3" t="s">
        <v>1799</v>
      </c>
      <c r="AS278" s="3" t="s">
        <v>1800</v>
      </c>
      <c r="AT278" s="3" t="s">
        <v>333</v>
      </c>
      <c r="AU278" s="3">
        <v>2025</v>
      </c>
      <c r="AV278" s="3">
        <v>146</v>
      </c>
      <c r="AW278" s="3" t="s">
        <v>74</v>
      </c>
      <c r="AX278" s="3" t="s">
        <v>74</v>
      </c>
      <c r="AY278" s="3" t="s">
        <v>74</v>
      </c>
      <c r="AZ278" s="3" t="s">
        <v>74</v>
      </c>
      <c r="BA278" s="3" t="s">
        <v>74</v>
      </c>
      <c r="BB278" s="3" t="s">
        <v>74</v>
      </c>
      <c r="BC278" s="3" t="s">
        <v>74</v>
      </c>
      <c r="BD278" s="3">
        <v>104851</v>
      </c>
      <c r="BE278" s="3" t="s">
        <v>5900</v>
      </c>
      <c r="BF278" s="3" t="str">
        <f>HYPERLINK("http://dx.doi.org/10.1016/j.trd.2025.104851","http://dx.doi.org/10.1016/j.trd.2025.104851")</f>
        <v>http://dx.doi.org/10.1016/j.trd.2025.104851</v>
      </c>
      <c r="BG278" s="3" t="s">
        <v>74</v>
      </c>
      <c r="BH278" s="3" t="s">
        <v>1643</v>
      </c>
      <c r="BI278" s="3">
        <v>14</v>
      </c>
      <c r="BJ278" s="3" t="s">
        <v>1802</v>
      </c>
      <c r="BK278" s="3" t="s">
        <v>154</v>
      </c>
      <c r="BL278" s="3" t="s">
        <v>1804</v>
      </c>
      <c r="BM278" s="3" t="s">
        <v>5901</v>
      </c>
      <c r="BN278" s="3" t="s">
        <v>74</v>
      </c>
      <c r="BO278" s="3" t="s">
        <v>884</v>
      </c>
      <c r="BP278" s="3" t="s">
        <v>74</v>
      </c>
      <c r="BQ278" s="3" t="s">
        <v>74</v>
      </c>
      <c r="BR278" s="3" t="s">
        <v>101</v>
      </c>
      <c r="BS278" s="3" t="s">
        <v>5902</v>
      </c>
      <c r="BT278" s="3" t="str">
        <f>HYPERLINK("https%3A%2F%2Fwww.webofscience.com%2Fwos%2Fwoscc%2Ffull-record%2FWOS:001507001800002","View Full Record in Web of Science")</f>
        <v>View Full Record in Web of Science</v>
      </c>
      <c r="BU278" s="3"/>
      <c r="BV278" s="3"/>
      <c r="BW278" s="1"/>
    </row>
    <row r="279" spans="1:75" x14ac:dyDescent="0.25">
      <c r="A279" s="3" t="s">
        <v>103</v>
      </c>
      <c r="B279" s="3" t="s">
        <v>5903</v>
      </c>
      <c r="C279" s="3" t="s">
        <v>74</v>
      </c>
      <c r="D279" s="3" t="s">
        <v>74</v>
      </c>
      <c r="E279" s="3" t="s">
        <v>199</v>
      </c>
      <c r="F279" s="3" t="s">
        <v>5904</v>
      </c>
      <c r="G279" s="3" t="s">
        <v>74</v>
      </c>
      <c r="H279" s="3" t="s">
        <v>74</v>
      </c>
      <c r="I279" s="3" t="s">
        <v>5905</v>
      </c>
      <c r="J279" s="3" t="s">
        <v>5906</v>
      </c>
      <c r="K279" s="3" t="s">
        <v>74</v>
      </c>
      <c r="L279" s="3" t="s">
        <v>74</v>
      </c>
      <c r="M279" s="3" t="s">
        <v>110</v>
      </c>
      <c r="N279" s="3" t="s">
        <v>111</v>
      </c>
      <c r="O279" s="3" t="s">
        <v>5907</v>
      </c>
      <c r="P279" s="3" t="s">
        <v>5908</v>
      </c>
      <c r="Q279" s="3" t="s">
        <v>5909</v>
      </c>
      <c r="R279" s="3" t="s">
        <v>74</v>
      </c>
      <c r="S279" s="3" t="s">
        <v>74</v>
      </c>
      <c r="T279" s="3" t="s">
        <v>5910</v>
      </c>
      <c r="U279" s="3" t="s">
        <v>74</v>
      </c>
      <c r="V279" s="3" t="s">
        <v>5911</v>
      </c>
      <c r="W279" s="3" t="s">
        <v>5912</v>
      </c>
      <c r="X279" s="3" t="s">
        <v>5913</v>
      </c>
      <c r="Y279" s="3" t="s">
        <v>5914</v>
      </c>
      <c r="Z279" s="3" t="s">
        <v>5915</v>
      </c>
      <c r="AA279" s="3" t="s">
        <v>5916</v>
      </c>
      <c r="AB279" s="3" t="s">
        <v>5917</v>
      </c>
      <c r="AC279" s="3" t="s">
        <v>74</v>
      </c>
      <c r="AD279" s="3" t="s">
        <v>74</v>
      </c>
      <c r="AE279" s="3" t="s">
        <v>74</v>
      </c>
      <c r="AF279" s="3" t="s">
        <v>74</v>
      </c>
      <c r="AG279" s="3">
        <v>15</v>
      </c>
      <c r="AH279" s="3">
        <v>0</v>
      </c>
      <c r="AI279" s="3">
        <v>0</v>
      </c>
      <c r="AJ279" s="3">
        <v>1</v>
      </c>
      <c r="AK279" s="3">
        <v>6</v>
      </c>
      <c r="AL279" s="3" t="s">
        <v>199</v>
      </c>
      <c r="AM279" s="3" t="s">
        <v>200</v>
      </c>
      <c r="AN279" s="3" t="s">
        <v>201</v>
      </c>
      <c r="AO279" s="3" t="s">
        <v>74</v>
      </c>
      <c r="AP279" s="3" t="s">
        <v>74</v>
      </c>
      <c r="AQ279" s="3" t="s">
        <v>5918</v>
      </c>
      <c r="AR279" s="3" t="s">
        <v>74</v>
      </c>
      <c r="AS279" s="3" t="s">
        <v>74</v>
      </c>
      <c r="AT279" s="3" t="s">
        <v>74</v>
      </c>
      <c r="AU279" s="3">
        <v>2023</v>
      </c>
      <c r="AV279" s="3" t="s">
        <v>74</v>
      </c>
      <c r="AW279" s="3" t="s">
        <v>74</v>
      </c>
      <c r="AX279" s="3" t="s">
        <v>74</v>
      </c>
      <c r="AY279" s="3" t="s">
        <v>74</v>
      </c>
      <c r="AZ279" s="3" t="s">
        <v>74</v>
      </c>
      <c r="BA279" s="3" t="s">
        <v>74</v>
      </c>
      <c r="BB279" s="3" t="s">
        <v>74</v>
      </c>
      <c r="BC279" s="3" t="s">
        <v>74</v>
      </c>
      <c r="BD279" s="3" t="s">
        <v>74</v>
      </c>
      <c r="BE279" s="3" t="s">
        <v>5919</v>
      </c>
      <c r="BF279" s="3" t="str">
        <f>HYPERLINK("http://dx.doi.org/10.1109/MT-ITS56129.2023.10241672","http://dx.doi.org/10.1109/MT-ITS56129.2023.10241672")</f>
        <v>http://dx.doi.org/10.1109/MT-ITS56129.2023.10241672</v>
      </c>
      <c r="BG279" s="3" t="s">
        <v>74</v>
      </c>
      <c r="BH279" s="3" t="s">
        <v>74</v>
      </c>
      <c r="BI279" s="3">
        <v>6</v>
      </c>
      <c r="BJ279" s="3" t="s">
        <v>5920</v>
      </c>
      <c r="BK279" s="3" t="s">
        <v>208</v>
      </c>
      <c r="BL279" s="3" t="s">
        <v>4662</v>
      </c>
      <c r="BM279" s="3" t="s">
        <v>5921</v>
      </c>
      <c r="BN279" s="3" t="s">
        <v>74</v>
      </c>
      <c r="BO279" s="3" t="s">
        <v>74</v>
      </c>
      <c r="BP279" s="3" t="s">
        <v>74</v>
      </c>
      <c r="BQ279" s="3" t="s">
        <v>74</v>
      </c>
      <c r="BR279" s="3" t="s">
        <v>101</v>
      </c>
      <c r="BS279" s="3" t="s">
        <v>5922</v>
      </c>
      <c r="BT279" s="3" t="str">
        <f>HYPERLINK("https%3A%2F%2Fwww.webofscience.com%2Fwos%2Fwoscc%2Ffull-record%2FWOS:001069745000059","View Full Record in Web of Science")</f>
        <v>View Full Record in Web of Science</v>
      </c>
      <c r="BU279" s="3"/>
      <c r="BV279" s="3"/>
      <c r="BW279" s="1"/>
    </row>
    <row r="280" spans="1:75" x14ac:dyDescent="0.25">
      <c r="A280" s="3" t="s">
        <v>72</v>
      </c>
      <c r="B280" s="3" t="s">
        <v>5923</v>
      </c>
      <c r="C280" s="3" t="s">
        <v>74</v>
      </c>
      <c r="D280" s="3" t="s">
        <v>74</v>
      </c>
      <c r="E280" s="3" t="s">
        <v>74</v>
      </c>
      <c r="F280" s="3" t="s">
        <v>5924</v>
      </c>
      <c r="G280" s="3" t="s">
        <v>74</v>
      </c>
      <c r="H280" s="3" t="s">
        <v>74</v>
      </c>
      <c r="I280" s="3" t="s">
        <v>5925</v>
      </c>
      <c r="J280" s="3" t="s">
        <v>5926</v>
      </c>
      <c r="K280" s="3" t="s">
        <v>74</v>
      </c>
      <c r="L280" s="3" t="s">
        <v>74</v>
      </c>
      <c r="M280" s="3" t="s">
        <v>110</v>
      </c>
      <c r="N280" s="3" t="s">
        <v>79</v>
      </c>
      <c r="O280" s="3" t="s">
        <v>74</v>
      </c>
      <c r="P280" s="3" t="s">
        <v>74</v>
      </c>
      <c r="Q280" s="3" t="s">
        <v>74</v>
      </c>
      <c r="R280" s="3" t="s">
        <v>74</v>
      </c>
      <c r="S280" s="3" t="s">
        <v>74</v>
      </c>
      <c r="T280" s="3" t="s">
        <v>5927</v>
      </c>
      <c r="U280" s="3" t="s">
        <v>74</v>
      </c>
      <c r="V280" s="3" t="s">
        <v>5928</v>
      </c>
      <c r="W280" s="3" t="s">
        <v>5929</v>
      </c>
      <c r="X280" s="3" t="s">
        <v>5930</v>
      </c>
      <c r="Y280" s="3" t="s">
        <v>5931</v>
      </c>
      <c r="Z280" s="3" t="s">
        <v>5932</v>
      </c>
      <c r="AA280" s="3" t="s">
        <v>5933</v>
      </c>
      <c r="AB280" s="3" t="s">
        <v>74</v>
      </c>
      <c r="AC280" s="3" t="s">
        <v>5934</v>
      </c>
      <c r="AD280" s="3" t="s">
        <v>5935</v>
      </c>
      <c r="AE280" s="3" t="s">
        <v>5936</v>
      </c>
      <c r="AF280" s="3" t="s">
        <v>74</v>
      </c>
      <c r="AG280" s="3">
        <v>48</v>
      </c>
      <c r="AH280" s="3">
        <v>1</v>
      </c>
      <c r="AI280" s="3">
        <v>1</v>
      </c>
      <c r="AJ280" s="3">
        <v>1</v>
      </c>
      <c r="AK280" s="3">
        <v>1</v>
      </c>
      <c r="AL280" s="3" t="s">
        <v>3951</v>
      </c>
      <c r="AM280" s="3" t="s">
        <v>3952</v>
      </c>
      <c r="AN280" s="3" t="s">
        <v>5937</v>
      </c>
      <c r="AO280" s="3" t="s">
        <v>5938</v>
      </c>
      <c r="AP280" s="3" t="s">
        <v>74</v>
      </c>
      <c r="AQ280" s="3" t="s">
        <v>74</v>
      </c>
      <c r="AR280" s="3" t="s">
        <v>5939</v>
      </c>
      <c r="AS280" s="3" t="s">
        <v>5940</v>
      </c>
      <c r="AT280" s="3" t="s">
        <v>5941</v>
      </c>
      <c r="AU280" s="3">
        <v>2025</v>
      </c>
      <c r="AV280" s="3">
        <v>18</v>
      </c>
      <c r="AW280" s="3">
        <v>4</v>
      </c>
      <c r="AX280" s="3" t="s">
        <v>74</v>
      </c>
      <c r="AY280" s="3" t="s">
        <v>74</v>
      </c>
      <c r="AZ280" s="3" t="s">
        <v>74</v>
      </c>
      <c r="BA280" s="3" t="s">
        <v>74</v>
      </c>
      <c r="BB280" s="3">
        <v>2188</v>
      </c>
      <c r="BC280" s="3">
        <v>2200</v>
      </c>
      <c r="BD280" s="3" t="s">
        <v>74</v>
      </c>
      <c r="BE280" s="3" t="s">
        <v>5942</v>
      </c>
      <c r="BF280" s="3" t="str">
        <f>HYPERLINK("http://dx.doi.org/10.1109/TSC.2025.3583232","http://dx.doi.org/10.1109/TSC.2025.3583232")</f>
        <v>http://dx.doi.org/10.1109/TSC.2025.3583232</v>
      </c>
      <c r="BG280" s="3" t="s">
        <v>74</v>
      </c>
      <c r="BH280" s="3" t="s">
        <v>74</v>
      </c>
      <c r="BI280" s="3">
        <v>13</v>
      </c>
      <c r="BJ280" s="3" t="s">
        <v>3917</v>
      </c>
      <c r="BK280" s="3" t="s">
        <v>179</v>
      </c>
      <c r="BL280" s="3" t="s">
        <v>486</v>
      </c>
      <c r="BM280" s="3" t="s">
        <v>5943</v>
      </c>
      <c r="BN280" s="3" t="s">
        <v>74</v>
      </c>
      <c r="BO280" s="3" t="s">
        <v>74</v>
      </c>
      <c r="BP280" s="3" t="s">
        <v>74</v>
      </c>
      <c r="BQ280" s="3" t="s">
        <v>74</v>
      </c>
      <c r="BR280" s="3" t="s">
        <v>101</v>
      </c>
      <c r="BS280" s="3" t="s">
        <v>5944</v>
      </c>
      <c r="BT280" s="3" t="str">
        <f>HYPERLINK("https%3A%2F%2Fwww.webofscience.com%2Fwos%2Fwoscc%2Ffull-record%2FWOS:001547519500025","View Full Record in Web of Science")</f>
        <v>View Full Record in Web of Science</v>
      </c>
      <c r="BU280" s="3"/>
      <c r="BV280" s="3"/>
      <c r="BW280" s="1"/>
    </row>
    <row r="281" spans="1:75" x14ac:dyDescent="0.25">
      <c r="A281" s="3" t="s">
        <v>72</v>
      </c>
      <c r="B281" s="3" t="s">
        <v>5945</v>
      </c>
      <c r="C281" s="3" t="s">
        <v>74</v>
      </c>
      <c r="D281" s="3" t="s">
        <v>74</v>
      </c>
      <c r="E281" s="3" t="s">
        <v>74</v>
      </c>
      <c r="F281" s="3" t="s">
        <v>5946</v>
      </c>
      <c r="G281" s="3" t="s">
        <v>74</v>
      </c>
      <c r="H281" s="3" t="s">
        <v>74</v>
      </c>
      <c r="I281" s="3" t="s">
        <v>5947</v>
      </c>
      <c r="J281" s="3" t="s">
        <v>835</v>
      </c>
      <c r="K281" s="3" t="s">
        <v>74</v>
      </c>
      <c r="L281" s="3" t="s">
        <v>74</v>
      </c>
      <c r="M281" s="3" t="s">
        <v>110</v>
      </c>
      <c r="N281" s="3" t="s">
        <v>79</v>
      </c>
      <c r="O281" s="3" t="s">
        <v>74</v>
      </c>
      <c r="P281" s="3" t="s">
        <v>74</v>
      </c>
      <c r="Q281" s="3" t="s">
        <v>74</v>
      </c>
      <c r="R281" s="3" t="s">
        <v>74</v>
      </c>
      <c r="S281" s="3" t="s">
        <v>74</v>
      </c>
      <c r="T281" s="3" t="s">
        <v>5948</v>
      </c>
      <c r="U281" s="3" t="s">
        <v>5949</v>
      </c>
      <c r="V281" s="3" t="s">
        <v>5950</v>
      </c>
      <c r="W281" s="3" t="s">
        <v>5951</v>
      </c>
      <c r="X281" s="3" t="s">
        <v>5952</v>
      </c>
      <c r="Y281" s="3" t="s">
        <v>5953</v>
      </c>
      <c r="Z281" s="3" t="s">
        <v>5954</v>
      </c>
      <c r="AA281" s="3" t="s">
        <v>74</v>
      </c>
      <c r="AB281" s="3" t="s">
        <v>74</v>
      </c>
      <c r="AC281" s="3" t="s">
        <v>74</v>
      </c>
      <c r="AD281" s="3" t="s">
        <v>74</v>
      </c>
      <c r="AE281" s="3" t="s">
        <v>74</v>
      </c>
      <c r="AF281" s="3" t="s">
        <v>74</v>
      </c>
      <c r="AG281" s="3">
        <v>79</v>
      </c>
      <c r="AH281" s="3">
        <v>1</v>
      </c>
      <c r="AI281" s="3">
        <v>1</v>
      </c>
      <c r="AJ281" s="3">
        <v>3</v>
      </c>
      <c r="AK281" s="3">
        <v>6</v>
      </c>
      <c r="AL281" s="3" t="s">
        <v>846</v>
      </c>
      <c r="AM281" s="3" t="s">
        <v>847</v>
      </c>
      <c r="AN281" s="3" t="s">
        <v>848</v>
      </c>
      <c r="AO281" s="3" t="s">
        <v>849</v>
      </c>
      <c r="AP281" s="3" t="s">
        <v>74</v>
      </c>
      <c r="AQ281" s="3" t="s">
        <v>74</v>
      </c>
      <c r="AR281" s="3" t="s">
        <v>835</v>
      </c>
      <c r="AS281" s="3" t="s">
        <v>850</v>
      </c>
      <c r="AT281" s="3" t="s">
        <v>74</v>
      </c>
      <c r="AU281" s="3">
        <v>2025</v>
      </c>
      <c r="AV281" s="3">
        <v>13</v>
      </c>
      <c r="AW281" s="3" t="s">
        <v>74</v>
      </c>
      <c r="AX281" s="3" t="s">
        <v>74</v>
      </c>
      <c r="AY281" s="3" t="s">
        <v>74</v>
      </c>
      <c r="AZ281" s="3" t="s">
        <v>74</v>
      </c>
      <c r="BA281" s="3" t="s">
        <v>74</v>
      </c>
      <c r="BB281" s="3">
        <v>18386</v>
      </c>
      <c r="BC281" s="3">
        <v>18402</v>
      </c>
      <c r="BD281" s="3" t="s">
        <v>74</v>
      </c>
      <c r="BE281" s="3" t="s">
        <v>5955</v>
      </c>
      <c r="BF281" s="3" t="str">
        <f>HYPERLINK("http://dx.doi.org/10.1109/ACCESS.2025.3530965","http://dx.doi.org/10.1109/ACCESS.2025.3530965")</f>
        <v>http://dx.doi.org/10.1109/ACCESS.2025.3530965</v>
      </c>
      <c r="BG281" s="3" t="s">
        <v>74</v>
      </c>
      <c r="BH281" s="3" t="s">
        <v>74</v>
      </c>
      <c r="BI281" s="3">
        <v>17</v>
      </c>
      <c r="BJ281" s="3" t="s">
        <v>852</v>
      </c>
      <c r="BK281" s="3" t="s">
        <v>179</v>
      </c>
      <c r="BL281" s="3" t="s">
        <v>853</v>
      </c>
      <c r="BM281" s="3" t="s">
        <v>5956</v>
      </c>
      <c r="BN281" s="3" t="s">
        <v>74</v>
      </c>
      <c r="BO281" s="3" t="s">
        <v>100</v>
      </c>
      <c r="BP281" s="3" t="s">
        <v>74</v>
      </c>
      <c r="BQ281" s="3" t="s">
        <v>74</v>
      </c>
      <c r="BR281" s="3" t="s">
        <v>101</v>
      </c>
      <c r="BS281" s="3" t="s">
        <v>5957</v>
      </c>
      <c r="BT281" s="3" t="str">
        <f>HYPERLINK("https%3A%2F%2Fwww.webofscience.com%2Fwos%2Fwoscc%2Ffull-record%2FWOS:001411998400041","View Full Record in Web of Science")</f>
        <v>View Full Record in Web of Science</v>
      </c>
      <c r="BU281" s="3"/>
      <c r="BV281" s="3"/>
      <c r="BW281" s="1"/>
    </row>
    <row r="282" spans="1:75" x14ac:dyDescent="0.25">
      <c r="A282" s="3" t="s">
        <v>103</v>
      </c>
      <c r="B282" s="3" t="s">
        <v>5958</v>
      </c>
      <c r="C282" s="3" t="s">
        <v>74</v>
      </c>
      <c r="D282" s="3" t="s">
        <v>5959</v>
      </c>
      <c r="E282" s="3" t="s">
        <v>74</v>
      </c>
      <c r="F282" s="3" t="s">
        <v>5960</v>
      </c>
      <c r="G282" s="3" t="s">
        <v>74</v>
      </c>
      <c r="H282" s="3" t="s">
        <v>74</v>
      </c>
      <c r="I282" s="3" t="s">
        <v>5961</v>
      </c>
      <c r="J282" s="3" t="s">
        <v>5962</v>
      </c>
      <c r="K282" s="3" t="s">
        <v>3508</v>
      </c>
      <c r="L282" s="3" t="s">
        <v>74</v>
      </c>
      <c r="M282" s="3" t="s">
        <v>110</v>
      </c>
      <c r="N282" s="3" t="s">
        <v>111</v>
      </c>
      <c r="O282" s="3" t="s">
        <v>5963</v>
      </c>
      <c r="P282" s="3" t="s">
        <v>5964</v>
      </c>
      <c r="Q282" s="3" t="s">
        <v>818</v>
      </c>
      <c r="R282" s="3" t="s">
        <v>74</v>
      </c>
      <c r="S282" s="3" t="s">
        <v>74</v>
      </c>
      <c r="T282" s="3" t="s">
        <v>5965</v>
      </c>
      <c r="U282" s="3" t="s">
        <v>5966</v>
      </c>
      <c r="V282" s="3" t="s">
        <v>5967</v>
      </c>
      <c r="W282" s="3" t="s">
        <v>5968</v>
      </c>
      <c r="X282" s="3" t="s">
        <v>5969</v>
      </c>
      <c r="Y282" s="3" t="s">
        <v>5970</v>
      </c>
      <c r="Z282" s="3" t="s">
        <v>5971</v>
      </c>
      <c r="AA282" s="3" t="s">
        <v>74</v>
      </c>
      <c r="AB282" s="3" t="s">
        <v>74</v>
      </c>
      <c r="AC282" s="3" t="s">
        <v>74</v>
      </c>
      <c r="AD282" s="3" t="s">
        <v>74</v>
      </c>
      <c r="AE282" s="3" t="s">
        <v>74</v>
      </c>
      <c r="AF282" s="3" t="s">
        <v>74</v>
      </c>
      <c r="AG282" s="3">
        <v>46</v>
      </c>
      <c r="AH282" s="3">
        <v>1</v>
      </c>
      <c r="AI282" s="3">
        <v>1</v>
      </c>
      <c r="AJ282" s="3">
        <v>2</v>
      </c>
      <c r="AK282" s="3">
        <v>6</v>
      </c>
      <c r="AL282" s="3" t="s">
        <v>374</v>
      </c>
      <c r="AM282" s="3" t="s">
        <v>375</v>
      </c>
      <c r="AN282" s="3" t="s">
        <v>376</v>
      </c>
      <c r="AO282" s="3" t="s">
        <v>3521</v>
      </c>
      <c r="AP282" s="3" t="s">
        <v>3522</v>
      </c>
      <c r="AQ282" s="3" t="s">
        <v>5972</v>
      </c>
      <c r="AR282" s="3" t="s">
        <v>3524</v>
      </c>
      <c r="AS282" s="3" t="s">
        <v>74</v>
      </c>
      <c r="AT282" s="3" t="s">
        <v>74</v>
      </c>
      <c r="AU282" s="3">
        <v>2022</v>
      </c>
      <c r="AV282" s="3">
        <v>454</v>
      </c>
      <c r="AW282" s="3" t="s">
        <v>74</v>
      </c>
      <c r="AX282" s="3" t="s">
        <v>74</v>
      </c>
      <c r="AY282" s="3" t="s">
        <v>74</v>
      </c>
      <c r="AZ282" s="3" t="s">
        <v>74</v>
      </c>
      <c r="BA282" s="3" t="s">
        <v>74</v>
      </c>
      <c r="BB282" s="3">
        <v>107</v>
      </c>
      <c r="BC282" s="3">
        <v>119</v>
      </c>
      <c r="BD282" s="3" t="s">
        <v>74</v>
      </c>
      <c r="BE282" s="3" t="s">
        <v>5973</v>
      </c>
      <c r="BF282" s="3" t="str">
        <f>HYPERLINK("http://dx.doi.org/10.1007/978-3-031-01942-5_11","http://dx.doi.org/10.1007/978-3-031-01942-5_11")</f>
        <v>http://dx.doi.org/10.1007/978-3-031-01942-5_11</v>
      </c>
      <c r="BG282" s="3" t="s">
        <v>74</v>
      </c>
      <c r="BH282" s="3" t="s">
        <v>74</v>
      </c>
      <c r="BI282" s="3">
        <v>13</v>
      </c>
      <c r="BJ282" s="3" t="s">
        <v>3500</v>
      </c>
      <c r="BK282" s="3" t="s">
        <v>208</v>
      </c>
      <c r="BL282" s="3" t="s">
        <v>1826</v>
      </c>
      <c r="BM282" s="3" t="s">
        <v>5974</v>
      </c>
      <c r="BN282" s="3" t="s">
        <v>74</v>
      </c>
      <c r="BO282" s="3" t="s">
        <v>74</v>
      </c>
      <c r="BP282" s="3" t="s">
        <v>74</v>
      </c>
      <c r="BQ282" s="3" t="s">
        <v>74</v>
      </c>
      <c r="BR282" s="3" t="s">
        <v>101</v>
      </c>
      <c r="BS282" s="3" t="s">
        <v>5975</v>
      </c>
      <c r="BT282" s="3" t="str">
        <f>HYPERLINK("https%3A%2F%2Fwww.webofscience.com%2Fwos%2Fwoscc%2Ffull-record%2FWOS:001435908600011","View Full Record in Web of Science")</f>
        <v>View Full Record in Web of Science</v>
      </c>
      <c r="BU282" s="3"/>
      <c r="BV282" s="3"/>
      <c r="BW282" s="1"/>
    </row>
    <row r="283" spans="1:75" x14ac:dyDescent="0.25">
      <c r="A283" s="3" t="s">
        <v>72</v>
      </c>
      <c r="B283" s="3" t="s">
        <v>5976</v>
      </c>
      <c r="C283" s="3" t="s">
        <v>74</v>
      </c>
      <c r="D283" s="3" t="s">
        <v>74</v>
      </c>
      <c r="E283" s="3" t="s">
        <v>74</v>
      </c>
      <c r="F283" s="3" t="s">
        <v>5977</v>
      </c>
      <c r="G283" s="3" t="s">
        <v>74</v>
      </c>
      <c r="H283" s="3" t="s">
        <v>74</v>
      </c>
      <c r="I283" s="3" t="s">
        <v>5978</v>
      </c>
      <c r="J283" s="3" t="s">
        <v>5979</v>
      </c>
      <c r="K283" s="3" t="s">
        <v>74</v>
      </c>
      <c r="L283" s="3" t="s">
        <v>74</v>
      </c>
      <c r="M283" s="3" t="s">
        <v>110</v>
      </c>
      <c r="N283" s="3" t="s">
        <v>79</v>
      </c>
      <c r="O283" s="3" t="s">
        <v>74</v>
      </c>
      <c r="P283" s="3" t="s">
        <v>74</v>
      </c>
      <c r="Q283" s="3" t="s">
        <v>74</v>
      </c>
      <c r="R283" s="3" t="s">
        <v>74</v>
      </c>
      <c r="S283" s="3" t="s">
        <v>74</v>
      </c>
      <c r="T283" s="3" t="s">
        <v>74</v>
      </c>
      <c r="U283" s="3" t="s">
        <v>5980</v>
      </c>
      <c r="V283" s="3" t="s">
        <v>5981</v>
      </c>
      <c r="W283" s="3" t="s">
        <v>5982</v>
      </c>
      <c r="X283" s="3" t="s">
        <v>5892</v>
      </c>
      <c r="Y283" s="3" t="s">
        <v>5983</v>
      </c>
      <c r="Z283" s="3" t="s">
        <v>5894</v>
      </c>
      <c r="AA283" s="3" t="s">
        <v>5984</v>
      </c>
      <c r="AB283" s="3" t="s">
        <v>5896</v>
      </c>
      <c r="AC283" s="3" t="s">
        <v>5985</v>
      </c>
      <c r="AD283" s="3" t="s">
        <v>5985</v>
      </c>
      <c r="AE283" s="3" t="s">
        <v>5986</v>
      </c>
      <c r="AF283" s="3" t="s">
        <v>74</v>
      </c>
      <c r="AG283" s="3">
        <v>85</v>
      </c>
      <c r="AH283" s="3">
        <v>5</v>
      </c>
      <c r="AI283" s="3">
        <v>5</v>
      </c>
      <c r="AJ283" s="3">
        <v>5</v>
      </c>
      <c r="AK283" s="3">
        <v>15</v>
      </c>
      <c r="AL283" s="3" t="s">
        <v>5987</v>
      </c>
      <c r="AM283" s="3" t="s">
        <v>5988</v>
      </c>
      <c r="AN283" s="3" t="s">
        <v>5989</v>
      </c>
      <c r="AO283" s="3" t="s">
        <v>5990</v>
      </c>
      <c r="AP283" s="3" t="s">
        <v>74</v>
      </c>
      <c r="AQ283" s="3" t="s">
        <v>74</v>
      </c>
      <c r="AR283" s="3" t="s">
        <v>5979</v>
      </c>
      <c r="AS283" s="3" t="s">
        <v>5991</v>
      </c>
      <c r="AT283" s="3" t="s">
        <v>5992</v>
      </c>
      <c r="AU283" s="3">
        <v>2024</v>
      </c>
      <c r="AV283" s="3">
        <v>19</v>
      </c>
      <c r="AW283" s="3">
        <v>6</v>
      </c>
      <c r="AX283" s="3" t="s">
        <v>74</v>
      </c>
      <c r="AY283" s="3" t="s">
        <v>74</v>
      </c>
      <c r="AZ283" s="3" t="s">
        <v>74</v>
      </c>
      <c r="BA283" s="3" t="s">
        <v>74</v>
      </c>
      <c r="BB283" s="3" t="s">
        <v>74</v>
      </c>
      <c r="BC283" s="3" t="s">
        <v>74</v>
      </c>
      <c r="BD283" s="3" t="s">
        <v>5993</v>
      </c>
      <c r="BE283" s="3" t="s">
        <v>5994</v>
      </c>
      <c r="BF283" s="3" t="str">
        <f>HYPERLINK("http://dx.doi.org/10.1371/journal.pone.0305563","http://dx.doi.org/10.1371/journal.pone.0305563")</f>
        <v>http://dx.doi.org/10.1371/journal.pone.0305563</v>
      </c>
      <c r="BG283" s="3" t="s">
        <v>74</v>
      </c>
      <c r="BH283" s="3" t="s">
        <v>74</v>
      </c>
      <c r="BI283" s="3">
        <v>24</v>
      </c>
      <c r="BJ283" s="3" t="s">
        <v>235</v>
      </c>
      <c r="BK283" s="3" t="s">
        <v>179</v>
      </c>
      <c r="BL283" s="3" t="s">
        <v>236</v>
      </c>
      <c r="BM283" s="3" t="s">
        <v>5995</v>
      </c>
      <c r="BN283" s="3">
        <v>38917141</v>
      </c>
      <c r="BO283" s="3" t="s">
        <v>133</v>
      </c>
      <c r="BP283" s="3" t="s">
        <v>74</v>
      </c>
      <c r="BQ283" s="3" t="s">
        <v>74</v>
      </c>
      <c r="BR283" s="3" t="s">
        <v>101</v>
      </c>
      <c r="BS283" s="3" t="s">
        <v>5996</v>
      </c>
      <c r="BT283" s="3" t="str">
        <f>HYPERLINK("https%3A%2F%2Fwww.webofscience.com%2Fwos%2Fwoscc%2Ffull-record%2FWOS:001253508900116","View Full Record in Web of Science")</f>
        <v>View Full Record in Web of Science</v>
      </c>
      <c r="BU283" s="3"/>
      <c r="BV283" s="3"/>
      <c r="BW283" s="1"/>
    </row>
    <row r="284" spans="1:75" x14ac:dyDescent="0.25">
      <c r="A284" s="3" t="s">
        <v>72</v>
      </c>
      <c r="B284" s="3" t="s">
        <v>5997</v>
      </c>
      <c r="C284" s="3" t="s">
        <v>74</v>
      </c>
      <c r="D284" s="3" t="s">
        <v>74</v>
      </c>
      <c r="E284" s="3" t="s">
        <v>74</v>
      </c>
      <c r="F284" s="3" t="s">
        <v>5998</v>
      </c>
      <c r="G284" s="3" t="s">
        <v>74</v>
      </c>
      <c r="H284" s="3" t="s">
        <v>74</v>
      </c>
      <c r="I284" s="3" t="s">
        <v>5999</v>
      </c>
      <c r="J284" s="3" t="s">
        <v>835</v>
      </c>
      <c r="K284" s="3" t="s">
        <v>74</v>
      </c>
      <c r="L284" s="3" t="s">
        <v>74</v>
      </c>
      <c r="M284" s="3" t="s">
        <v>110</v>
      </c>
      <c r="N284" s="3" t="s">
        <v>216</v>
      </c>
      <c r="O284" s="3" t="s">
        <v>74</v>
      </c>
      <c r="P284" s="3" t="s">
        <v>74</v>
      </c>
      <c r="Q284" s="3" t="s">
        <v>74</v>
      </c>
      <c r="R284" s="3" t="s">
        <v>74</v>
      </c>
      <c r="S284" s="3" t="s">
        <v>74</v>
      </c>
      <c r="T284" s="3" t="s">
        <v>6000</v>
      </c>
      <c r="U284" s="3" t="s">
        <v>6001</v>
      </c>
      <c r="V284" s="3" t="s">
        <v>6002</v>
      </c>
      <c r="W284" s="3" t="s">
        <v>6003</v>
      </c>
      <c r="X284" s="3" t="s">
        <v>6004</v>
      </c>
      <c r="Y284" s="3" t="s">
        <v>6005</v>
      </c>
      <c r="Z284" s="3" t="s">
        <v>6006</v>
      </c>
      <c r="AA284" s="3" t="s">
        <v>6007</v>
      </c>
      <c r="AB284" s="3" t="s">
        <v>6008</v>
      </c>
      <c r="AC284" s="3" t="s">
        <v>6009</v>
      </c>
      <c r="AD284" s="3" t="s">
        <v>6010</v>
      </c>
      <c r="AE284" s="3" t="s">
        <v>6011</v>
      </c>
      <c r="AF284" s="3" t="s">
        <v>74</v>
      </c>
      <c r="AG284" s="3">
        <v>254</v>
      </c>
      <c r="AH284" s="3">
        <v>76</v>
      </c>
      <c r="AI284" s="3">
        <v>88</v>
      </c>
      <c r="AJ284" s="3">
        <v>12</v>
      </c>
      <c r="AK284" s="3">
        <v>101</v>
      </c>
      <c r="AL284" s="3" t="s">
        <v>846</v>
      </c>
      <c r="AM284" s="3" t="s">
        <v>847</v>
      </c>
      <c r="AN284" s="3" t="s">
        <v>848</v>
      </c>
      <c r="AO284" s="3" t="s">
        <v>849</v>
      </c>
      <c r="AP284" s="3" t="s">
        <v>74</v>
      </c>
      <c r="AQ284" s="3" t="s">
        <v>74</v>
      </c>
      <c r="AR284" s="3" t="s">
        <v>835</v>
      </c>
      <c r="AS284" s="3" t="s">
        <v>850</v>
      </c>
      <c r="AT284" s="3" t="s">
        <v>74</v>
      </c>
      <c r="AU284" s="3">
        <v>2022</v>
      </c>
      <c r="AV284" s="3">
        <v>10</v>
      </c>
      <c r="AW284" s="3" t="s">
        <v>74</v>
      </c>
      <c r="AX284" s="3" t="s">
        <v>74</v>
      </c>
      <c r="AY284" s="3" t="s">
        <v>74</v>
      </c>
      <c r="AZ284" s="3" t="s">
        <v>74</v>
      </c>
      <c r="BA284" s="3" t="s">
        <v>74</v>
      </c>
      <c r="BB284" s="3">
        <v>68319</v>
      </c>
      <c r="BC284" s="3">
        <v>68364</v>
      </c>
      <c r="BD284" s="3" t="s">
        <v>74</v>
      </c>
      <c r="BE284" s="3" t="s">
        <v>6012</v>
      </c>
      <c r="BF284" s="3" t="str">
        <f>HYPERLINK("http://dx.doi.org/10.1109/ACCESS.2022.3184710","http://dx.doi.org/10.1109/ACCESS.2022.3184710")</f>
        <v>http://dx.doi.org/10.1109/ACCESS.2022.3184710</v>
      </c>
      <c r="BG284" s="3" t="s">
        <v>74</v>
      </c>
      <c r="BH284" s="3" t="s">
        <v>74</v>
      </c>
      <c r="BI284" s="3">
        <v>46</v>
      </c>
      <c r="BJ284" s="3" t="s">
        <v>852</v>
      </c>
      <c r="BK284" s="3" t="s">
        <v>179</v>
      </c>
      <c r="BL284" s="3" t="s">
        <v>853</v>
      </c>
      <c r="BM284" s="3" t="s">
        <v>6013</v>
      </c>
      <c r="BN284" s="3" t="s">
        <v>74</v>
      </c>
      <c r="BO284" s="3" t="s">
        <v>100</v>
      </c>
      <c r="BP284" s="3" t="s">
        <v>74</v>
      </c>
      <c r="BQ284" s="3" t="s">
        <v>74</v>
      </c>
      <c r="BR284" s="3" t="s">
        <v>101</v>
      </c>
      <c r="BS284" s="3" t="s">
        <v>6014</v>
      </c>
      <c r="BT284" s="3" t="str">
        <f>HYPERLINK("https%3A%2F%2Fwww.webofscience.com%2Fwos%2Fwoscc%2Ffull-record%2FWOS:000838549400001","View Full Record in Web of Science")</f>
        <v>View Full Record in Web of Science</v>
      </c>
      <c r="BU284" s="3"/>
      <c r="BV284" s="3"/>
      <c r="BW284" s="1"/>
    </row>
    <row r="285" spans="1:75" x14ac:dyDescent="0.25">
      <c r="A285" s="3" t="s">
        <v>72</v>
      </c>
      <c r="B285" s="3" t="s">
        <v>6015</v>
      </c>
      <c r="C285" s="3" t="s">
        <v>74</v>
      </c>
      <c r="D285" s="3" t="s">
        <v>74</v>
      </c>
      <c r="E285" s="3" t="s">
        <v>74</v>
      </c>
      <c r="F285" s="3" t="s">
        <v>6016</v>
      </c>
      <c r="G285" s="3" t="s">
        <v>74</v>
      </c>
      <c r="H285" s="3" t="s">
        <v>74</v>
      </c>
      <c r="I285" s="3" t="s">
        <v>6017</v>
      </c>
      <c r="J285" s="3" t="s">
        <v>6018</v>
      </c>
      <c r="K285" s="3" t="s">
        <v>74</v>
      </c>
      <c r="L285" s="3" t="s">
        <v>74</v>
      </c>
      <c r="M285" s="3" t="s">
        <v>110</v>
      </c>
      <c r="N285" s="3" t="s">
        <v>79</v>
      </c>
      <c r="O285" s="3" t="s">
        <v>74</v>
      </c>
      <c r="P285" s="3" t="s">
        <v>74</v>
      </c>
      <c r="Q285" s="3" t="s">
        <v>74</v>
      </c>
      <c r="R285" s="3" t="s">
        <v>74</v>
      </c>
      <c r="S285" s="3" t="s">
        <v>74</v>
      </c>
      <c r="T285" s="3" t="s">
        <v>6019</v>
      </c>
      <c r="U285" s="3" t="s">
        <v>6020</v>
      </c>
      <c r="V285" s="3" t="s">
        <v>6021</v>
      </c>
      <c r="W285" s="3" t="s">
        <v>6022</v>
      </c>
      <c r="X285" s="3" t="s">
        <v>6023</v>
      </c>
      <c r="Y285" s="3" t="s">
        <v>6024</v>
      </c>
      <c r="Z285" s="3" t="s">
        <v>6025</v>
      </c>
      <c r="AA285" s="3" t="s">
        <v>6026</v>
      </c>
      <c r="AB285" s="3" t="s">
        <v>74</v>
      </c>
      <c r="AC285" s="3" t="s">
        <v>74</v>
      </c>
      <c r="AD285" s="3" t="s">
        <v>74</v>
      </c>
      <c r="AE285" s="3" t="s">
        <v>74</v>
      </c>
      <c r="AF285" s="3" t="s">
        <v>74</v>
      </c>
      <c r="AG285" s="3">
        <v>89</v>
      </c>
      <c r="AH285" s="3">
        <v>23</v>
      </c>
      <c r="AI285" s="3">
        <v>28</v>
      </c>
      <c r="AJ285" s="3">
        <v>1</v>
      </c>
      <c r="AK285" s="3">
        <v>8</v>
      </c>
      <c r="AL285" s="3" t="s">
        <v>2834</v>
      </c>
      <c r="AM285" s="3" t="s">
        <v>2835</v>
      </c>
      <c r="AN285" s="3" t="s">
        <v>2836</v>
      </c>
      <c r="AO285" s="3" t="s">
        <v>74</v>
      </c>
      <c r="AP285" s="3" t="s">
        <v>6027</v>
      </c>
      <c r="AQ285" s="3" t="s">
        <v>74</v>
      </c>
      <c r="AR285" s="3" t="s">
        <v>6028</v>
      </c>
      <c r="AS285" s="3" t="s">
        <v>6029</v>
      </c>
      <c r="AT285" s="3" t="s">
        <v>967</v>
      </c>
      <c r="AU285" s="3">
        <v>2022</v>
      </c>
      <c r="AV285" s="3">
        <v>3</v>
      </c>
      <c r="AW285" s="3" t="s">
        <v>74</v>
      </c>
      <c r="AX285" s="3" t="s">
        <v>74</v>
      </c>
      <c r="AY285" s="3" t="s">
        <v>74</v>
      </c>
      <c r="AZ285" s="3" t="s">
        <v>74</v>
      </c>
      <c r="BA285" s="3" t="s">
        <v>74</v>
      </c>
      <c r="BB285" s="3" t="s">
        <v>74</v>
      </c>
      <c r="BC285" s="3" t="s">
        <v>74</v>
      </c>
      <c r="BD285" s="3">
        <v>887307</v>
      </c>
      <c r="BE285" s="3" t="s">
        <v>6030</v>
      </c>
      <c r="BF285" s="3" t="str">
        <f>HYPERLINK("http://dx.doi.org/10.3389/ffutr.2022.887307","http://dx.doi.org/10.3389/ffutr.2022.887307")</f>
        <v>http://dx.doi.org/10.3389/ffutr.2022.887307</v>
      </c>
      <c r="BG285" s="3" t="s">
        <v>74</v>
      </c>
      <c r="BH285" s="3" t="s">
        <v>74</v>
      </c>
      <c r="BI285" s="3">
        <v>16</v>
      </c>
      <c r="BJ285" s="3" t="s">
        <v>129</v>
      </c>
      <c r="BK285" s="3" t="s">
        <v>97</v>
      </c>
      <c r="BL285" s="3" t="s">
        <v>131</v>
      </c>
      <c r="BM285" s="3" t="s">
        <v>6031</v>
      </c>
      <c r="BN285" s="3" t="s">
        <v>74</v>
      </c>
      <c r="BO285" s="3" t="s">
        <v>133</v>
      </c>
      <c r="BP285" s="3" t="s">
        <v>74</v>
      </c>
      <c r="BQ285" s="3" t="s">
        <v>74</v>
      </c>
      <c r="BR285" s="3" t="s">
        <v>101</v>
      </c>
      <c r="BS285" s="3" t="s">
        <v>6032</v>
      </c>
      <c r="BT285" s="3" t="str">
        <f>HYPERLINK("https%3A%2F%2Fwww.webofscience.com%2Fwos%2Fwoscc%2Ffull-record%2FWOS:001031575800001","View Full Record in Web of Science")</f>
        <v>View Full Record in Web of Science</v>
      </c>
      <c r="BU285" s="3"/>
      <c r="BV285" s="3"/>
      <c r="BW285" s="1"/>
    </row>
    <row r="286" spans="1:75" x14ac:dyDescent="0.25">
      <c r="A286" s="3" t="s">
        <v>72</v>
      </c>
      <c r="B286" s="3" t="s">
        <v>6033</v>
      </c>
      <c r="C286" s="3" t="s">
        <v>74</v>
      </c>
      <c r="D286" s="3" t="s">
        <v>74</v>
      </c>
      <c r="E286" s="3" t="s">
        <v>74</v>
      </c>
      <c r="F286" s="3" t="s">
        <v>6034</v>
      </c>
      <c r="G286" s="3" t="s">
        <v>74</v>
      </c>
      <c r="H286" s="3" t="s">
        <v>74</v>
      </c>
      <c r="I286" s="3" t="s">
        <v>6035</v>
      </c>
      <c r="J286" s="3" t="s">
        <v>859</v>
      </c>
      <c r="K286" s="3" t="s">
        <v>74</v>
      </c>
      <c r="L286" s="3" t="s">
        <v>74</v>
      </c>
      <c r="M286" s="3" t="s">
        <v>110</v>
      </c>
      <c r="N286" s="3" t="s">
        <v>79</v>
      </c>
      <c r="O286" s="3" t="s">
        <v>74</v>
      </c>
      <c r="P286" s="3" t="s">
        <v>74</v>
      </c>
      <c r="Q286" s="3" t="s">
        <v>74</v>
      </c>
      <c r="R286" s="3" t="s">
        <v>74</v>
      </c>
      <c r="S286" s="3" t="s">
        <v>74</v>
      </c>
      <c r="T286" s="3" t="s">
        <v>6036</v>
      </c>
      <c r="U286" s="3" t="s">
        <v>6037</v>
      </c>
      <c r="V286" s="3" t="s">
        <v>6038</v>
      </c>
      <c r="W286" s="3" t="s">
        <v>6039</v>
      </c>
      <c r="X286" s="3" t="s">
        <v>6040</v>
      </c>
      <c r="Y286" s="3" t="s">
        <v>6041</v>
      </c>
      <c r="Z286" s="3" t="s">
        <v>6042</v>
      </c>
      <c r="AA286" s="3" t="s">
        <v>6043</v>
      </c>
      <c r="AB286" s="3" t="s">
        <v>6044</v>
      </c>
      <c r="AC286" s="3" t="s">
        <v>6045</v>
      </c>
      <c r="AD286" s="3" t="s">
        <v>6046</v>
      </c>
      <c r="AE286" s="3" t="s">
        <v>6047</v>
      </c>
      <c r="AF286" s="3" t="s">
        <v>74</v>
      </c>
      <c r="AG286" s="3">
        <v>128</v>
      </c>
      <c r="AH286" s="3">
        <v>220</v>
      </c>
      <c r="AI286" s="3">
        <v>253</v>
      </c>
      <c r="AJ286" s="3">
        <v>18</v>
      </c>
      <c r="AK286" s="3">
        <v>356</v>
      </c>
      <c r="AL286" s="3" t="s">
        <v>872</v>
      </c>
      <c r="AM286" s="3" t="s">
        <v>873</v>
      </c>
      <c r="AN286" s="3" t="s">
        <v>874</v>
      </c>
      <c r="AO286" s="3" t="s">
        <v>875</v>
      </c>
      <c r="AP286" s="3" t="s">
        <v>876</v>
      </c>
      <c r="AQ286" s="3" t="s">
        <v>74</v>
      </c>
      <c r="AR286" s="3" t="s">
        <v>877</v>
      </c>
      <c r="AS286" s="3" t="s">
        <v>878</v>
      </c>
      <c r="AT286" s="3" t="s">
        <v>6048</v>
      </c>
      <c r="AU286" s="3">
        <v>2021</v>
      </c>
      <c r="AV286" s="3">
        <v>24</v>
      </c>
      <c r="AW286" s="3">
        <v>4</v>
      </c>
      <c r="AX286" s="3" t="s">
        <v>74</v>
      </c>
      <c r="AY286" s="3" t="s">
        <v>74</v>
      </c>
      <c r="AZ286" s="3" t="s">
        <v>74</v>
      </c>
      <c r="BA286" s="3" t="s">
        <v>74</v>
      </c>
      <c r="BB286" s="3">
        <v>323</v>
      </c>
      <c r="BC286" s="3">
        <v>345</v>
      </c>
      <c r="BD286" s="3" t="s">
        <v>74</v>
      </c>
      <c r="BE286" s="3" t="s">
        <v>6049</v>
      </c>
      <c r="BF286" s="3" t="str">
        <f>HYPERLINK("http://dx.doi.org/10.1080/13675567.2020.1757053","http://dx.doi.org/10.1080/13675567.2020.1757053")</f>
        <v>http://dx.doi.org/10.1080/13675567.2020.1757053</v>
      </c>
      <c r="BG286" s="3" t="s">
        <v>74</v>
      </c>
      <c r="BH286" s="3" t="s">
        <v>6050</v>
      </c>
      <c r="BI286" s="3">
        <v>23</v>
      </c>
      <c r="BJ286" s="3" t="s">
        <v>96</v>
      </c>
      <c r="BK286" s="3" t="s">
        <v>264</v>
      </c>
      <c r="BL286" s="3" t="s">
        <v>98</v>
      </c>
      <c r="BM286" s="3" t="s">
        <v>6051</v>
      </c>
      <c r="BN286" s="3" t="s">
        <v>74</v>
      </c>
      <c r="BO286" s="3" t="s">
        <v>74</v>
      </c>
      <c r="BP286" s="3" t="s">
        <v>74</v>
      </c>
      <c r="BQ286" s="3" t="s">
        <v>74</v>
      </c>
      <c r="BR286" s="3" t="s">
        <v>101</v>
      </c>
      <c r="BS286" s="3" t="s">
        <v>6052</v>
      </c>
      <c r="BT286" s="3" t="str">
        <f>HYPERLINK("https%3A%2F%2Fwww.webofscience.com%2Fwos%2Fwoscc%2Ffull-record%2FWOS:000531936200001","View Full Record in Web of Science")</f>
        <v>View Full Record in Web of Science</v>
      </c>
      <c r="BU286" s="3"/>
      <c r="BV286" s="3"/>
      <c r="BW286" s="1"/>
    </row>
    <row r="287" spans="1:75" x14ac:dyDescent="0.25">
      <c r="A287" s="3" t="s">
        <v>72</v>
      </c>
      <c r="B287" s="3" t="s">
        <v>6053</v>
      </c>
      <c r="C287" s="3" t="s">
        <v>74</v>
      </c>
      <c r="D287" s="3" t="s">
        <v>74</v>
      </c>
      <c r="E287" s="3" t="s">
        <v>74</v>
      </c>
      <c r="F287" s="3" t="s">
        <v>6054</v>
      </c>
      <c r="G287" s="3" t="s">
        <v>74</v>
      </c>
      <c r="H287" s="3" t="s">
        <v>74</v>
      </c>
      <c r="I287" s="3" t="s">
        <v>6055</v>
      </c>
      <c r="J287" s="3" t="s">
        <v>138</v>
      </c>
      <c r="K287" s="3" t="s">
        <v>74</v>
      </c>
      <c r="L287" s="3" t="s">
        <v>74</v>
      </c>
      <c r="M287" s="3" t="s">
        <v>110</v>
      </c>
      <c r="N287" s="3" t="s">
        <v>79</v>
      </c>
      <c r="O287" s="3" t="s">
        <v>74</v>
      </c>
      <c r="P287" s="3" t="s">
        <v>74</v>
      </c>
      <c r="Q287" s="3" t="s">
        <v>74</v>
      </c>
      <c r="R287" s="3" t="s">
        <v>74</v>
      </c>
      <c r="S287" s="3" t="s">
        <v>74</v>
      </c>
      <c r="T287" s="3" t="s">
        <v>6056</v>
      </c>
      <c r="U287" s="3" t="s">
        <v>6057</v>
      </c>
      <c r="V287" s="3" t="s">
        <v>6058</v>
      </c>
      <c r="W287" s="3" t="s">
        <v>6059</v>
      </c>
      <c r="X287" s="3" t="s">
        <v>6060</v>
      </c>
      <c r="Y287" s="3" t="s">
        <v>6061</v>
      </c>
      <c r="Z287" s="3" t="s">
        <v>6062</v>
      </c>
      <c r="AA287" s="3" t="s">
        <v>6063</v>
      </c>
      <c r="AB287" s="3" t="s">
        <v>6064</v>
      </c>
      <c r="AC287" s="3" t="s">
        <v>6065</v>
      </c>
      <c r="AD287" s="3" t="s">
        <v>6066</v>
      </c>
      <c r="AE287" s="3" t="s">
        <v>6067</v>
      </c>
      <c r="AF287" s="3" t="s">
        <v>74</v>
      </c>
      <c r="AG287" s="3">
        <v>54</v>
      </c>
      <c r="AH287" s="3">
        <v>41</v>
      </c>
      <c r="AI287" s="3">
        <v>51</v>
      </c>
      <c r="AJ287" s="3">
        <v>3</v>
      </c>
      <c r="AK287" s="3">
        <v>111</v>
      </c>
      <c r="AL287" s="3" t="s">
        <v>145</v>
      </c>
      <c r="AM287" s="3" t="s">
        <v>146</v>
      </c>
      <c r="AN287" s="3" t="s">
        <v>147</v>
      </c>
      <c r="AO287" s="3" t="s">
        <v>74</v>
      </c>
      <c r="AP287" s="3" t="s">
        <v>148</v>
      </c>
      <c r="AQ287" s="3" t="s">
        <v>74</v>
      </c>
      <c r="AR287" s="3" t="s">
        <v>149</v>
      </c>
      <c r="AS287" s="3" t="s">
        <v>150</v>
      </c>
      <c r="AT287" s="3" t="s">
        <v>1240</v>
      </c>
      <c r="AU287" s="3">
        <v>2021</v>
      </c>
      <c r="AV287" s="3">
        <v>13</v>
      </c>
      <c r="AW287" s="3">
        <v>10</v>
      </c>
      <c r="AX287" s="3" t="s">
        <v>74</v>
      </c>
      <c r="AY287" s="3" t="s">
        <v>74</v>
      </c>
      <c r="AZ287" s="3" t="s">
        <v>74</v>
      </c>
      <c r="BA287" s="3" t="s">
        <v>74</v>
      </c>
      <c r="BB287" s="3" t="s">
        <v>74</v>
      </c>
      <c r="BC287" s="3" t="s">
        <v>74</v>
      </c>
      <c r="BD287" s="3">
        <v>5357</v>
      </c>
      <c r="BE287" s="3" t="s">
        <v>6068</v>
      </c>
      <c r="BF287" s="3" t="str">
        <f>HYPERLINK("http://dx.doi.org/10.3390/su13105357","http://dx.doi.org/10.3390/su13105357")</f>
        <v>http://dx.doi.org/10.3390/su13105357</v>
      </c>
      <c r="BG287" s="3" t="s">
        <v>74</v>
      </c>
      <c r="BH287" s="3" t="s">
        <v>74</v>
      </c>
      <c r="BI287" s="3">
        <v>20</v>
      </c>
      <c r="BJ287" s="3" t="s">
        <v>153</v>
      </c>
      <c r="BK287" s="3" t="s">
        <v>154</v>
      </c>
      <c r="BL287" s="3" t="s">
        <v>155</v>
      </c>
      <c r="BM287" s="3" t="s">
        <v>6069</v>
      </c>
      <c r="BN287" s="3" t="s">
        <v>74</v>
      </c>
      <c r="BO287" s="3" t="s">
        <v>133</v>
      </c>
      <c r="BP287" s="3" t="s">
        <v>74</v>
      </c>
      <c r="BQ287" s="3" t="s">
        <v>74</v>
      </c>
      <c r="BR287" s="3" t="s">
        <v>101</v>
      </c>
      <c r="BS287" s="3" t="s">
        <v>6070</v>
      </c>
      <c r="BT287" s="3" t="str">
        <f>HYPERLINK("https%3A%2F%2Fwww.webofscience.com%2Fwos%2Fwoscc%2Ffull-record%2FWOS:000662632100001","View Full Record in Web of Science")</f>
        <v>View Full Record in Web of Science</v>
      </c>
      <c r="BU287" s="3"/>
      <c r="BV287" s="3"/>
      <c r="BW287" s="1"/>
    </row>
    <row r="288" spans="1:75" x14ac:dyDescent="0.25">
      <c r="A288" s="3" t="s">
        <v>72</v>
      </c>
      <c r="B288" s="3" t="s">
        <v>6071</v>
      </c>
      <c r="C288" s="3" t="s">
        <v>74</v>
      </c>
      <c r="D288" s="3" t="s">
        <v>74</v>
      </c>
      <c r="E288" s="3" t="s">
        <v>74</v>
      </c>
      <c r="F288" s="3" t="s">
        <v>6072</v>
      </c>
      <c r="G288" s="3" t="s">
        <v>74</v>
      </c>
      <c r="H288" s="3" t="s">
        <v>74</v>
      </c>
      <c r="I288" s="3" t="s">
        <v>6073</v>
      </c>
      <c r="J288" s="3" t="s">
        <v>6074</v>
      </c>
      <c r="K288" s="3" t="s">
        <v>74</v>
      </c>
      <c r="L288" s="3" t="s">
        <v>74</v>
      </c>
      <c r="M288" s="3" t="s">
        <v>110</v>
      </c>
      <c r="N288" s="3" t="s">
        <v>79</v>
      </c>
      <c r="O288" s="3" t="s">
        <v>74</v>
      </c>
      <c r="P288" s="3" t="s">
        <v>74</v>
      </c>
      <c r="Q288" s="3" t="s">
        <v>74</v>
      </c>
      <c r="R288" s="3" t="s">
        <v>74</v>
      </c>
      <c r="S288" s="3" t="s">
        <v>74</v>
      </c>
      <c r="T288" s="3" t="s">
        <v>6075</v>
      </c>
      <c r="U288" s="3" t="s">
        <v>74</v>
      </c>
      <c r="V288" s="3" t="s">
        <v>6076</v>
      </c>
      <c r="W288" s="3" t="s">
        <v>6077</v>
      </c>
      <c r="X288" s="3" t="s">
        <v>6078</v>
      </c>
      <c r="Y288" s="3" t="s">
        <v>6079</v>
      </c>
      <c r="Z288" s="3" t="s">
        <v>6080</v>
      </c>
      <c r="AA288" s="3" t="s">
        <v>6081</v>
      </c>
      <c r="AB288" s="3" t="s">
        <v>6082</v>
      </c>
      <c r="AC288" s="3" t="s">
        <v>6083</v>
      </c>
      <c r="AD288" s="3" t="s">
        <v>6084</v>
      </c>
      <c r="AE288" s="3" t="s">
        <v>6085</v>
      </c>
      <c r="AF288" s="3" t="s">
        <v>74</v>
      </c>
      <c r="AG288" s="3">
        <v>18</v>
      </c>
      <c r="AH288" s="3">
        <v>0</v>
      </c>
      <c r="AI288" s="3">
        <v>0</v>
      </c>
      <c r="AJ288" s="3">
        <v>4</v>
      </c>
      <c r="AK288" s="3">
        <v>4</v>
      </c>
      <c r="AL288" s="3" t="s">
        <v>145</v>
      </c>
      <c r="AM288" s="3" t="s">
        <v>146</v>
      </c>
      <c r="AN288" s="3" t="s">
        <v>147</v>
      </c>
      <c r="AO288" s="3" t="s">
        <v>74</v>
      </c>
      <c r="AP288" s="3" t="s">
        <v>6086</v>
      </c>
      <c r="AQ288" s="3" t="s">
        <v>74</v>
      </c>
      <c r="AR288" s="3" t="s">
        <v>6074</v>
      </c>
      <c r="AS288" s="3" t="s">
        <v>6087</v>
      </c>
      <c r="AT288" s="3" t="s">
        <v>3824</v>
      </c>
      <c r="AU288" s="3">
        <v>2025</v>
      </c>
      <c r="AV288" s="3">
        <v>13</v>
      </c>
      <c r="AW288" s="3">
        <v>4</v>
      </c>
      <c r="AX288" s="3" t="s">
        <v>74</v>
      </c>
      <c r="AY288" s="3" t="s">
        <v>74</v>
      </c>
      <c r="AZ288" s="3" t="s">
        <v>74</v>
      </c>
      <c r="BA288" s="3" t="s">
        <v>74</v>
      </c>
      <c r="BB288" s="3" t="s">
        <v>74</v>
      </c>
      <c r="BC288" s="3" t="s">
        <v>74</v>
      </c>
      <c r="BD288" s="3">
        <v>1140</v>
      </c>
      <c r="BE288" s="3" t="s">
        <v>6088</v>
      </c>
      <c r="BF288" s="3" t="str">
        <f>HYPERLINK("http://dx.doi.org/10.3390/pr13041140","http://dx.doi.org/10.3390/pr13041140")</f>
        <v>http://dx.doi.org/10.3390/pr13041140</v>
      </c>
      <c r="BG288" s="3" t="s">
        <v>74</v>
      </c>
      <c r="BH288" s="3" t="s">
        <v>74</v>
      </c>
      <c r="BI288" s="3">
        <v>14</v>
      </c>
      <c r="BJ288" s="3" t="s">
        <v>6089</v>
      </c>
      <c r="BK288" s="3" t="s">
        <v>179</v>
      </c>
      <c r="BL288" s="3" t="s">
        <v>2601</v>
      </c>
      <c r="BM288" s="3" t="s">
        <v>6090</v>
      </c>
      <c r="BN288" s="3" t="s">
        <v>74</v>
      </c>
      <c r="BO288" s="3" t="s">
        <v>100</v>
      </c>
      <c r="BP288" s="3" t="s">
        <v>74</v>
      </c>
      <c r="BQ288" s="3" t="s">
        <v>74</v>
      </c>
      <c r="BR288" s="3" t="s">
        <v>101</v>
      </c>
      <c r="BS288" s="3" t="s">
        <v>6091</v>
      </c>
      <c r="BT288" s="3" t="str">
        <f>HYPERLINK("https%3A%2F%2Fwww.webofscience.com%2Fwos%2Fwoscc%2Ffull-record%2FWOS:001474569200001","View Full Record in Web of Science")</f>
        <v>View Full Record in Web of Science</v>
      </c>
      <c r="BU288" s="3"/>
      <c r="BV288" s="3"/>
      <c r="BW288" s="1"/>
    </row>
    <row r="289" spans="1:75" x14ac:dyDescent="0.25">
      <c r="A289" s="3" t="s">
        <v>72</v>
      </c>
      <c r="B289" s="3" t="s">
        <v>6092</v>
      </c>
      <c r="C289" s="3" t="s">
        <v>74</v>
      </c>
      <c r="D289" s="3" t="s">
        <v>74</v>
      </c>
      <c r="E289" s="3" t="s">
        <v>74</v>
      </c>
      <c r="F289" s="3" t="s">
        <v>6093</v>
      </c>
      <c r="G289" s="3" t="s">
        <v>74</v>
      </c>
      <c r="H289" s="3" t="s">
        <v>74</v>
      </c>
      <c r="I289" s="3" t="s">
        <v>6094</v>
      </c>
      <c r="J289" s="3" t="s">
        <v>6095</v>
      </c>
      <c r="K289" s="3" t="s">
        <v>74</v>
      </c>
      <c r="L289" s="3" t="s">
        <v>74</v>
      </c>
      <c r="M289" s="3" t="s">
        <v>6096</v>
      </c>
      <c r="N289" s="3" t="s">
        <v>79</v>
      </c>
      <c r="O289" s="3" t="s">
        <v>74</v>
      </c>
      <c r="P289" s="3" t="s">
        <v>74</v>
      </c>
      <c r="Q289" s="3" t="s">
        <v>74</v>
      </c>
      <c r="R289" s="3" t="s">
        <v>74</v>
      </c>
      <c r="S289" s="3" t="s">
        <v>74</v>
      </c>
      <c r="T289" s="3" t="s">
        <v>6097</v>
      </c>
      <c r="U289" s="3" t="s">
        <v>74</v>
      </c>
      <c r="V289" s="3" t="s">
        <v>6098</v>
      </c>
      <c r="W289" s="3" t="s">
        <v>6099</v>
      </c>
      <c r="X289" s="3" t="s">
        <v>6100</v>
      </c>
      <c r="Y289" s="3" t="s">
        <v>6101</v>
      </c>
      <c r="Z289" s="3" t="s">
        <v>6102</v>
      </c>
      <c r="AA289" s="3" t="s">
        <v>6103</v>
      </c>
      <c r="AB289" s="3" t="s">
        <v>6104</v>
      </c>
      <c r="AC289" s="3" t="s">
        <v>6105</v>
      </c>
      <c r="AD289" s="3" t="s">
        <v>74</v>
      </c>
      <c r="AE289" s="3" t="s">
        <v>6106</v>
      </c>
      <c r="AF289" s="3" t="s">
        <v>74</v>
      </c>
      <c r="AG289" s="3">
        <v>15</v>
      </c>
      <c r="AH289" s="3">
        <v>2</v>
      </c>
      <c r="AI289" s="3">
        <v>4</v>
      </c>
      <c r="AJ289" s="3">
        <v>1</v>
      </c>
      <c r="AK289" s="3">
        <v>5</v>
      </c>
      <c r="AL289" s="3" t="s">
        <v>6107</v>
      </c>
      <c r="AM289" s="3" t="s">
        <v>3080</v>
      </c>
      <c r="AN289" s="3" t="s">
        <v>6108</v>
      </c>
      <c r="AO289" s="3" t="s">
        <v>6109</v>
      </c>
      <c r="AP289" s="3" t="s">
        <v>74</v>
      </c>
      <c r="AQ289" s="3" t="s">
        <v>74</v>
      </c>
      <c r="AR289" s="3" t="s">
        <v>6110</v>
      </c>
      <c r="AS289" s="3" t="s">
        <v>6111</v>
      </c>
      <c r="AT289" s="3" t="s">
        <v>74</v>
      </c>
      <c r="AU289" s="3">
        <v>2023</v>
      </c>
      <c r="AV289" s="3" t="s">
        <v>74</v>
      </c>
      <c r="AW289" s="3">
        <v>3</v>
      </c>
      <c r="AX289" s="3" t="s">
        <v>74</v>
      </c>
      <c r="AY289" s="3" t="s">
        <v>74</v>
      </c>
      <c r="AZ289" s="3" t="s">
        <v>74</v>
      </c>
      <c r="BA289" s="3" t="s">
        <v>74</v>
      </c>
      <c r="BB289" s="3">
        <v>56</v>
      </c>
      <c r="BC289" s="3">
        <v>77</v>
      </c>
      <c r="BD289" s="3" t="s">
        <v>74</v>
      </c>
      <c r="BE289" s="3" t="s">
        <v>6112</v>
      </c>
      <c r="BF289" s="3" t="str">
        <f>HYPERLINK("http://dx.doi.org/10.17323/2072-8166.2023.3.56.77","http://dx.doi.org/10.17323/2072-8166.2023.3.56.77")</f>
        <v>http://dx.doi.org/10.17323/2072-8166.2023.3.56.77</v>
      </c>
      <c r="BG289" s="3" t="s">
        <v>74</v>
      </c>
      <c r="BH289" s="3" t="s">
        <v>74</v>
      </c>
      <c r="BI289" s="3">
        <v>22</v>
      </c>
      <c r="BJ289" s="3" t="s">
        <v>6113</v>
      </c>
      <c r="BK289" s="3" t="s">
        <v>97</v>
      </c>
      <c r="BL289" s="3" t="s">
        <v>6114</v>
      </c>
      <c r="BM289" s="3" t="s">
        <v>6115</v>
      </c>
      <c r="BN289" s="3" t="s">
        <v>74</v>
      </c>
      <c r="BO289" s="3" t="s">
        <v>100</v>
      </c>
      <c r="BP289" s="3" t="s">
        <v>74</v>
      </c>
      <c r="BQ289" s="3" t="s">
        <v>74</v>
      </c>
      <c r="BR289" s="3" t="s">
        <v>101</v>
      </c>
      <c r="BS289" s="3" t="s">
        <v>6116</v>
      </c>
      <c r="BT289" s="3" t="str">
        <f>HYPERLINK("https%3A%2F%2Fwww.webofscience.com%2Fwos%2Fwoscc%2Ffull-record%2FWOS:001083415400003","View Full Record in Web of Science")</f>
        <v>View Full Record in Web of Science</v>
      </c>
      <c r="BU289" s="3"/>
      <c r="BV289" s="3"/>
      <c r="BW289" s="1"/>
    </row>
    <row r="290" spans="1:75" x14ac:dyDescent="0.25">
      <c r="A290" s="3" t="s">
        <v>72</v>
      </c>
      <c r="B290" s="3" t="s">
        <v>6117</v>
      </c>
      <c r="C290" s="3" t="s">
        <v>74</v>
      </c>
      <c r="D290" s="3" t="s">
        <v>74</v>
      </c>
      <c r="E290" s="3" t="s">
        <v>74</v>
      </c>
      <c r="F290" s="3" t="s">
        <v>6118</v>
      </c>
      <c r="G290" s="3" t="s">
        <v>74</v>
      </c>
      <c r="H290" s="3" t="s">
        <v>74</v>
      </c>
      <c r="I290" s="3" t="s">
        <v>6119</v>
      </c>
      <c r="J290" s="3" t="s">
        <v>6120</v>
      </c>
      <c r="K290" s="3" t="s">
        <v>74</v>
      </c>
      <c r="L290" s="3" t="s">
        <v>74</v>
      </c>
      <c r="M290" s="3" t="s">
        <v>110</v>
      </c>
      <c r="N290" s="3" t="s">
        <v>79</v>
      </c>
      <c r="O290" s="3" t="s">
        <v>74</v>
      </c>
      <c r="P290" s="3" t="s">
        <v>74</v>
      </c>
      <c r="Q290" s="3" t="s">
        <v>74</v>
      </c>
      <c r="R290" s="3" t="s">
        <v>74</v>
      </c>
      <c r="S290" s="3" t="s">
        <v>74</v>
      </c>
      <c r="T290" s="3" t="s">
        <v>6121</v>
      </c>
      <c r="U290" s="3" t="s">
        <v>6122</v>
      </c>
      <c r="V290" s="3" t="s">
        <v>6123</v>
      </c>
      <c r="W290" s="3" t="s">
        <v>6124</v>
      </c>
      <c r="X290" s="3" t="s">
        <v>6125</v>
      </c>
      <c r="Y290" s="3" t="s">
        <v>6126</v>
      </c>
      <c r="Z290" s="3" t="s">
        <v>6127</v>
      </c>
      <c r="AA290" s="3" t="s">
        <v>6128</v>
      </c>
      <c r="AB290" s="3" t="s">
        <v>6129</v>
      </c>
      <c r="AC290" s="3" t="s">
        <v>6130</v>
      </c>
      <c r="AD290" s="3" t="s">
        <v>6131</v>
      </c>
      <c r="AE290" s="3" t="s">
        <v>6132</v>
      </c>
      <c r="AF290" s="3" t="s">
        <v>74</v>
      </c>
      <c r="AG290" s="3">
        <v>41</v>
      </c>
      <c r="AH290" s="3">
        <v>25</v>
      </c>
      <c r="AI290" s="3">
        <v>31</v>
      </c>
      <c r="AJ290" s="3">
        <v>4</v>
      </c>
      <c r="AK290" s="3">
        <v>26</v>
      </c>
      <c r="AL290" s="3" t="s">
        <v>506</v>
      </c>
      <c r="AM290" s="3" t="s">
        <v>200</v>
      </c>
      <c r="AN290" s="3" t="s">
        <v>2927</v>
      </c>
      <c r="AO290" s="3" t="s">
        <v>6133</v>
      </c>
      <c r="AP290" s="3" t="s">
        <v>6134</v>
      </c>
      <c r="AQ290" s="3" t="s">
        <v>74</v>
      </c>
      <c r="AR290" s="3" t="s">
        <v>6135</v>
      </c>
      <c r="AS290" s="3" t="s">
        <v>6136</v>
      </c>
      <c r="AT290" s="3" t="s">
        <v>592</v>
      </c>
      <c r="AU290" s="3">
        <v>2022</v>
      </c>
      <c r="AV290" s="3">
        <v>22</v>
      </c>
      <c r="AW290" s="3">
        <v>4</v>
      </c>
      <c r="AX290" s="3" t="s">
        <v>74</v>
      </c>
      <c r="AY290" s="3" t="s">
        <v>74</v>
      </c>
      <c r="AZ290" s="3" t="s">
        <v>74</v>
      </c>
      <c r="BA290" s="3" t="s">
        <v>74</v>
      </c>
      <c r="BB290" s="3" t="s">
        <v>74</v>
      </c>
      <c r="BC290" s="3" t="s">
        <v>74</v>
      </c>
      <c r="BD290" s="3">
        <v>106</v>
      </c>
      <c r="BE290" s="3" t="s">
        <v>6137</v>
      </c>
      <c r="BF290" s="3" t="str">
        <f>HYPERLINK("http://dx.doi.org/10.1145/3507906","http://dx.doi.org/10.1145/3507906")</f>
        <v>http://dx.doi.org/10.1145/3507906</v>
      </c>
      <c r="BG290" s="3" t="s">
        <v>74</v>
      </c>
      <c r="BH290" s="3" t="s">
        <v>74</v>
      </c>
      <c r="BI290" s="3">
        <v>18</v>
      </c>
      <c r="BJ290" s="3" t="s">
        <v>3917</v>
      </c>
      <c r="BK290" s="3" t="s">
        <v>179</v>
      </c>
      <c r="BL290" s="3" t="s">
        <v>486</v>
      </c>
      <c r="BM290" s="3" t="s">
        <v>6138</v>
      </c>
      <c r="BN290" s="3" t="s">
        <v>74</v>
      </c>
      <c r="BO290" s="3" t="s">
        <v>74</v>
      </c>
      <c r="BP290" s="3" t="s">
        <v>74</v>
      </c>
      <c r="BQ290" s="3" t="s">
        <v>74</v>
      </c>
      <c r="BR290" s="3" t="s">
        <v>101</v>
      </c>
      <c r="BS290" s="3" t="s">
        <v>6139</v>
      </c>
      <c r="BT290" s="3" t="str">
        <f>HYPERLINK("https%3A%2F%2Fwww.webofscience.com%2Fwos%2Fwoscc%2Ffull-record%2FWOS:000951106600026","View Full Record in Web of Science")</f>
        <v>View Full Record in Web of Science</v>
      </c>
      <c r="BU290" s="3"/>
      <c r="BV290" s="3"/>
      <c r="BW290" s="1"/>
    </row>
    <row r="291" spans="1:75" x14ac:dyDescent="0.25">
      <c r="A291" s="3" t="s">
        <v>72</v>
      </c>
      <c r="B291" s="3" t="s">
        <v>6140</v>
      </c>
      <c r="C291" s="3" t="s">
        <v>74</v>
      </c>
      <c r="D291" s="3" t="s">
        <v>74</v>
      </c>
      <c r="E291" s="3" t="s">
        <v>74</v>
      </c>
      <c r="F291" s="3" t="s">
        <v>6141</v>
      </c>
      <c r="G291" s="3" t="s">
        <v>74</v>
      </c>
      <c r="H291" s="3" t="s">
        <v>74</v>
      </c>
      <c r="I291" s="3" t="s">
        <v>6142</v>
      </c>
      <c r="J291" s="3" t="s">
        <v>6143</v>
      </c>
      <c r="K291" s="3" t="s">
        <v>74</v>
      </c>
      <c r="L291" s="3" t="s">
        <v>74</v>
      </c>
      <c r="M291" s="3" t="s">
        <v>110</v>
      </c>
      <c r="N291" s="3" t="s">
        <v>79</v>
      </c>
      <c r="O291" s="3" t="s">
        <v>74</v>
      </c>
      <c r="P291" s="3" t="s">
        <v>74</v>
      </c>
      <c r="Q291" s="3" t="s">
        <v>74</v>
      </c>
      <c r="R291" s="3" t="s">
        <v>74</v>
      </c>
      <c r="S291" s="3" t="s">
        <v>74</v>
      </c>
      <c r="T291" s="3" t="s">
        <v>6144</v>
      </c>
      <c r="U291" s="3" t="s">
        <v>2207</v>
      </c>
      <c r="V291" s="3" t="s">
        <v>6145</v>
      </c>
      <c r="W291" s="3" t="s">
        <v>6146</v>
      </c>
      <c r="X291" s="3" t="s">
        <v>6147</v>
      </c>
      <c r="Y291" s="3" t="s">
        <v>6148</v>
      </c>
      <c r="Z291" s="3" t="s">
        <v>6149</v>
      </c>
      <c r="AA291" s="3" t="s">
        <v>74</v>
      </c>
      <c r="AB291" s="3" t="s">
        <v>74</v>
      </c>
      <c r="AC291" s="3" t="s">
        <v>6150</v>
      </c>
      <c r="AD291" s="3" t="s">
        <v>6151</v>
      </c>
      <c r="AE291" s="3" t="s">
        <v>6152</v>
      </c>
      <c r="AF291" s="3" t="s">
        <v>74</v>
      </c>
      <c r="AG291" s="3">
        <v>53</v>
      </c>
      <c r="AH291" s="3">
        <v>21</v>
      </c>
      <c r="AI291" s="3">
        <v>23</v>
      </c>
      <c r="AJ291" s="3">
        <v>2</v>
      </c>
      <c r="AK291" s="3">
        <v>40</v>
      </c>
      <c r="AL291" s="3" t="s">
        <v>6153</v>
      </c>
      <c r="AM291" s="3" t="s">
        <v>6154</v>
      </c>
      <c r="AN291" s="3" t="s">
        <v>6155</v>
      </c>
      <c r="AO291" s="3" t="s">
        <v>6156</v>
      </c>
      <c r="AP291" s="3" t="s">
        <v>6157</v>
      </c>
      <c r="AQ291" s="3" t="s">
        <v>74</v>
      </c>
      <c r="AR291" s="3" t="s">
        <v>6158</v>
      </c>
      <c r="AS291" s="3" t="s">
        <v>6159</v>
      </c>
      <c r="AT291" s="3" t="s">
        <v>1164</v>
      </c>
      <c r="AU291" s="3">
        <v>2022</v>
      </c>
      <c r="AV291" s="3">
        <v>8</v>
      </c>
      <c r="AW291" s="3">
        <v>10</v>
      </c>
      <c r="AX291" s="3" t="s">
        <v>74</v>
      </c>
      <c r="AY291" s="3" t="s">
        <v>74</v>
      </c>
      <c r="AZ291" s="3" t="s">
        <v>74</v>
      </c>
      <c r="BA291" s="3" t="s">
        <v>74</v>
      </c>
      <c r="BB291" s="3">
        <v>2154</v>
      </c>
      <c r="BC291" s="3">
        <v>2171</v>
      </c>
      <c r="BD291" s="3" t="s">
        <v>74</v>
      </c>
      <c r="BE291" s="3" t="s">
        <v>6160</v>
      </c>
      <c r="BF291" s="3" t="str">
        <f>HYPERLINK("http://dx.doi.org/10.28991/CEJ-2022-08-10-09","http://dx.doi.org/10.28991/CEJ-2022-08-10-09")</f>
        <v>http://dx.doi.org/10.28991/CEJ-2022-08-10-09</v>
      </c>
      <c r="BG291" s="3" t="s">
        <v>74</v>
      </c>
      <c r="BH291" s="3" t="s">
        <v>74</v>
      </c>
      <c r="BI291" s="3">
        <v>18</v>
      </c>
      <c r="BJ291" s="3" t="s">
        <v>6161</v>
      </c>
      <c r="BK291" s="3" t="s">
        <v>97</v>
      </c>
      <c r="BL291" s="3" t="s">
        <v>2601</v>
      </c>
      <c r="BM291" s="3" t="s">
        <v>6162</v>
      </c>
      <c r="BN291" s="3" t="s">
        <v>74</v>
      </c>
      <c r="BO291" s="3" t="s">
        <v>100</v>
      </c>
      <c r="BP291" s="3" t="s">
        <v>74</v>
      </c>
      <c r="BQ291" s="3" t="s">
        <v>74</v>
      </c>
      <c r="BR291" s="3" t="s">
        <v>101</v>
      </c>
      <c r="BS291" s="3" t="s">
        <v>6163</v>
      </c>
      <c r="BT291" s="3" t="str">
        <f>HYPERLINK("https%3A%2F%2Fwww.webofscience.com%2Fwos%2Fwoscc%2Ffull-record%2FWOS:000885936900009","View Full Record in Web of Science")</f>
        <v>View Full Record in Web of Science</v>
      </c>
      <c r="BU291" s="3"/>
      <c r="BV291" s="3"/>
      <c r="BW291" s="1"/>
    </row>
    <row r="292" spans="1:75" x14ac:dyDescent="0.25">
      <c r="A292" s="3" t="s">
        <v>72</v>
      </c>
      <c r="B292" s="3" t="s">
        <v>6164</v>
      </c>
      <c r="C292" s="3" t="s">
        <v>74</v>
      </c>
      <c r="D292" s="3" t="s">
        <v>74</v>
      </c>
      <c r="E292" s="3" t="s">
        <v>74</v>
      </c>
      <c r="F292" s="3" t="s">
        <v>6165</v>
      </c>
      <c r="G292" s="3" t="s">
        <v>74</v>
      </c>
      <c r="H292" s="3" t="s">
        <v>74</v>
      </c>
      <c r="I292" s="3" t="s">
        <v>6166</v>
      </c>
      <c r="J292" s="3" t="s">
        <v>2420</v>
      </c>
      <c r="K292" s="3" t="s">
        <v>74</v>
      </c>
      <c r="L292" s="3" t="s">
        <v>74</v>
      </c>
      <c r="M292" s="3" t="s">
        <v>110</v>
      </c>
      <c r="N292" s="3" t="s">
        <v>79</v>
      </c>
      <c r="O292" s="3" t="s">
        <v>74</v>
      </c>
      <c r="P292" s="3" t="s">
        <v>74</v>
      </c>
      <c r="Q292" s="3" t="s">
        <v>74</v>
      </c>
      <c r="R292" s="3" t="s">
        <v>74</v>
      </c>
      <c r="S292" s="3" t="s">
        <v>74</v>
      </c>
      <c r="T292" s="3" t="s">
        <v>6167</v>
      </c>
      <c r="U292" s="3" t="s">
        <v>6168</v>
      </c>
      <c r="V292" s="3" t="s">
        <v>6169</v>
      </c>
      <c r="W292" s="3" t="s">
        <v>6170</v>
      </c>
      <c r="X292" s="3" t="s">
        <v>6171</v>
      </c>
      <c r="Y292" s="3" t="s">
        <v>6172</v>
      </c>
      <c r="Z292" s="3" t="s">
        <v>6173</v>
      </c>
      <c r="AA292" s="3" t="s">
        <v>6174</v>
      </c>
      <c r="AB292" s="3" t="s">
        <v>6175</v>
      </c>
      <c r="AC292" s="3" t="s">
        <v>6176</v>
      </c>
      <c r="AD292" s="3" t="s">
        <v>6177</v>
      </c>
      <c r="AE292" s="3" t="s">
        <v>6178</v>
      </c>
      <c r="AF292" s="3" t="s">
        <v>74</v>
      </c>
      <c r="AG292" s="3">
        <v>125</v>
      </c>
      <c r="AH292" s="3">
        <v>10</v>
      </c>
      <c r="AI292" s="3">
        <v>11</v>
      </c>
      <c r="AJ292" s="3">
        <v>0</v>
      </c>
      <c r="AK292" s="3">
        <v>11</v>
      </c>
      <c r="AL292" s="3" t="s">
        <v>145</v>
      </c>
      <c r="AM292" s="3" t="s">
        <v>146</v>
      </c>
      <c r="AN292" s="3" t="s">
        <v>147</v>
      </c>
      <c r="AO292" s="3" t="s">
        <v>74</v>
      </c>
      <c r="AP292" s="3" t="s">
        <v>6179</v>
      </c>
      <c r="AQ292" s="3" t="s">
        <v>74</v>
      </c>
      <c r="AR292" s="3" t="s">
        <v>6180</v>
      </c>
      <c r="AS292" s="3" t="s">
        <v>6181</v>
      </c>
      <c r="AT292" s="3" t="s">
        <v>151</v>
      </c>
      <c r="AU292" s="3">
        <v>2022</v>
      </c>
      <c r="AV292" s="3">
        <v>4</v>
      </c>
      <c r="AW292" s="3">
        <v>4</v>
      </c>
      <c r="AX292" s="3" t="s">
        <v>74</v>
      </c>
      <c r="AY292" s="3" t="s">
        <v>74</v>
      </c>
      <c r="AZ292" s="3" t="s">
        <v>74</v>
      </c>
      <c r="BA292" s="3" t="s">
        <v>74</v>
      </c>
      <c r="BB292" s="3">
        <v>1223</v>
      </c>
      <c r="BC292" s="3">
        <v>1245</v>
      </c>
      <c r="BD292" s="3" t="s">
        <v>74</v>
      </c>
      <c r="BE292" s="3" t="s">
        <v>6182</v>
      </c>
      <c r="BF292" s="3" t="str">
        <f>HYPERLINK("http://dx.doi.org/10.3390/vehicles4040065","http://dx.doi.org/10.3390/vehicles4040065")</f>
        <v>http://dx.doi.org/10.3390/vehicles4040065</v>
      </c>
      <c r="BG292" s="3" t="s">
        <v>74</v>
      </c>
      <c r="BH292" s="3" t="s">
        <v>74</v>
      </c>
      <c r="BI292" s="3">
        <v>23</v>
      </c>
      <c r="BJ292" s="3" t="s">
        <v>6183</v>
      </c>
      <c r="BK292" s="3" t="s">
        <v>97</v>
      </c>
      <c r="BL292" s="3" t="s">
        <v>411</v>
      </c>
      <c r="BM292" s="3" t="s">
        <v>6184</v>
      </c>
      <c r="BN292" s="3" t="s">
        <v>74</v>
      </c>
      <c r="BO292" s="3" t="s">
        <v>133</v>
      </c>
      <c r="BP292" s="3" t="s">
        <v>74</v>
      </c>
      <c r="BQ292" s="3" t="s">
        <v>74</v>
      </c>
      <c r="BR292" s="3" t="s">
        <v>101</v>
      </c>
      <c r="BS292" s="3" t="s">
        <v>6185</v>
      </c>
      <c r="BT292" s="3" t="str">
        <f>HYPERLINK("https%3A%2F%2Fwww.webofscience.com%2Fwos%2Fwoscc%2Ffull-record%2FWOS:000904291200001","View Full Record in Web of Science")</f>
        <v>View Full Record in Web of Science</v>
      </c>
      <c r="BU292" s="3"/>
      <c r="BV292" s="3"/>
      <c r="BW292" s="1"/>
    </row>
    <row r="293" spans="1:75" x14ac:dyDescent="0.25">
      <c r="A293" s="3" t="s">
        <v>103</v>
      </c>
      <c r="B293" s="3" t="s">
        <v>6186</v>
      </c>
      <c r="C293" s="3" t="s">
        <v>74</v>
      </c>
      <c r="D293" s="3" t="s">
        <v>6187</v>
      </c>
      <c r="E293" s="3" t="s">
        <v>74</v>
      </c>
      <c r="F293" s="3" t="s">
        <v>6188</v>
      </c>
      <c r="G293" s="3" t="s">
        <v>74</v>
      </c>
      <c r="H293" s="3" t="s">
        <v>74</v>
      </c>
      <c r="I293" s="3" t="s">
        <v>6189</v>
      </c>
      <c r="J293" s="3" t="s">
        <v>6190</v>
      </c>
      <c r="K293" s="3" t="s">
        <v>3508</v>
      </c>
      <c r="L293" s="3" t="s">
        <v>74</v>
      </c>
      <c r="M293" s="3" t="s">
        <v>110</v>
      </c>
      <c r="N293" s="3" t="s">
        <v>111</v>
      </c>
      <c r="O293" s="3" t="s">
        <v>6191</v>
      </c>
      <c r="P293" s="3" t="s">
        <v>6192</v>
      </c>
      <c r="Q293" s="3" t="s">
        <v>6193</v>
      </c>
      <c r="R293" s="3" t="s">
        <v>74</v>
      </c>
      <c r="S293" s="3" t="s">
        <v>74</v>
      </c>
      <c r="T293" s="3" t="s">
        <v>6194</v>
      </c>
      <c r="U293" s="3" t="s">
        <v>6195</v>
      </c>
      <c r="V293" s="3" t="s">
        <v>6196</v>
      </c>
      <c r="W293" s="3" t="s">
        <v>6197</v>
      </c>
      <c r="X293" s="3" t="s">
        <v>6198</v>
      </c>
      <c r="Y293" s="3" t="s">
        <v>6199</v>
      </c>
      <c r="Z293" s="3" t="s">
        <v>4919</v>
      </c>
      <c r="AA293" s="3" t="s">
        <v>6200</v>
      </c>
      <c r="AB293" s="3" t="s">
        <v>74</v>
      </c>
      <c r="AC293" s="3" t="s">
        <v>4922</v>
      </c>
      <c r="AD293" s="3" t="s">
        <v>4923</v>
      </c>
      <c r="AE293" s="3" t="s">
        <v>6201</v>
      </c>
      <c r="AF293" s="3" t="s">
        <v>74</v>
      </c>
      <c r="AG293" s="3">
        <v>27</v>
      </c>
      <c r="AH293" s="3">
        <v>0</v>
      </c>
      <c r="AI293" s="3">
        <v>0</v>
      </c>
      <c r="AJ293" s="3">
        <v>0</v>
      </c>
      <c r="AK293" s="3">
        <v>0</v>
      </c>
      <c r="AL293" s="3" t="s">
        <v>374</v>
      </c>
      <c r="AM293" s="3" t="s">
        <v>375</v>
      </c>
      <c r="AN293" s="3" t="s">
        <v>376</v>
      </c>
      <c r="AO293" s="3" t="s">
        <v>3521</v>
      </c>
      <c r="AP293" s="3" t="s">
        <v>3522</v>
      </c>
      <c r="AQ293" s="3" t="s">
        <v>6202</v>
      </c>
      <c r="AR293" s="3" t="s">
        <v>3524</v>
      </c>
      <c r="AS293" s="3" t="s">
        <v>74</v>
      </c>
      <c r="AT293" s="3" t="s">
        <v>74</v>
      </c>
      <c r="AU293" s="3">
        <v>2025</v>
      </c>
      <c r="AV293" s="3">
        <v>1531</v>
      </c>
      <c r="AW293" s="3" t="s">
        <v>74</v>
      </c>
      <c r="AX293" s="3" t="s">
        <v>74</v>
      </c>
      <c r="AY293" s="3" t="s">
        <v>74</v>
      </c>
      <c r="AZ293" s="3" t="s">
        <v>74</v>
      </c>
      <c r="BA293" s="3" t="s">
        <v>74</v>
      </c>
      <c r="BB293" s="3">
        <v>604</v>
      </c>
      <c r="BC293" s="3">
        <v>612</v>
      </c>
      <c r="BD293" s="3" t="s">
        <v>74</v>
      </c>
      <c r="BE293" s="3" t="s">
        <v>6203</v>
      </c>
      <c r="BF293" s="3" t="str">
        <f>HYPERLINK("http://dx.doi.org/10.1007/978-3-031-98304-7_67","http://dx.doi.org/10.1007/978-3-031-98304-7_67")</f>
        <v>http://dx.doi.org/10.1007/978-3-031-98304-7_67</v>
      </c>
      <c r="BG293" s="3" t="s">
        <v>74</v>
      </c>
      <c r="BH293" s="3" t="s">
        <v>74</v>
      </c>
      <c r="BI293" s="3">
        <v>9</v>
      </c>
      <c r="BJ293" s="3" t="s">
        <v>6204</v>
      </c>
      <c r="BK293" s="3" t="s">
        <v>208</v>
      </c>
      <c r="BL293" s="3" t="s">
        <v>4928</v>
      </c>
      <c r="BM293" s="3" t="s">
        <v>6205</v>
      </c>
      <c r="BN293" s="3" t="s">
        <v>74</v>
      </c>
      <c r="BO293" s="3" t="s">
        <v>74</v>
      </c>
      <c r="BP293" s="3" t="s">
        <v>74</v>
      </c>
      <c r="BQ293" s="3" t="s">
        <v>74</v>
      </c>
      <c r="BR293" s="3" t="s">
        <v>101</v>
      </c>
      <c r="BS293" s="3" t="s">
        <v>6206</v>
      </c>
      <c r="BT293" s="3" t="str">
        <f>HYPERLINK("https%3A%2F%2Fwww.webofscience.com%2Fwos%2Fwoscc%2Ffull-record%2FWOS:001587127900067","View Full Record in Web of Science")</f>
        <v>View Full Record in Web of Science</v>
      </c>
      <c r="BU293" s="3"/>
      <c r="BV293" s="3"/>
      <c r="BW293" s="1"/>
    </row>
    <row r="294" spans="1:75" x14ac:dyDescent="0.25">
      <c r="A294" s="3" t="s">
        <v>72</v>
      </c>
      <c r="B294" s="3" t="s">
        <v>6207</v>
      </c>
      <c r="C294" s="3" t="s">
        <v>74</v>
      </c>
      <c r="D294" s="3" t="s">
        <v>74</v>
      </c>
      <c r="E294" s="3" t="s">
        <v>74</v>
      </c>
      <c r="F294" s="3" t="s">
        <v>6208</v>
      </c>
      <c r="G294" s="3" t="s">
        <v>74</v>
      </c>
      <c r="H294" s="3" t="s">
        <v>74</v>
      </c>
      <c r="I294" s="3" t="s">
        <v>6209</v>
      </c>
      <c r="J294" s="3" t="s">
        <v>138</v>
      </c>
      <c r="K294" s="3" t="s">
        <v>74</v>
      </c>
      <c r="L294" s="3" t="s">
        <v>74</v>
      </c>
      <c r="M294" s="3" t="s">
        <v>110</v>
      </c>
      <c r="N294" s="3" t="s">
        <v>79</v>
      </c>
      <c r="O294" s="3" t="s">
        <v>74</v>
      </c>
      <c r="P294" s="3" t="s">
        <v>74</v>
      </c>
      <c r="Q294" s="3" t="s">
        <v>74</v>
      </c>
      <c r="R294" s="3" t="s">
        <v>74</v>
      </c>
      <c r="S294" s="3" t="s">
        <v>74</v>
      </c>
      <c r="T294" s="3" t="s">
        <v>6210</v>
      </c>
      <c r="U294" s="3" t="s">
        <v>6211</v>
      </c>
      <c r="V294" s="3" t="s">
        <v>6212</v>
      </c>
      <c r="W294" s="3" t="s">
        <v>6213</v>
      </c>
      <c r="X294" s="3" t="s">
        <v>6214</v>
      </c>
      <c r="Y294" s="3" t="s">
        <v>6215</v>
      </c>
      <c r="Z294" s="3" t="s">
        <v>6216</v>
      </c>
      <c r="AA294" s="3" t="s">
        <v>6217</v>
      </c>
      <c r="AB294" s="3" t="s">
        <v>6218</v>
      </c>
      <c r="AC294" s="3" t="s">
        <v>6219</v>
      </c>
      <c r="AD294" s="3" t="s">
        <v>6220</v>
      </c>
      <c r="AE294" s="3" t="s">
        <v>6221</v>
      </c>
      <c r="AF294" s="3" t="s">
        <v>74</v>
      </c>
      <c r="AG294" s="3">
        <v>54</v>
      </c>
      <c r="AH294" s="3">
        <v>53</v>
      </c>
      <c r="AI294" s="3">
        <v>62</v>
      </c>
      <c r="AJ294" s="3">
        <v>2</v>
      </c>
      <c r="AK294" s="3">
        <v>78</v>
      </c>
      <c r="AL294" s="3" t="s">
        <v>145</v>
      </c>
      <c r="AM294" s="3" t="s">
        <v>146</v>
      </c>
      <c r="AN294" s="3" t="s">
        <v>147</v>
      </c>
      <c r="AO294" s="3" t="s">
        <v>74</v>
      </c>
      <c r="AP294" s="3" t="s">
        <v>148</v>
      </c>
      <c r="AQ294" s="3" t="s">
        <v>74</v>
      </c>
      <c r="AR294" s="3" t="s">
        <v>149</v>
      </c>
      <c r="AS294" s="3" t="s">
        <v>150</v>
      </c>
      <c r="AT294" s="3" t="s">
        <v>151</v>
      </c>
      <c r="AU294" s="3">
        <v>2020</v>
      </c>
      <c r="AV294" s="3">
        <v>12</v>
      </c>
      <c r="AW294" s="3">
        <v>24</v>
      </c>
      <c r="AX294" s="3" t="s">
        <v>74</v>
      </c>
      <c r="AY294" s="3" t="s">
        <v>74</v>
      </c>
      <c r="AZ294" s="3" t="s">
        <v>74</v>
      </c>
      <c r="BA294" s="3" t="s">
        <v>74</v>
      </c>
      <c r="BB294" s="3" t="s">
        <v>74</v>
      </c>
      <c r="BC294" s="3" t="s">
        <v>74</v>
      </c>
      <c r="BD294" s="3">
        <v>10623</v>
      </c>
      <c r="BE294" s="3" t="s">
        <v>6222</v>
      </c>
      <c r="BF294" s="3" t="str">
        <f>HYPERLINK("http://dx.doi.org/10.3390/su122410623","http://dx.doi.org/10.3390/su122410623")</f>
        <v>http://dx.doi.org/10.3390/su122410623</v>
      </c>
      <c r="BG294" s="3" t="s">
        <v>74</v>
      </c>
      <c r="BH294" s="3" t="s">
        <v>74</v>
      </c>
      <c r="BI294" s="3">
        <v>15</v>
      </c>
      <c r="BJ294" s="3" t="s">
        <v>153</v>
      </c>
      <c r="BK294" s="3" t="s">
        <v>154</v>
      </c>
      <c r="BL294" s="3" t="s">
        <v>155</v>
      </c>
      <c r="BM294" s="3" t="s">
        <v>6223</v>
      </c>
      <c r="BN294" s="3" t="s">
        <v>74</v>
      </c>
      <c r="BO294" s="3" t="s">
        <v>133</v>
      </c>
      <c r="BP294" s="3" t="s">
        <v>74</v>
      </c>
      <c r="BQ294" s="3" t="s">
        <v>74</v>
      </c>
      <c r="BR294" s="3" t="s">
        <v>101</v>
      </c>
      <c r="BS294" s="3" t="s">
        <v>6224</v>
      </c>
      <c r="BT294" s="3" t="str">
        <f>HYPERLINK("https%3A%2F%2Fwww.webofscience.com%2Fwos%2Fwoscc%2Ffull-record%2FWOS:000603201700001","View Full Record in Web of Science")</f>
        <v>View Full Record in Web of Science</v>
      </c>
      <c r="BU294" s="3"/>
      <c r="BV294" s="3"/>
      <c r="BW294" s="1"/>
    </row>
    <row r="295" spans="1:75" x14ac:dyDescent="0.25">
      <c r="A295" s="3" t="s">
        <v>72</v>
      </c>
      <c r="B295" s="3" t="s">
        <v>6225</v>
      </c>
      <c r="C295" s="3" t="s">
        <v>74</v>
      </c>
      <c r="D295" s="3" t="s">
        <v>74</v>
      </c>
      <c r="E295" s="3" t="s">
        <v>74</v>
      </c>
      <c r="F295" s="3" t="s">
        <v>6226</v>
      </c>
      <c r="G295" s="3" t="s">
        <v>74</v>
      </c>
      <c r="H295" s="3" t="s">
        <v>74</v>
      </c>
      <c r="I295" s="3" t="s">
        <v>6227</v>
      </c>
      <c r="J295" s="3" t="s">
        <v>6228</v>
      </c>
      <c r="K295" s="3" t="s">
        <v>74</v>
      </c>
      <c r="L295" s="3" t="s">
        <v>74</v>
      </c>
      <c r="M295" s="3" t="s">
        <v>110</v>
      </c>
      <c r="N295" s="3" t="s">
        <v>79</v>
      </c>
      <c r="O295" s="3" t="s">
        <v>74</v>
      </c>
      <c r="P295" s="3" t="s">
        <v>74</v>
      </c>
      <c r="Q295" s="3" t="s">
        <v>74</v>
      </c>
      <c r="R295" s="3" t="s">
        <v>74</v>
      </c>
      <c r="S295" s="3" t="s">
        <v>74</v>
      </c>
      <c r="T295" s="3" t="s">
        <v>6229</v>
      </c>
      <c r="U295" s="3" t="s">
        <v>6230</v>
      </c>
      <c r="V295" s="3" t="s">
        <v>6231</v>
      </c>
      <c r="W295" s="3" t="s">
        <v>6232</v>
      </c>
      <c r="X295" s="3" t="s">
        <v>6233</v>
      </c>
      <c r="Y295" s="3" t="s">
        <v>6234</v>
      </c>
      <c r="Z295" s="3" t="s">
        <v>6235</v>
      </c>
      <c r="AA295" s="3" t="s">
        <v>6236</v>
      </c>
      <c r="AB295" s="3" t="s">
        <v>6237</v>
      </c>
      <c r="AC295" s="3" t="s">
        <v>6238</v>
      </c>
      <c r="AD295" s="3" t="s">
        <v>6239</v>
      </c>
      <c r="AE295" s="3" t="s">
        <v>6240</v>
      </c>
      <c r="AF295" s="3" t="s">
        <v>74</v>
      </c>
      <c r="AG295" s="3">
        <v>29</v>
      </c>
      <c r="AH295" s="3">
        <v>14</v>
      </c>
      <c r="AI295" s="3">
        <v>15</v>
      </c>
      <c r="AJ295" s="3">
        <v>5</v>
      </c>
      <c r="AK295" s="3">
        <v>101</v>
      </c>
      <c r="AL295" s="3" t="s">
        <v>671</v>
      </c>
      <c r="AM295" s="3" t="s">
        <v>124</v>
      </c>
      <c r="AN295" s="3" t="s">
        <v>672</v>
      </c>
      <c r="AO295" s="3" t="s">
        <v>6241</v>
      </c>
      <c r="AP295" s="3" t="s">
        <v>6242</v>
      </c>
      <c r="AQ295" s="3" t="s">
        <v>74</v>
      </c>
      <c r="AR295" s="3" t="s">
        <v>6243</v>
      </c>
      <c r="AS295" s="3" t="s">
        <v>6244</v>
      </c>
      <c r="AT295" s="3" t="s">
        <v>533</v>
      </c>
      <c r="AU295" s="3">
        <v>2021</v>
      </c>
      <c r="AV295" s="3">
        <v>583</v>
      </c>
      <c r="AW295" s="3" t="s">
        <v>74</v>
      </c>
      <c r="AX295" s="3" t="s">
        <v>74</v>
      </c>
      <c r="AY295" s="3" t="s">
        <v>74</v>
      </c>
      <c r="AZ295" s="3" t="s">
        <v>74</v>
      </c>
      <c r="BA295" s="3" t="s">
        <v>74</v>
      </c>
      <c r="BB295" s="3" t="s">
        <v>74</v>
      </c>
      <c r="BC295" s="3" t="s">
        <v>74</v>
      </c>
      <c r="BD295" s="3">
        <v>126333</v>
      </c>
      <c r="BE295" s="3" t="s">
        <v>6245</v>
      </c>
      <c r="BF295" s="3" t="str">
        <f>HYPERLINK("http://dx.doi.org/10.1016/j.physa.2021.126333","http://dx.doi.org/10.1016/j.physa.2021.126333")</f>
        <v>http://dx.doi.org/10.1016/j.physa.2021.126333</v>
      </c>
      <c r="BG295" s="3" t="s">
        <v>74</v>
      </c>
      <c r="BH295" s="3" t="s">
        <v>1517</v>
      </c>
      <c r="BI295" s="3">
        <v>10</v>
      </c>
      <c r="BJ295" s="3" t="s">
        <v>6246</v>
      </c>
      <c r="BK295" s="3" t="s">
        <v>154</v>
      </c>
      <c r="BL295" s="3" t="s">
        <v>6247</v>
      </c>
      <c r="BM295" s="3" t="s">
        <v>6248</v>
      </c>
      <c r="BN295" s="3" t="s">
        <v>74</v>
      </c>
      <c r="BO295" s="3" t="s">
        <v>74</v>
      </c>
      <c r="BP295" s="3" t="s">
        <v>74</v>
      </c>
      <c r="BQ295" s="3" t="s">
        <v>74</v>
      </c>
      <c r="BR295" s="3" t="s">
        <v>101</v>
      </c>
      <c r="BS295" s="3" t="s">
        <v>6249</v>
      </c>
      <c r="BT295" s="3" t="str">
        <f>HYPERLINK("https%3A%2F%2Fwww.webofscience.com%2Fwos%2Fwoscc%2Ffull-record%2FWOS:000701326800039","View Full Record in Web of Science")</f>
        <v>View Full Record in Web of Science</v>
      </c>
      <c r="BU295" s="3"/>
      <c r="BV295" s="3"/>
      <c r="BW295" s="1"/>
    </row>
    <row r="296" spans="1:75" x14ac:dyDescent="0.25">
      <c r="A296" s="3" t="s">
        <v>72</v>
      </c>
      <c r="B296" s="3" t="s">
        <v>6250</v>
      </c>
      <c r="C296" s="3" t="s">
        <v>74</v>
      </c>
      <c r="D296" s="3" t="s">
        <v>74</v>
      </c>
      <c r="E296" s="3" t="s">
        <v>74</v>
      </c>
      <c r="F296" s="3" t="s">
        <v>6251</v>
      </c>
      <c r="G296" s="3" t="s">
        <v>74</v>
      </c>
      <c r="H296" s="3" t="s">
        <v>74</v>
      </c>
      <c r="I296" s="3" t="s">
        <v>6252</v>
      </c>
      <c r="J296" s="3" t="s">
        <v>661</v>
      </c>
      <c r="K296" s="3" t="s">
        <v>74</v>
      </c>
      <c r="L296" s="3" t="s">
        <v>74</v>
      </c>
      <c r="M296" s="3" t="s">
        <v>110</v>
      </c>
      <c r="N296" s="3" t="s">
        <v>79</v>
      </c>
      <c r="O296" s="3" t="s">
        <v>74</v>
      </c>
      <c r="P296" s="3" t="s">
        <v>74</v>
      </c>
      <c r="Q296" s="3" t="s">
        <v>74</v>
      </c>
      <c r="R296" s="3" t="s">
        <v>74</v>
      </c>
      <c r="S296" s="3" t="s">
        <v>74</v>
      </c>
      <c r="T296" s="3" t="s">
        <v>6253</v>
      </c>
      <c r="U296" s="3" t="s">
        <v>6254</v>
      </c>
      <c r="V296" s="3" t="s">
        <v>6255</v>
      </c>
      <c r="W296" s="3" t="s">
        <v>6256</v>
      </c>
      <c r="X296" s="3" t="s">
        <v>3357</v>
      </c>
      <c r="Y296" s="3" t="s">
        <v>6257</v>
      </c>
      <c r="Z296" s="3" t="s">
        <v>6258</v>
      </c>
      <c r="AA296" s="3" t="s">
        <v>6259</v>
      </c>
      <c r="AB296" s="3" t="s">
        <v>6260</v>
      </c>
      <c r="AC296" s="3" t="s">
        <v>74</v>
      </c>
      <c r="AD296" s="3" t="s">
        <v>74</v>
      </c>
      <c r="AE296" s="3" t="s">
        <v>74</v>
      </c>
      <c r="AF296" s="3" t="s">
        <v>74</v>
      </c>
      <c r="AG296" s="3">
        <v>116</v>
      </c>
      <c r="AH296" s="3">
        <v>19</v>
      </c>
      <c r="AI296" s="3">
        <v>22</v>
      </c>
      <c r="AJ296" s="3">
        <v>1</v>
      </c>
      <c r="AK296" s="3">
        <v>38</v>
      </c>
      <c r="AL296" s="3" t="s">
        <v>671</v>
      </c>
      <c r="AM296" s="3" t="s">
        <v>124</v>
      </c>
      <c r="AN296" s="3" t="s">
        <v>672</v>
      </c>
      <c r="AO296" s="3" t="s">
        <v>673</v>
      </c>
      <c r="AP296" s="3" t="s">
        <v>674</v>
      </c>
      <c r="AQ296" s="3" t="s">
        <v>74</v>
      </c>
      <c r="AR296" s="3" t="s">
        <v>675</v>
      </c>
      <c r="AS296" s="3" t="s">
        <v>676</v>
      </c>
      <c r="AT296" s="3" t="s">
        <v>1450</v>
      </c>
      <c r="AU296" s="3">
        <v>2021</v>
      </c>
      <c r="AV296" s="3">
        <v>70</v>
      </c>
      <c r="AW296" s="3" t="s">
        <v>74</v>
      </c>
      <c r="AX296" s="3" t="s">
        <v>74</v>
      </c>
      <c r="AY296" s="3" t="s">
        <v>74</v>
      </c>
      <c r="AZ296" s="3" t="s">
        <v>74</v>
      </c>
      <c r="BA296" s="3" t="s">
        <v>74</v>
      </c>
      <c r="BB296" s="3" t="s">
        <v>74</v>
      </c>
      <c r="BC296" s="3" t="s">
        <v>74</v>
      </c>
      <c r="BD296" s="3">
        <v>102902</v>
      </c>
      <c r="BE296" s="3" t="s">
        <v>6261</v>
      </c>
      <c r="BF296" s="3" t="str">
        <f>HYPERLINK("http://dx.doi.org/10.1016/j.scs.2021.102902","http://dx.doi.org/10.1016/j.scs.2021.102902")</f>
        <v>http://dx.doi.org/10.1016/j.scs.2021.102902</v>
      </c>
      <c r="BG296" s="3" t="s">
        <v>74</v>
      </c>
      <c r="BH296" s="3" t="s">
        <v>4248</v>
      </c>
      <c r="BI296" s="3">
        <v>16</v>
      </c>
      <c r="BJ296" s="3" t="s">
        <v>680</v>
      </c>
      <c r="BK296" s="3" t="s">
        <v>179</v>
      </c>
      <c r="BL296" s="3" t="s">
        <v>681</v>
      </c>
      <c r="BM296" s="3" t="s">
        <v>6262</v>
      </c>
      <c r="BN296" s="3" t="s">
        <v>74</v>
      </c>
      <c r="BO296" s="3" t="s">
        <v>74</v>
      </c>
      <c r="BP296" s="3" t="s">
        <v>74</v>
      </c>
      <c r="BQ296" s="3" t="s">
        <v>74</v>
      </c>
      <c r="BR296" s="3" t="s">
        <v>101</v>
      </c>
      <c r="BS296" s="3" t="s">
        <v>6263</v>
      </c>
      <c r="BT296" s="3" t="str">
        <f>HYPERLINK("https%3A%2F%2Fwww.webofscience.com%2Fwos%2Fwoscc%2Ffull-record%2FWOS:000657686800001","View Full Record in Web of Science")</f>
        <v>View Full Record in Web of Science</v>
      </c>
      <c r="BU296" s="3"/>
      <c r="BV296" s="3"/>
      <c r="BW296" s="1"/>
    </row>
    <row r="297" spans="1:75" x14ac:dyDescent="0.25">
      <c r="A297" s="3" t="s">
        <v>103</v>
      </c>
      <c r="B297" s="3" t="s">
        <v>6264</v>
      </c>
      <c r="C297" s="3" t="s">
        <v>74</v>
      </c>
      <c r="D297" s="3" t="s">
        <v>812</v>
      </c>
      <c r="E297" s="3" t="s">
        <v>74</v>
      </c>
      <c r="F297" s="3" t="s">
        <v>6265</v>
      </c>
      <c r="G297" s="3" t="s">
        <v>74</v>
      </c>
      <c r="H297" s="3" t="s">
        <v>74</v>
      </c>
      <c r="I297" s="3" t="s">
        <v>6266</v>
      </c>
      <c r="J297" s="3" t="s">
        <v>6267</v>
      </c>
      <c r="K297" s="3" t="s">
        <v>187</v>
      </c>
      <c r="L297" s="3" t="s">
        <v>74</v>
      </c>
      <c r="M297" s="3" t="s">
        <v>110</v>
      </c>
      <c r="N297" s="3" t="s">
        <v>111</v>
      </c>
      <c r="O297" s="3" t="s">
        <v>6268</v>
      </c>
      <c r="P297" s="3" t="s">
        <v>6269</v>
      </c>
      <c r="Q297" s="3" t="s">
        <v>642</v>
      </c>
      <c r="R297" s="3" t="s">
        <v>74</v>
      </c>
      <c r="S297" s="3" t="s">
        <v>74</v>
      </c>
      <c r="T297" s="3" t="s">
        <v>6270</v>
      </c>
      <c r="U297" s="3" t="s">
        <v>5085</v>
      </c>
      <c r="V297" s="3" t="s">
        <v>6271</v>
      </c>
      <c r="W297" s="3" t="s">
        <v>6272</v>
      </c>
      <c r="X297" s="3" t="s">
        <v>6273</v>
      </c>
      <c r="Y297" s="3" t="s">
        <v>6274</v>
      </c>
      <c r="Z297" s="3" t="s">
        <v>6275</v>
      </c>
      <c r="AA297" s="3" t="s">
        <v>6276</v>
      </c>
      <c r="AB297" s="3" t="s">
        <v>74</v>
      </c>
      <c r="AC297" s="3" t="s">
        <v>74</v>
      </c>
      <c r="AD297" s="3" t="s">
        <v>74</v>
      </c>
      <c r="AE297" s="3" t="s">
        <v>74</v>
      </c>
      <c r="AF297" s="3" t="s">
        <v>74</v>
      </c>
      <c r="AG297" s="3">
        <v>32</v>
      </c>
      <c r="AH297" s="3">
        <v>2</v>
      </c>
      <c r="AI297" s="3">
        <v>2</v>
      </c>
      <c r="AJ297" s="3">
        <v>2</v>
      </c>
      <c r="AK297" s="3">
        <v>14</v>
      </c>
      <c r="AL297" s="3" t="s">
        <v>199</v>
      </c>
      <c r="AM297" s="3" t="s">
        <v>200</v>
      </c>
      <c r="AN297" s="3" t="s">
        <v>201</v>
      </c>
      <c r="AO297" s="3" t="s">
        <v>202</v>
      </c>
      <c r="AP297" s="3" t="s">
        <v>203</v>
      </c>
      <c r="AQ297" s="3" t="s">
        <v>6277</v>
      </c>
      <c r="AR297" s="3" t="s">
        <v>205</v>
      </c>
      <c r="AS297" s="3" t="s">
        <v>74</v>
      </c>
      <c r="AT297" s="3" t="s">
        <v>74</v>
      </c>
      <c r="AU297" s="3">
        <v>2020</v>
      </c>
      <c r="AV297" s="3" t="s">
        <v>74</v>
      </c>
      <c r="AW297" s="3" t="s">
        <v>74</v>
      </c>
      <c r="AX297" s="3" t="s">
        <v>74</v>
      </c>
      <c r="AY297" s="3" t="s">
        <v>74</v>
      </c>
      <c r="AZ297" s="3" t="s">
        <v>74</v>
      </c>
      <c r="BA297" s="3" t="s">
        <v>74</v>
      </c>
      <c r="BB297" s="3" t="s">
        <v>74</v>
      </c>
      <c r="BC297" s="3" t="s">
        <v>74</v>
      </c>
      <c r="BD297" s="3" t="s">
        <v>74</v>
      </c>
      <c r="BE297" s="3" t="s">
        <v>6278</v>
      </c>
      <c r="BF297" s="3" t="str">
        <f>HYPERLINK("http://dx.doi.org/10.1109/LOGISTIQUA49782.2020.9353917","http://dx.doi.org/10.1109/LOGISTIQUA49782.2020.9353917")</f>
        <v>http://dx.doi.org/10.1109/LOGISTIQUA49782.2020.9353917</v>
      </c>
      <c r="BG297" s="3" t="s">
        <v>74</v>
      </c>
      <c r="BH297" s="3" t="s">
        <v>74</v>
      </c>
      <c r="BI297" s="3">
        <v>6</v>
      </c>
      <c r="BJ297" s="3" t="s">
        <v>207</v>
      </c>
      <c r="BK297" s="3" t="s">
        <v>208</v>
      </c>
      <c r="BL297" s="3" t="s">
        <v>209</v>
      </c>
      <c r="BM297" s="3" t="s">
        <v>6279</v>
      </c>
      <c r="BN297" s="3" t="s">
        <v>74</v>
      </c>
      <c r="BO297" s="3" t="s">
        <v>74</v>
      </c>
      <c r="BP297" s="3" t="s">
        <v>74</v>
      </c>
      <c r="BQ297" s="3" t="s">
        <v>74</v>
      </c>
      <c r="BR297" s="3" t="s">
        <v>101</v>
      </c>
      <c r="BS297" s="3" t="s">
        <v>6280</v>
      </c>
      <c r="BT297" s="3" t="str">
        <f>HYPERLINK("https%3A%2F%2Fwww.webofscience.com%2Fwos%2Fwoscc%2Ffull-record%2FWOS:000899774200021","View Full Record in Web of Science")</f>
        <v>View Full Record in Web of Science</v>
      </c>
      <c r="BU297" s="3"/>
      <c r="BV297" s="3"/>
      <c r="BW297" s="1"/>
    </row>
    <row r="298" spans="1:75" x14ac:dyDescent="0.25">
      <c r="A298" s="3" t="s">
        <v>103</v>
      </c>
      <c r="B298" s="3" t="s">
        <v>6281</v>
      </c>
      <c r="C298" s="3" t="s">
        <v>74</v>
      </c>
      <c r="D298" s="3" t="s">
        <v>812</v>
      </c>
      <c r="E298" s="3" t="s">
        <v>74</v>
      </c>
      <c r="F298" s="3" t="s">
        <v>6282</v>
      </c>
      <c r="G298" s="3" t="s">
        <v>74</v>
      </c>
      <c r="H298" s="3" t="s">
        <v>74</v>
      </c>
      <c r="I298" s="3" t="s">
        <v>6283</v>
      </c>
      <c r="J298" s="3" t="s">
        <v>6267</v>
      </c>
      <c r="K298" s="3" t="s">
        <v>187</v>
      </c>
      <c r="L298" s="3" t="s">
        <v>74</v>
      </c>
      <c r="M298" s="3" t="s">
        <v>6284</v>
      </c>
      <c r="N298" s="3" t="s">
        <v>111</v>
      </c>
      <c r="O298" s="3" t="s">
        <v>6268</v>
      </c>
      <c r="P298" s="3" t="s">
        <v>6269</v>
      </c>
      <c r="Q298" s="3" t="s">
        <v>642</v>
      </c>
      <c r="R298" s="3" t="s">
        <v>74</v>
      </c>
      <c r="S298" s="3" t="s">
        <v>74</v>
      </c>
      <c r="T298" s="3" t="s">
        <v>6285</v>
      </c>
      <c r="U298" s="3" t="s">
        <v>6286</v>
      </c>
      <c r="V298" s="3" t="s">
        <v>6287</v>
      </c>
      <c r="W298" s="3" t="s">
        <v>6288</v>
      </c>
      <c r="X298" s="3" t="s">
        <v>3374</v>
      </c>
      <c r="Y298" s="3" t="s">
        <v>6289</v>
      </c>
      <c r="Z298" s="3" t="s">
        <v>74</v>
      </c>
      <c r="AA298" s="3" t="s">
        <v>74</v>
      </c>
      <c r="AB298" s="3" t="s">
        <v>74</v>
      </c>
      <c r="AC298" s="3" t="s">
        <v>74</v>
      </c>
      <c r="AD298" s="3" t="s">
        <v>74</v>
      </c>
      <c r="AE298" s="3" t="s">
        <v>74</v>
      </c>
      <c r="AF298" s="3" t="s">
        <v>74</v>
      </c>
      <c r="AG298" s="3">
        <v>24</v>
      </c>
      <c r="AH298" s="3">
        <v>0</v>
      </c>
      <c r="AI298" s="3">
        <v>0</v>
      </c>
      <c r="AJ298" s="3">
        <v>0</v>
      </c>
      <c r="AK298" s="3">
        <v>20</v>
      </c>
      <c r="AL298" s="3" t="s">
        <v>199</v>
      </c>
      <c r="AM298" s="3" t="s">
        <v>200</v>
      </c>
      <c r="AN298" s="3" t="s">
        <v>201</v>
      </c>
      <c r="AO298" s="3" t="s">
        <v>202</v>
      </c>
      <c r="AP298" s="3" t="s">
        <v>203</v>
      </c>
      <c r="AQ298" s="3" t="s">
        <v>6277</v>
      </c>
      <c r="AR298" s="3" t="s">
        <v>205</v>
      </c>
      <c r="AS298" s="3" t="s">
        <v>74</v>
      </c>
      <c r="AT298" s="3" t="s">
        <v>74</v>
      </c>
      <c r="AU298" s="3">
        <v>2020</v>
      </c>
      <c r="AV298" s="3" t="s">
        <v>74</v>
      </c>
      <c r="AW298" s="3" t="s">
        <v>74</v>
      </c>
      <c r="AX298" s="3" t="s">
        <v>74</v>
      </c>
      <c r="AY298" s="3" t="s">
        <v>74</v>
      </c>
      <c r="AZ298" s="3" t="s">
        <v>74</v>
      </c>
      <c r="BA298" s="3" t="s">
        <v>74</v>
      </c>
      <c r="BB298" s="3" t="s">
        <v>74</v>
      </c>
      <c r="BC298" s="3" t="s">
        <v>74</v>
      </c>
      <c r="BD298" s="3" t="s">
        <v>74</v>
      </c>
      <c r="BE298" s="3" t="s">
        <v>6290</v>
      </c>
      <c r="BF298" s="3" t="str">
        <f>HYPERLINK("http://dx.doi.org/10.1109/LOGISTIQUA49782.2020.9353922","http://dx.doi.org/10.1109/LOGISTIQUA49782.2020.9353922")</f>
        <v>http://dx.doi.org/10.1109/LOGISTIQUA49782.2020.9353922</v>
      </c>
      <c r="BG298" s="3" t="s">
        <v>74</v>
      </c>
      <c r="BH298" s="3" t="s">
        <v>74</v>
      </c>
      <c r="BI298" s="3">
        <v>6</v>
      </c>
      <c r="BJ298" s="3" t="s">
        <v>207</v>
      </c>
      <c r="BK298" s="3" t="s">
        <v>208</v>
      </c>
      <c r="BL298" s="3" t="s">
        <v>209</v>
      </c>
      <c r="BM298" s="3" t="s">
        <v>6279</v>
      </c>
      <c r="BN298" s="3" t="s">
        <v>74</v>
      </c>
      <c r="BO298" s="3" t="s">
        <v>74</v>
      </c>
      <c r="BP298" s="3" t="s">
        <v>74</v>
      </c>
      <c r="BQ298" s="3" t="s">
        <v>74</v>
      </c>
      <c r="BR298" s="3" t="s">
        <v>101</v>
      </c>
      <c r="BS298" s="3" t="s">
        <v>6291</v>
      </c>
      <c r="BT298" s="3" t="str">
        <f>HYPERLINK("https%3A%2F%2Fwww.webofscience.com%2Fwos%2Fwoscc%2Ffull-record%2FWOS:000899774200001","View Full Record in Web of Science")</f>
        <v>View Full Record in Web of Science</v>
      </c>
      <c r="BU298" s="3"/>
      <c r="BV298" s="3"/>
      <c r="BW298" s="1"/>
    </row>
    <row r="299" spans="1:75" x14ac:dyDescent="0.25">
      <c r="A299" s="3" t="s">
        <v>72</v>
      </c>
      <c r="B299" s="3" t="s">
        <v>4407</v>
      </c>
      <c r="C299" s="3" t="s">
        <v>74</v>
      </c>
      <c r="D299" s="3" t="s">
        <v>74</v>
      </c>
      <c r="E299" s="3" t="s">
        <v>74</v>
      </c>
      <c r="F299" s="3" t="s">
        <v>4409</v>
      </c>
      <c r="G299" s="3" t="s">
        <v>74</v>
      </c>
      <c r="H299" s="3" t="s">
        <v>74</v>
      </c>
      <c r="I299" s="3" t="s">
        <v>6292</v>
      </c>
      <c r="J299" s="3" t="s">
        <v>2718</v>
      </c>
      <c r="K299" s="3" t="s">
        <v>74</v>
      </c>
      <c r="L299" s="3" t="s">
        <v>74</v>
      </c>
      <c r="M299" s="3" t="s">
        <v>110</v>
      </c>
      <c r="N299" s="3" t="s">
        <v>79</v>
      </c>
      <c r="O299" s="3" t="s">
        <v>74</v>
      </c>
      <c r="P299" s="3" t="s">
        <v>74</v>
      </c>
      <c r="Q299" s="3" t="s">
        <v>74</v>
      </c>
      <c r="R299" s="3" t="s">
        <v>74</v>
      </c>
      <c r="S299" s="3" t="s">
        <v>74</v>
      </c>
      <c r="T299" s="3" t="s">
        <v>6293</v>
      </c>
      <c r="U299" s="3" t="s">
        <v>6294</v>
      </c>
      <c r="V299" s="3" t="s">
        <v>6295</v>
      </c>
      <c r="W299" s="3" t="s">
        <v>6296</v>
      </c>
      <c r="X299" s="3" t="s">
        <v>6297</v>
      </c>
      <c r="Y299" s="3" t="s">
        <v>6298</v>
      </c>
      <c r="Z299" s="3" t="s">
        <v>6299</v>
      </c>
      <c r="AA299" s="3" t="s">
        <v>4422</v>
      </c>
      <c r="AB299" s="3" t="s">
        <v>4423</v>
      </c>
      <c r="AC299" s="3" t="s">
        <v>6300</v>
      </c>
      <c r="AD299" s="3" t="s">
        <v>6301</v>
      </c>
      <c r="AE299" s="3" t="s">
        <v>6302</v>
      </c>
      <c r="AF299" s="3" t="s">
        <v>74</v>
      </c>
      <c r="AG299" s="3">
        <v>52</v>
      </c>
      <c r="AH299" s="3">
        <v>138</v>
      </c>
      <c r="AI299" s="3">
        <v>164</v>
      </c>
      <c r="AJ299" s="3">
        <v>3</v>
      </c>
      <c r="AK299" s="3">
        <v>198</v>
      </c>
      <c r="AL299" s="3" t="s">
        <v>304</v>
      </c>
      <c r="AM299" s="3" t="s">
        <v>305</v>
      </c>
      <c r="AN299" s="3" t="s">
        <v>306</v>
      </c>
      <c r="AO299" s="3" t="s">
        <v>2728</v>
      </c>
      <c r="AP299" s="3" t="s">
        <v>74</v>
      </c>
      <c r="AQ299" s="3" t="s">
        <v>74</v>
      </c>
      <c r="AR299" s="3" t="s">
        <v>2730</v>
      </c>
      <c r="AS299" s="3" t="s">
        <v>2731</v>
      </c>
      <c r="AT299" s="3" t="s">
        <v>807</v>
      </c>
      <c r="AU299" s="3">
        <v>2019</v>
      </c>
      <c r="AV299" s="3">
        <v>99</v>
      </c>
      <c r="AW299" s="3" t="s">
        <v>74</v>
      </c>
      <c r="AX299" s="3" t="s">
        <v>74</v>
      </c>
      <c r="AY299" s="3" t="s">
        <v>74</v>
      </c>
      <c r="AZ299" s="3" t="s">
        <v>74</v>
      </c>
      <c r="BA299" s="3" t="s">
        <v>74</v>
      </c>
      <c r="BB299" s="3">
        <v>19</v>
      </c>
      <c r="BC299" s="3">
        <v>36</v>
      </c>
      <c r="BD299" s="3" t="s">
        <v>74</v>
      </c>
      <c r="BE299" s="3" t="s">
        <v>6303</v>
      </c>
      <c r="BF299" s="3" t="str">
        <f>HYPERLINK("http://dx.doi.org/10.1016/j.trc.2019.01.006","http://dx.doi.org/10.1016/j.trc.2019.01.006")</f>
        <v>http://dx.doi.org/10.1016/j.trc.2019.01.006</v>
      </c>
      <c r="BG299" s="3" t="s">
        <v>74</v>
      </c>
      <c r="BH299" s="3" t="s">
        <v>74</v>
      </c>
      <c r="BI299" s="3">
        <v>18</v>
      </c>
      <c r="BJ299" s="3" t="s">
        <v>2355</v>
      </c>
      <c r="BK299" s="3" t="s">
        <v>154</v>
      </c>
      <c r="BL299" s="3" t="s">
        <v>131</v>
      </c>
      <c r="BM299" s="3" t="s">
        <v>6304</v>
      </c>
      <c r="BN299" s="3" t="s">
        <v>74</v>
      </c>
      <c r="BO299" s="3" t="s">
        <v>74</v>
      </c>
      <c r="BP299" s="3" t="s">
        <v>74</v>
      </c>
      <c r="BQ299" s="3" t="s">
        <v>74</v>
      </c>
      <c r="BR299" s="3" t="s">
        <v>101</v>
      </c>
      <c r="BS299" s="3" t="s">
        <v>6305</v>
      </c>
      <c r="BT299" s="3" t="str">
        <f>HYPERLINK("https%3A%2F%2Fwww.webofscience.com%2Fwos%2Fwoscc%2Ffull-record%2FWOS:000459367900002","View Full Record in Web of Science")</f>
        <v>View Full Record in Web of Science</v>
      </c>
      <c r="BU299" s="3"/>
      <c r="BV299" s="3"/>
      <c r="BW299" s="1"/>
    </row>
    <row r="300" spans="1:75" x14ac:dyDescent="0.25">
      <c r="A300" s="3" t="s">
        <v>72</v>
      </c>
      <c r="B300" s="3" t="s">
        <v>6306</v>
      </c>
      <c r="C300" s="3" t="s">
        <v>74</v>
      </c>
      <c r="D300" s="3" t="s">
        <v>74</v>
      </c>
      <c r="E300" s="3" t="s">
        <v>74</v>
      </c>
      <c r="F300" s="3" t="s">
        <v>6307</v>
      </c>
      <c r="G300" s="3" t="s">
        <v>74</v>
      </c>
      <c r="H300" s="3" t="s">
        <v>74</v>
      </c>
      <c r="I300" s="3" t="s">
        <v>6308</v>
      </c>
      <c r="J300" s="3" t="s">
        <v>835</v>
      </c>
      <c r="K300" s="3" t="s">
        <v>74</v>
      </c>
      <c r="L300" s="3" t="s">
        <v>74</v>
      </c>
      <c r="M300" s="3" t="s">
        <v>110</v>
      </c>
      <c r="N300" s="3" t="s">
        <v>216</v>
      </c>
      <c r="O300" s="3" t="s">
        <v>74</v>
      </c>
      <c r="P300" s="3" t="s">
        <v>74</v>
      </c>
      <c r="Q300" s="3" t="s">
        <v>74</v>
      </c>
      <c r="R300" s="3" t="s">
        <v>74</v>
      </c>
      <c r="S300" s="3" t="s">
        <v>74</v>
      </c>
      <c r="T300" s="3" t="s">
        <v>6309</v>
      </c>
      <c r="U300" s="3" t="s">
        <v>6310</v>
      </c>
      <c r="V300" s="3" t="s">
        <v>6311</v>
      </c>
      <c r="W300" s="3" t="s">
        <v>6312</v>
      </c>
      <c r="X300" s="3" t="s">
        <v>6313</v>
      </c>
      <c r="Y300" s="3" t="s">
        <v>6314</v>
      </c>
      <c r="Z300" s="3" t="s">
        <v>6315</v>
      </c>
      <c r="AA300" s="3" t="s">
        <v>6316</v>
      </c>
      <c r="AB300" s="3" t="s">
        <v>6317</v>
      </c>
      <c r="AC300" s="3" t="s">
        <v>6318</v>
      </c>
      <c r="AD300" s="3" t="s">
        <v>6319</v>
      </c>
      <c r="AE300" s="3" t="s">
        <v>6320</v>
      </c>
      <c r="AF300" s="3" t="s">
        <v>74</v>
      </c>
      <c r="AG300" s="3">
        <v>258</v>
      </c>
      <c r="AH300" s="3">
        <v>10</v>
      </c>
      <c r="AI300" s="3">
        <v>12</v>
      </c>
      <c r="AJ300" s="3">
        <v>4</v>
      </c>
      <c r="AK300" s="3">
        <v>27</v>
      </c>
      <c r="AL300" s="3" t="s">
        <v>846</v>
      </c>
      <c r="AM300" s="3" t="s">
        <v>847</v>
      </c>
      <c r="AN300" s="3" t="s">
        <v>848</v>
      </c>
      <c r="AO300" s="3" t="s">
        <v>849</v>
      </c>
      <c r="AP300" s="3" t="s">
        <v>74</v>
      </c>
      <c r="AQ300" s="3" t="s">
        <v>74</v>
      </c>
      <c r="AR300" s="3" t="s">
        <v>835</v>
      </c>
      <c r="AS300" s="3" t="s">
        <v>850</v>
      </c>
      <c r="AT300" s="3" t="s">
        <v>74</v>
      </c>
      <c r="AU300" s="3">
        <v>2023</v>
      </c>
      <c r="AV300" s="3">
        <v>11</v>
      </c>
      <c r="AW300" s="3" t="s">
        <v>74</v>
      </c>
      <c r="AX300" s="3" t="s">
        <v>74</v>
      </c>
      <c r="AY300" s="3" t="s">
        <v>74</v>
      </c>
      <c r="AZ300" s="3" t="s">
        <v>74</v>
      </c>
      <c r="BA300" s="3" t="s">
        <v>74</v>
      </c>
      <c r="BB300" s="3">
        <v>91981</v>
      </c>
      <c r="BC300" s="3">
        <v>92030</v>
      </c>
      <c r="BD300" s="3" t="s">
        <v>74</v>
      </c>
      <c r="BE300" s="3" t="s">
        <v>6321</v>
      </c>
      <c r="BF300" s="3" t="str">
        <f>HYPERLINK("http://dx.doi.org/10.1109/ACCESS.2023.3302262","http://dx.doi.org/10.1109/ACCESS.2023.3302262")</f>
        <v>http://dx.doi.org/10.1109/ACCESS.2023.3302262</v>
      </c>
      <c r="BG300" s="3" t="s">
        <v>74</v>
      </c>
      <c r="BH300" s="3" t="s">
        <v>74</v>
      </c>
      <c r="BI300" s="3">
        <v>50</v>
      </c>
      <c r="BJ300" s="3" t="s">
        <v>852</v>
      </c>
      <c r="BK300" s="3" t="s">
        <v>179</v>
      </c>
      <c r="BL300" s="3" t="s">
        <v>853</v>
      </c>
      <c r="BM300" s="3" t="s">
        <v>6322</v>
      </c>
      <c r="BN300" s="3" t="s">
        <v>74</v>
      </c>
      <c r="BO300" s="3" t="s">
        <v>100</v>
      </c>
      <c r="BP300" s="3" t="s">
        <v>74</v>
      </c>
      <c r="BQ300" s="3" t="s">
        <v>74</v>
      </c>
      <c r="BR300" s="3" t="s">
        <v>101</v>
      </c>
      <c r="BS300" s="3" t="s">
        <v>6323</v>
      </c>
      <c r="BT300" s="3" t="str">
        <f>HYPERLINK("https%3A%2F%2Fwww.webofscience.com%2Fwos%2Fwoscc%2Ffull-record%2FWOS:001060303500001","View Full Record in Web of Science")</f>
        <v>View Full Record in Web of Science</v>
      </c>
      <c r="BU300" s="3"/>
      <c r="BV300" s="3"/>
      <c r="BW300" s="1"/>
    </row>
    <row r="301" spans="1:75" x14ac:dyDescent="0.25">
      <c r="A301" s="3" t="s">
        <v>72</v>
      </c>
      <c r="B301" s="3" t="s">
        <v>6324</v>
      </c>
      <c r="C301" s="3" t="s">
        <v>74</v>
      </c>
      <c r="D301" s="3" t="s">
        <v>74</v>
      </c>
      <c r="E301" s="3" t="s">
        <v>74</v>
      </c>
      <c r="F301" s="3" t="s">
        <v>6325</v>
      </c>
      <c r="G301" s="3" t="s">
        <v>74</v>
      </c>
      <c r="H301" s="3" t="s">
        <v>74</v>
      </c>
      <c r="I301" s="3" t="s">
        <v>6326</v>
      </c>
      <c r="J301" s="3" t="s">
        <v>138</v>
      </c>
      <c r="K301" s="3" t="s">
        <v>74</v>
      </c>
      <c r="L301" s="3" t="s">
        <v>74</v>
      </c>
      <c r="M301" s="3" t="s">
        <v>110</v>
      </c>
      <c r="N301" s="3" t="s">
        <v>79</v>
      </c>
      <c r="O301" s="3" t="s">
        <v>74</v>
      </c>
      <c r="P301" s="3" t="s">
        <v>74</v>
      </c>
      <c r="Q301" s="3" t="s">
        <v>74</v>
      </c>
      <c r="R301" s="3" t="s">
        <v>74</v>
      </c>
      <c r="S301" s="3" t="s">
        <v>74</v>
      </c>
      <c r="T301" s="3" t="s">
        <v>6327</v>
      </c>
      <c r="U301" s="3" t="s">
        <v>6328</v>
      </c>
      <c r="V301" s="3" t="s">
        <v>6329</v>
      </c>
      <c r="W301" s="3" t="s">
        <v>6330</v>
      </c>
      <c r="X301" s="3" t="s">
        <v>6331</v>
      </c>
      <c r="Y301" s="3" t="s">
        <v>6332</v>
      </c>
      <c r="Z301" s="3" t="s">
        <v>6333</v>
      </c>
      <c r="AA301" s="3" t="s">
        <v>6334</v>
      </c>
      <c r="AB301" s="3" t="s">
        <v>6335</v>
      </c>
      <c r="AC301" s="3" t="s">
        <v>6336</v>
      </c>
      <c r="AD301" s="3" t="s">
        <v>6337</v>
      </c>
      <c r="AE301" s="3" t="s">
        <v>6338</v>
      </c>
      <c r="AF301" s="3" t="s">
        <v>74</v>
      </c>
      <c r="AG301" s="3">
        <v>94</v>
      </c>
      <c r="AH301" s="3">
        <v>13</v>
      </c>
      <c r="AI301" s="3">
        <v>15</v>
      </c>
      <c r="AJ301" s="3">
        <v>16</v>
      </c>
      <c r="AK301" s="3">
        <v>397</v>
      </c>
      <c r="AL301" s="3" t="s">
        <v>145</v>
      </c>
      <c r="AM301" s="3" t="s">
        <v>146</v>
      </c>
      <c r="AN301" s="3" t="s">
        <v>279</v>
      </c>
      <c r="AO301" s="3" t="s">
        <v>74</v>
      </c>
      <c r="AP301" s="3" t="s">
        <v>148</v>
      </c>
      <c r="AQ301" s="3" t="s">
        <v>74</v>
      </c>
      <c r="AR301" s="3" t="s">
        <v>149</v>
      </c>
      <c r="AS301" s="3" t="s">
        <v>150</v>
      </c>
      <c r="AT301" s="3" t="s">
        <v>6339</v>
      </c>
      <c r="AU301" s="3">
        <v>2019</v>
      </c>
      <c r="AV301" s="3">
        <v>11</v>
      </c>
      <c r="AW301" s="3">
        <v>20</v>
      </c>
      <c r="AX301" s="3" t="s">
        <v>74</v>
      </c>
      <c r="AY301" s="3" t="s">
        <v>74</v>
      </c>
      <c r="AZ301" s="3" t="s">
        <v>74</v>
      </c>
      <c r="BA301" s="3" t="s">
        <v>74</v>
      </c>
      <c r="BB301" s="3" t="s">
        <v>74</v>
      </c>
      <c r="BC301" s="3" t="s">
        <v>74</v>
      </c>
      <c r="BD301" s="3">
        <v>5684</v>
      </c>
      <c r="BE301" s="3" t="s">
        <v>6340</v>
      </c>
      <c r="BF301" s="3" t="str">
        <f>HYPERLINK("http://dx.doi.org/10.3390/su11205684","http://dx.doi.org/10.3390/su11205684")</f>
        <v>http://dx.doi.org/10.3390/su11205684</v>
      </c>
      <c r="BG301" s="3" t="s">
        <v>74</v>
      </c>
      <c r="BH301" s="3" t="s">
        <v>74</v>
      </c>
      <c r="BI301" s="3">
        <v>17</v>
      </c>
      <c r="BJ301" s="3" t="s">
        <v>153</v>
      </c>
      <c r="BK301" s="3" t="s">
        <v>154</v>
      </c>
      <c r="BL301" s="3" t="s">
        <v>155</v>
      </c>
      <c r="BM301" s="3" t="s">
        <v>6341</v>
      </c>
      <c r="BN301" s="3" t="s">
        <v>74</v>
      </c>
      <c r="BO301" s="3" t="s">
        <v>6342</v>
      </c>
      <c r="BP301" s="3" t="s">
        <v>74</v>
      </c>
      <c r="BQ301" s="3" t="s">
        <v>74</v>
      </c>
      <c r="BR301" s="3" t="s">
        <v>101</v>
      </c>
      <c r="BS301" s="3" t="s">
        <v>6343</v>
      </c>
      <c r="BT301" s="3" t="str">
        <f>HYPERLINK("https%3A%2F%2Fwww.webofscience.com%2Fwos%2Fwoscc%2Ffull-record%2FWOS:000498398900141","View Full Record in Web of Science")</f>
        <v>View Full Record in Web of Science</v>
      </c>
      <c r="BU301" s="3"/>
      <c r="BV301" s="3"/>
      <c r="BW301" s="1"/>
    </row>
    <row r="302" spans="1:75" x14ac:dyDescent="0.25">
      <c r="A302" s="3" t="s">
        <v>103</v>
      </c>
      <c r="B302" s="3" t="s">
        <v>6344</v>
      </c>
      <c r="C302" s="3" t="s">
        <v>74</v>
      </c>
      <c r="D302" s="3" t="s">
        <v>6345</v>
      </c>
      <c r="E302" s="3" t="s">
        <v>74</v>
      </c>
      <c r="F302" s="3" t="s">
        <v>6346</v>
      </c>
      <c r="G302" s="3" t="s">
        <v>74</v>
      </c>
      <c r="H302" s="3" t="s">
        <v>74</v>
      </c>
      <c r="I302" s="3" t="s">
        <v>6347</v>
      </c>
      <c r="J302" s="3" t="s">
        <v>6348</v>
      </c>
      <c r="K302" s="3" t="s">
        <v>4829</v>
      </c>
      <c r="L302" s="3" t="s">
        <v>74</v>
      </c>
      <c r="M302" s="3" t="s">
        <v>110</v>
      </c>
      <c r="N302" s="3" t="s">
        <v>111</v>
      </c>
      <c r="O302" s="3" t="s">
        <v>6349</v>
      </c>
      <c r="P302" s="3" t="s">
        <v>6350</v>
      </c>
      <c r="Q302" s="3" t="s">
        <v>4854</v>
      </c>
      <c r="R302" s="3" t="s">
        <v>74</v>
      </c>
      <c r="S302" s="3" t="s">
        <v>74</v>
      </c>
      <c r="T302" s="3" t="s">
        <v>74</v>
      </c>
      <c r="U302" s="3" t="s">
        <v>74</v>
      </c>
      <c r="V302" s="3" t="s">
        <v>6351</v>
      </c>
      <c r="W302" s="3" t="s">
        <v>6352</v>
      </c>
      <c r="X302" s="3" t="s">
        <v>6353</v>
      </c>
      <c r="Y302" s="3" t="s">
        <v>6354</v>
      </c>
      <c r="Z302" s="3" t="s">
        <v>74</v>
      </c>
      <c r="AA302" s="3" t="s">
        <v>6355</v>
      </c>
      <c r="AB302" s="3" t="s">
        <v>6356</v>
      </c>
      <c r="AC302" s="3" t="s">
        <v>6357</v>
      </c>
      <c r="AD302" s="3" t="s">
        <v>6358</v>
      </c>
      <c r="AE302" s="3" t="s">
        <v>6359</v>
      </c>
      <c r="AF302" s="3" t="s">
        <v>74</v>
      </c>
      <c r="AG302" s="3">
        <v>11</v>
      </c>
      <c r="AH302" s="3">
        <v>2</v>
      </c>
      <c r="AI302" s="3">
        <v>2</v>
      </c>
      <c r="AJ302" s="3">
        <v>0</v>
      </c>
      <c r="AK302" s="3">
        <v>5</v>
      </c>
      <c r="AL302" s="3" t="s">
        <v>4837</v>
      </c>
      <c r="AM302" s="3" t="s">
        <v>4838</v>
      </c>
      <c r="AN302" s="3" t="s">
        <v>4839</v>
      </c>
      <c r="AO302" s="3" t="s">
        <v>4840</v>
      </c>
      <c r="AP302" s="3" t="s">
        <v>74</v>
      </c>
      <c r="AQ302" s="3" t="s">
        <v>74</v>
      </c>
      <c r="AR302" s="3" t="s">
        <v>4841</v>
      </c>
      <c r="AS302" s="3" t="s">
        <v>74</v>
      </c>
      <c r="AT302" s="3" t="s">
        <v>74</v>
      </c>
      <c r="AU302" s="3">
        <v>2019</v>
      </c>
      <c r="AV302" s="3">
        <v>259</v>
      </c>
      <c r="AW302" s="3" t="s">
        <v>74</v>
      </c>
      <c r="AX302" s="3" t="s">
        <v>74</v>
      </c>
      <c r="AY302" s="3" t="s">
        <v>74</v>
      </c>
      <c r="AZ302" s="3" t="s">
        <v>74</v>
      </c>
      <c r="BA302" s="3" t="s">
        <v>74</v>
      </c>
      <c r="BB302" s="3" t="s">
        <v>74</v>
      </c>
      <c r="BC302" s="3" t="s">
        <v>74</v>
      </c>
      <c r="BD302" s="3">
        <v>4001</v>
      </c>
      <c r="BE302" s="3" t="s">
        <v>6360</v>
      </c>
      <c r="BF302" s="3" t="str">
        <f>HYPERLINK("http://dx.doi.org/10.1051/matecconf/201925904001","http://dx.doi.org/10.1051/matecconf/201925904001")</f>
        <v>http://dx.doi.org/10.1051/matecconf/201925904001</v>
      </c>
      <c r="BG302" s="3" t="s">
        <v>74</v>
      </c>
      <c r="BH302" s="3" t="s">
        <v>74</v>
      </c>
      <c r="BI302" s="3">
        <v>5</v>
      </c>
      <c r="BJ302" s="3" t="s">
        <v>2355</v>
      </c>
      <c r="BK302" s="3" t="s">
        <v>208</v>
      </c>
      <c r="BL302" s="3" t="s">
        <v>131</v>
      </c>
      <c r="BM302" s="3" t="s">
        <v>6361</v>
      </c>
      <c r="BN302" s="3" t="s">
        <v>74</v>
      </c>
      <c r="BO302" s="3" t="s">
        <v>133</v>
      </c>
      <c r="BP302" s="3" t="s">
        <v>74</v>
      </c>
      <c r="BQ302" s="3" t="s">
        <v>74</v>
      </c>
      <c r="BR302" s="3" t="s">
        <v>101</v>
      </c>
      <c r="BS302" s="3" t="s">
        <v>6362</v>
      </c>
      <c r="BT302" s="3" t="str">
        <f>HYPERLINK("https%3A%2F%2Fwww.webofscience.com%2Fwos%2Fwoscc%2Ffull-record%2FWOS:000471300400021","View Full Record in Web of Science")</f>
        <v>View Full Record in Web of Science</v>
      </c>
      <c r="BU302" s="3"/>
      <c r="BV302" s="3"/>
      <c r="BW302" s="1"/>
    </row>
    <row r="303" spans="1:75" x14ac:dyDescent="0.25">
      <c r="A303" s="3" t="s">
        <v>72</v>
      </c>
      <c r="B303" s="3" t="s">
        <v>6363</v>
      </c>
      <c r="C303" s="3" t="s">
        <v>74</v>
      </c>
      <c r="D303" s="3" t="s">
        <v>74</v>
      </c>
      <c r="E303" s="3" t="s">
        <v>74</v>
      </c>
      <c r="F303" s="3" t="s">
        <v>6364</v>
      </c>
      <c r="G303" s="3" t="s">
        <v>74</v>
      </c>
      <c r="H303" s="3" t="s">
        <v>74</v>
      </c>
      <c r="I303" s="3" t="s">
        <v>6365</v>
      </c>
      <c r="J303" s="3" t="s">
        <v>835</v>
      </c>
      <c r="K303" s="3" t="s">
        <v>74</v>
      </c>
      <c r="L303" s="3" t="s">
        <v>74</v>
      </c>
      <c r="M303" s="3" t="s">
        <v>110</v>
      </c>
      <c r="N303" s="3" t="s">
        <v>79</v>
      </c>
      <c r="O303" s="3" t="s">
        <v>74</v>
      </c>
      <c r="P303" s="3" t="s">
        <v>74</v>
      </c>
      <c r="Q303" s="3" t="s">
        <v>74</v>
      </c>
      <c r="R303" s="3" t="s">
        <v>74</v>
      </c>
      <c r="S303" s="3" t="s">
        <v>74</v>
      </c>
      <c r="T303" s="3" t="s">
        <v>6366</v>
      </c>
      <c r="U303" s="3" t="s">
        <v>6367</v>
      </c>
      <c r="V303" s="3" t="s">
        <v>6368</v>
      </c>
      <c r="W303" s="3" t="s">
        <v>6369</v>
      </c>
      <c r="X303" s="3" t="s">
        <v>6370</v>
      </c>
      <c r="Y303" s="3" t="s">
        <v>6371</v>
      </c>
      <c r="Z303" s="3" t="s">
        <v>6372</v>
      </c>
      <c r="AA303" s="3" t="s">
        <v>6373</v>
      </c>
      <c r="AB303" s="3" t="s">
        <v>6374</v>
      </c>
      <c r="AC303" s="3" t="s">
        <v>6375</v>
      </c>
      <c r="AD303" s="3" t="s">
        <v>6376</v>
      </c>
      <c r="AE303" s="3" t="s">
        <v>6377</v>
      </c>
      <c r="AF303" s="3" t="s">
        <v>74</v>
      </c>
      <c r="AG303" s="3">
        <v>39</v>
      </c>
      <c r="AH303" s="3">
        <v>13</v>
      </c>
      <c r="AI303" s="3">
        <v>15</v>
      </c>
      <c r="AJ303" s="3">
        <v>2</v>
      </c>
      <c r="AK303" s="3">
        <v>22</v>
      </c>
      <c r="AL303" s="3" t="s">
        <v>846</v>
      </c>
      <c r="AM303" s="3" t="s">
        <v>847</v>
      </c>
      <c r="AN303" s="3" t="s">
        <v>848</v>
      </c>
      <c r="AO303" s="3" t="s">
        <v>849</v>
      </c>
      <c r="AP303" s="3" t="s">
        <v>74</v>
      </c>
      <c r="AQ303" s="3" t="s">
        <v>74</v>
      </c>
      <c r="AR303" s="3" t="s">
        <v>835</v>
      </c>
      <c r="AS303" s="3" t="s">
        <v>850</v>
      </c>
      <c r="AT303" s="3" t="s">
        <v>74</v>
      </c>
      <c r="AU303" s="3">
        <v>2020</v>
      </c>
      <c r="AV303" s="3">
        <v>8</v>
      </c>
      <c r="AW303" s="3" t="s">
        <v>74</v>
      </c>
      <c r="AX303" s="3" t="s">
        <v>74</v>
      </c>
      <c r="AY303" s="3" t="s">
        <v>74</v>
      </c>
      <c r="AZ303" s="3" t="s">
        <v>74</v>
      </c>
      <c r="BA303" s="3" t="s">
        <v>74</v>
      </c>
      <c r="BB303" s="3">
        <v>227313</v>
      </c>
      <c r="BC303" s="3">
        <v>227326</v>
      </c>
      <c r="BD303" s="3" t="s">
        <v>74</v>
      </c>
      <c r="BE303" s="3" t="s">
        <v>6378</v>
      </c>
      <c r="BF303" s="3" t="str">
        <f>HYPERLINK("http://dx.doi.org/10.1109/ACCESS.2020.3046017","http://dx.doi.org/10.1109/ACCESS.2020.3046017")</f>
        <v>http://dx.doi.org/10.1109/ACCESS.2020.3046017</v>
      </c>
      <c r="BG303" s="3" t="s">
        <v>74</v>
      </c>
      <c r="BH303" s="3" t="s">
        <v>74</v>
      </c>
      <c r="BI303" s="3">
        <v>14</v>
      </c>
      <c r="BJ303" s="3" t="s">
        <v>852</v>
      </c>
      <c r="BK303" s="3" t="s">
        <v>154</v>
      </c>
      <c r="BL303" s="3" t="s">
        <v>853</v>
      </c>
      <c r="BM303" s="3" t="s">
        <v>6379</v>
      </c>
      <c r="BN303" s="3" t="s">
        <v>74</v>
      </c>
      <c r="BO303" s="3" t="s">
        <v>100</v>
      </c>
      <c r="BP303" s="3" t="s">
        <v>74</v>
      </c>
      <c r="BQ303" s="3" t="s">
        <v>74</v>
      </c>
      <c r="BR303" s="3" t="s">
        <v>101</v>
      </c>
      <c r="BS303" s="3" t="s">
        <v>6380</v>
      </c>
      <c r="BT303" s="3" t="str">
        <f>HYPERLINK("https%3A%2F%2Fwww.webofscience.com%2Fwos%2Fwoscc%2Ffull-record%2FWOS:000604528900001","View Full Record in Web of Science")</f>
        <v>View Full Record in Web of Science</v>
      </c>
      <c r="BU303" s="3"/>
      <c r="BV303" s="3"/>
      <c r="BW303" s="1"/>
    </row>
    <row r="304" spans="1:75" x14ac:dyDescent="0.25">
      <c r="A304" s="3" t="s">
        <v>72</v>
      </c>
      <c r="B304" s="3" t="s">
        <v>6381</v>
      </c>
      <c r="C304" s="3" t="s">
        <v>74</v>
      </c>
      <c r="D304" s="3" t="s">
        <v>74</v>
      </c>
      <c r="E304" s="3" t="s">
        <v>74</v>
      </c>
      <c r="F304" s="3" t="s">
        <v>6382</v>
      </c>
      <c r="G304" s="3" t="s">
        <v>74</v>
      </c>
      <c r="H304" s="3" t="s">
        <v>74</v>
      </c>
      <c r="I304" s="3" t="s">
        <v>6383</v>
      </c>
      <c r="J304" s="3" t="s">
        <v>6384</v>
      </c>
      <c r="K304" s="3" t="s">
        <v>74</v>
      </c>
      <c r="L304" s="3" t="s">
        <v>74</v>
      </c>
      <c r="M304" s="3" t="s">
        <v>110</v>
      </c>
      <c r="N304" s="3" t="s">
        <v>1784</v>
      </c>
      <c r="O304" s="3" t="s">
        <v>6385</v>
      </c>
      <c r="P304" s="3" t="s">
        <v>6386</v>
      </c>
      <c r="Q304" s="3" t="s">
        <v>6387</v>
      </c>
      <c r="R304" s="3" t="s">
        <v>74</v>
      </c>
      <c r="S304" s="3" t="s">
        <v>6388</v>
      </c>
      <c r="T304" s="3" t="s">
        <v>6389</v>
      </c>
      <c r="U304" s="3" t="s">
        <v>6390</v>
      </c>
      <c r="V304" s="3" t="s">
        <v>6391</v>
      </c>
      <c r="W304" s="3" t="s">
        <v>6392</v>
      </c>
      <c r="X304" s="3" t="s">
        <v>6393</v>
      </c>
      <c r="Y304" s="3" t="s">
        <v>6394</v>
      </c>
      <c r="Z304" s="3" t="s">
        <v>6299</v>
      </c>
      <c r="AA304" s="3" t="s">
        <v>6395</v>
      </c>
      <c r="AB304" s="3" t="s">
        <v>6396</v>
      </c>
      <c r="AC304" s="3" t="s">
        <v>74</v>
      </c>
      <c r="AD304" s="3" t="s">
        <v>74</v>
      </c>
      <c r="AE304" s="3" t="s">
        <v>74</v>
      </c>
      <c r="AF304" s="3" t="s">
        <v>74</v>
      </c>
      <c r="AG304" s="3">
        <v>22</v>
      </c>
      <c r="AH304" s="3">
        <v>80</v>
      </c>
      <c r="AI304" s="3">
        <v>88</v>
      </c>
      <c r="AJ304" s="3">
        <v>4</v>
      </c>
      <c r="AK304" s="3">
        <v>109</v>
      </c>
      <c r="AL304" s="3" t="s">
        <v>6397</v>
      </c>
      <c r="AM304" s="3" t="s">
        <v>6398</v>
      </c>
      <c r="AN304" s="3" t="s">
        <v>6399</v>
      </c>
      <c r="AO304" s="3" t="s">
        <v>6400</v>
      </c>
      <c r="AP304" s="3" t="s">
        <v>6401</v>
      </c>
      <c r="AQ304" s="3" t="s">
        <v>74</v>
      </c>
      <c r="AR304" s="3" t="s">
        <v>6402</v>
      </c>
      <c r="AS304" s="3" t="s">
        <v>6403</v>
      </c>
      <c r="AT304" s="3" t="s">
        <v>1240</v>
      </c>
      <c r="AU304" s="3">
        <v>2018</v>
      </c>
      <c r="AV304" s="3">
        <v>12</v>
      </c>
      <c r="AW304" s="3">
        <v>4</v>
      </c>
      <c r="AX304" s="3" t="s">
        <v>74</v>
      </c>
      <c r="AY304" s="3" t="s">
        <v>74</v>
      </c>
      <c r="AZ304" s="3" t="s">
        <v>880</v>
      </c>
      <c r="BA304" s="3" t="s">
        <v>74</v>
      </c>
      <c r="BB304" s="3">
        <v>262</v>
      </c>
      <c r="BC304" s="3">
        <v>269</v>
      </c>
      <c r="BD304" s="3" t="s">
        <v>74</v>
      </c>
      <c r="BE304" s="3" t="s">
        <v>6404</v>
      </c>
      <c r="BF304" s="3" t="str">
        <f>HYPERLINK("http://dx.doi.org/10.1049/iet-its.2017.0357","http://dx.doi.org/10.1049/iet-its.2017.0357")</f>
        <v>http://dx.doi.org/10.1049/iet-its.2017.0357</v>
      </c>
      <c r="BG304" s="3" t="s">
        <v>74</v>
      </c>
      <c r="BH304" s="3" t="s">
        <v>74</v>
      </c>
      <c r="BI304" s="3">
        <v>8</v>
      </c>
      <c r="BJ304" s="3" t="s">
        <v>1665</v>
      </c>
      <c r="BK304" s="3" t="s">
        <v>6405</v>
      </c>
      <c r="BL304" s="3" t="s">
        <v>411</v>
      </c>
      <c r="BM304" s="3" t="s">
        <v>6406</v>
      </c>
      <c r="BN304" s="3" t="s">
        <v>74</v>
      </c>
      <c r="BO304" s="3" t="s">
        <v>683</v>
      </c>
      <c r="BP304" s="3" t="s">
        <v>74</v>
      </c>
      <c r="BQ304" s="3" t="s">
        <v>74</v>
      </c>
      <c r="BR304" s="3" t="s">
        <v>101</v>
      </c>
      <c r="BS304" s="3" t="s">
        <v>6407</v>
      </c>
      <c r="BT304" s="3" t="str">
        <f>HYPERLINK("https%3A%2F%2Fwww.webofscience.com%2Fwos%2Fwoscc%2Ffull-record%2FWOS:000430139100003","View Full Record in Web of Science")</f>
        <v>View Full Record in Web of Science</v>
      </c>
      <c r="BU304" s="3"/>
      <c r="BV304" s="3"/>
      <c r="BW304" s="1"/>
    </row>
    <row r="305" spans="1:75" x14ac:dyDescent="0.25">
      <c r="A305" s="3" t="s">
        <v>72</v>
      </c>
      <c r="B305" s="3" t="s">
        <v>6408</v>
      </c>
      <c r="C305" s="3" t="s">
        <v>74</v>
      </c>
      <c r="D305" s="3" t="s">
        <v>74</v>
      </c>
      <c r="E305" s="3" t="s">
        <v>74</v>
      </c>
      <c r="F305" s="3" t="s">
        <v>6409</v>
      </c>
      <c r="G305" s="3" t="s">
        <v>74</v>
      </c>
      <c r="H305" s="3" t="s">
        <v>74</v>
      </c>
      <c r="I305" s="3" t="s">
        <v>6410</v>
      </c>
      <c r="J305" s="3" t="s">
        <v>6411</v>
      </c>
      <c r="K305" s="3" t="s">
        <v>74</v>
      </c>
      <c r="L305" s="3" t="s">
        <v>74</v>
      </c>
      <c r="M305" s="3" t="s">
        <v>110</v>
      </c>
      <c r="N305" s="3" t="s">
        <v>79</v>
      </c>
      <c r="O305" s="3" t="s">
        <v>74</v>
      </c>
      <c r="P305" s="3" t="s">
        <v>74</v>
      </c>
      <c r="Q305" s="3" t="s">
        <v>74</v>
      </c>
      <c r="R305" s="3" t="s">
        <v>74</v>
      </c>
      <c r="S305" s="3" t="s">
        <v>74</v>
      </c>
      <c r="T305" s="3" t="s">
        <v>6412</v>
      </c>
      <c r="U305" s="3" t="s">
        <v>6413</v>
      </c>
      <c r="V305" s="3" t="s">
        <v>6414</v>
      </c>
      <c r="W305" s="3" t="s">
        <v>6415</v>
      </c>
      <c r="X305" s="3" t="s">
        <v>6416</v>
      </c>
      <c r="Y305" s="3" t="s">
        <v>6417</v>
      </c>
      <c r="Z305" s="3" t="s">
        <v>6418</v>
      </c>
      <c r="AA305" s="3" t="s">
        <v>6419</v>
      </c>
      <c r="AB305" s="3" t="s">
        <v>6420</v>
      </c>
      <c r="AC305" s="3" t="s">
        <v>6421</v>
      </c>
      <c r="AD305" s="3" t="s">
        <v>6422</v>
      </c>
      <c r="AE305" s="3" t="s">
        <v>6423</v>
      </c>
      <c r="AF305" s="3" t="s">
        <v>74</v>
      </c>
      <c r="AG305" s="3">
        <v>109</v>
      </c>
      <c r="AH305" s="3">
        <v>2</v>
      </c>
      <c r="AI305" s="3">
        <v>2</v>
      </c>
      <c r="AJ305" s="3">
        <v>12</v>
      </c>
      <c r="AK305" s="3">
        <v>32</v>
      </c>
      <c r="AL305" s="3" t="s">
        <v>1051</v>
      </c>
      <c r="AM305" s="3" t="s">
        <v>1052</v>
      </c>
      <c r="AN305" s="3" t="s">
        <v>1053</v>
      </c>
      <c r="AO305" s="3" t="s">
        <v>6424</v>
      </c>
      <c r="AP305" s="3" t="s">
        <v>6425</v>
      </c>
      <c r="AQ305" s="3" t="s">
        <v>74</v>
      </c>
      <c r="AR305" s="3" t="s">
        <v>6426</v>
      </c>
      <c r="AS305" s="3" t="s">
        <v>6427</v>
      </c>
      <c r="AT305" s="3" t="s">
        <v>1164</v>
      </c>
      <c r="AU305" s="3">
        <v>2025</v>
      </c>
      <c r="AV305" s="3">
        <v>50</v>
      </c>
      <c r="AW305" s="3">
        <v>20</v>
      </c>
      <c r="AX305" s="3" t="s">
        <v>74</v>
      </c>
      <c r="AY305" s="3" t="s">
        <v>74</v>
      </c>
      <c r="AZ305" s="3" t="s">
        <v>74</v>
      </c>
      <c r="BA305" s="3" t="s">
        <v>74</v>
      </c>
      <c r="BB305" s="3">
        <v>16869</v>
      </c>
      <c r="BC305" s="3">
        <v>16883</v>
      </c>
      <c r="BD305" s="3" t="s">
        <v>74</v>
      </c>
      <c r="BE305" s="3" t="s">
        <v>6428</v>
      </c>
      <c r="BF305" s="3" t="str">
        <f>HYPERLINK("http://dx.doi.org/10.1007/s13369-025-10017-z","http://dx.doi.org/10.1007/s13369-025-10017-z")</f>
        <v>http://dx.doi.org/10.1007/s13369-025-10017-z</v>
      </c>
      <c r="BG305" s="3" t="s">
        <v>74</v>
      </c>
      <c r="BH305" s="3" t="s">
        <v>5715</v>
      </c>
      <c r="BI305" s="3">
        <v>15</v>
      </c>
      <c r="BJ305" s="3" t="s">
        <v>235</v>
      </c>
      <c r="BK305" s="3" t="s">
        <v>179</v>
      </c>
      <c r="BL305" s="3" t="s">
        <v>236</v>
      </c>
      <c r="BM305" s="3" t="s">
        <v>6429</v>
      </c>
      <c r="BN305" s="3" t="s">
        <v>74</v>
      </c>
      <c r="BO305" s="3" t="s">
        <v>74</v>
      </c>
      <c r="BP305" s="3" t="s">
        <v>74</v>
      </c>
      <c r="BQ305" s="3" t="s">
        <v>74</v>
      </c>
      <c r="BR305" s="3" t="s">
        <v>101</v>
      </c>
      <c r="BS305" s="3" t="s">
        <v>6430</v>
      </c>
      <c r="BT305" s="3" t="str">
        <f>HYPERLINK("https%3A%2F%2Fwww.webofscience.com%2Fwos%2Fwoscc%2Ffull-record%2FWOS:001411649600001","View Full Record in Web of Science")</f>
        <v>View Full Record in Web of Science</v>
      </c>
      <c r="BU305" s="3"/>
      <c r="BV305" s="3"/>
      <c r="BW305" s="1"/>
    </row>
    <row r="306" spans="1:75" x14ac:dyDescent="0.25">
      <c r="A306" s="3" t="s">
        <v>103</v>
      </c>
      <c r="B306" s="3" t="s">
        <v>6431</v>
      </c>
      <c r="C306" s="3" t="s">
        <v>74</v>
      </c>
      <c r="D306" s="3" t="s">
        <v>5103</v>
      </c>
      <c r="E306" s="3" t="s">
        <v>74</v>
      </c>
      <c r="F306" s="3" t="s">
        <v>6432</v>
      </c>
      <c r="G306" s="3" t="s">
        <v>74</v>
      </c>
      <c r="H306" s="3" t="s">
        <v>74</v>
      </c>
      <c r="I306" s="3" t="s">
        <v>6433</v>
      </c>
      <c r="J306" s="3" t="s">
        <v>5106</v>
      </c>
      <c r="K306" s="3" t="s">
        <v>109</v>
      </c>
      <c r="L306" s="3" t="s">
        <v>74</v>
      </c>
      <c r="M306" s="3" t="s">
        <v>110</v>
      </c>
      <c r="N306" s="3" t="s">
        <v>111</v>
      </c>
      <c r="O306" s="3" t="s">
        <v>5107</v>
      </c>
      <c r="P306" s="3" t="s">
        <v>5108</v>
      </c>
      <c r="Q306" s="3" t="s">
        <v>5109</v>
      </c>
      <c r="R306" s="3" t="s">
        <v>74</v>
      </c>
      <c r="S306" s="3" t="s">
        <v>74</v>
      </c>
      <c r="T306" s="3" t="s">
        <v>6434</v>
      </c>
      <c r="U306" s="3" t="s">
        <v>74</v>
      </c>
      <c r="V306" s="3" t="s">
        <v>6435</v>
      </c>
      <c r="W306" s="3" t="s">
        <v>6436</v>
      </c>
      <c r="X306" s="3" t="s">
        <v>6437</v>
      </c>
      <c r="Y306" s="3" t="s">
        <v>6438</v>
      </c>
      <c r="Z306" s="3" t="s">
        <v>6439</v>
      </c>
      <c r="AA306" s="3" t="s">
        <v>6440</v>
      </c>
      <c r="AB306" s="3" t="s">
        <v>6441</v>
      </c>
      <c r="AC306" s="3" t="s">
        <v>74</v>
      </c>
      <c r="AD306" s="3" t="s">
        <v>74</v>
      </c>
      <c r="AE306" s="3" t="s">
        <v>74</v>
      </c>
      <c r="AF306" s="3" t="s">
        <v>74</v>
      </c>
      <c r="AG306" s="3">
        <v>21</v>
      </c>
      <c r="AH306" s="3">
        <v>6</v>
      </c>
      <c r="AI306" s="3">
        <v>6</v>
      </c>
      <c r="AJ306" s="3">
        <v>3</v>
      </c>
      <c r="AK306" s="3">
        <v>5</v>
      </c>
      <c r="AL306" s="3" t="s">
        <v>123</v>
      </c>
      <c r="AM306" s="3" t="s">
        <v>124</v>
      </c>
      <c r="AN306" s="3" t="s">
        <v>125</v>
      </c>
      <c r="AO306" s="3" t="s">
        <v>126</v>
      </c>
      <c r="AP306" s="3" t="s">
        <v>74</v>
      </c>
      <c r="AQ306" s="3" t="s">
        <v>74</v>
      </c>
      <c r="AR306" s="3" t="s">
        <v>127</v>
      </c>
      <c r="AS306" s="3" t="s">
        <v>74</v>
      </c>
      <c r="AT306" s="3" t="s">
        <v>74</v>
      </c>
      <c r="AU306" s="3">
        <v>2019</v>
      </c>
      <c r="AV306" s="3">
        <v>39</v>
      </c>
      <c r="AW306" s="3" t="s">
        <v>74</v>
      </c>
      <c r="AX306" s="3" t="s">
        <v>74</v>
      </c>
      <c r="AY306" s="3" t="s">
        <v>74</v>
      </c>
      <c r="AZ306" s="3" t="s">
        <v>74</v>
      </c>
      <c r="BA306" s="3" t="s">
        <v>74</v>
      </c>
      <c r="BB306" s="3">
        <v>309</v>
      </c>
      <c r="BC306" s="3">
        <v>319</v>
      </c>
      <c r="BD306" s="3" t="s">
        <v>74</v>
      </c>
      <c r="BE306" s="3" t="s">
        <v>6442</v>
      </c>
      <c r="BF306" s="3" t="str">
        <f>HYPERLINK("http://dx.doi.org/10.1016/j.trpro.2019.06.033","http://dx.doi.org/10.1016/j.trpro.2019.06.033")</f>
        <v>http://dx.doi.org/10.1016/j.trpro.2019.06.033</v>
      </c>
      <c r="BG306" s="3" t="s">
        <v>74</v>
      </c>
      <c r="BH306" s="3" t="s">
        <v>74</v>
      </c>
      <c r="BI306" s="3">
        <v>11</v>
      </c>
      <c r="BJ306" s="3" t="s">
        <v>5119</v>
      </c>
      <c r="BK306" s="3" t="s">
        <v>130</v>
      </c>
      <c r="BL306" s="3" t="s">
        <v>789</v>
      </c>
      <c r="BM306" s="3" t="s">
        <v>5120</v>
      </c>
      <c r="BN306" s="3" t="s">
        <v>74</v>
      </c>
      <c r="BO306" s="3" t="s">
        <v>100</v>
      </c>
      <c r="BP306" s="3" t="s">
        <v>74</v>
      </c>
      <c r="BQ306" s="3" t="s">
        <v>74</v>
      </c>
      <c r="BR306" s="3" t="s">
        <v>101</v>
      </c>
      <c r="BS306" s="3" t="s">
        <v>6443</v>
      </c>
      <c r="BT306" s="3" t="str">
        <f>HYPERLINK("https%3A%2F%2Fwww.webofscience.com%2Fwos%2Fwoscc%2Ffull-record%2FWOS:000502626100032","View Full Record in Web of Science")</f>
        <v>View Full Record in Web of Science</v>
      </c>
      <c r="BU306" s="3"/>
      <c r="BV306" s="3"/>
      <c r="BW306" s="1"/>
    </row>
    <row r="307" spans="1:75" x14ac:dyDescent="0.25">
      <c r="A307" s="3" t="s">
        <v>72</v>
      </c>
      <c r="B307" s="3" t="s">
        <v>6444</v>
      </c>
      <c r="C307" s="3" t="s">
        <v>74</v>
      </c>
      <c r="D307" s="3" t="s">
        <v>74</v>
      </c>
      <c r="E307" s="3" t="s">
        <v>74</v>
      </c>
      <c r="F307" s="3" t="s">
        <v>6445</v>
      </c>
      <c r="G307" s="3" t="s">
        <v>74</v>
      </c>
      <c r="H307" s="3" t="s">
        <v>74</v>
      </c>
      <c r="I307" s="3" t="s">
        <v>6446</v>
      </c>
      <c r="J307" s="3" t="s">
        <v>161</v>
      </c>
      <c r="K307" s="3" t="s">
        <v>74</v>
      </c>
      <c r="L307" s="3" t="s">
        <v>74</v>
      </c>
      <c r="M307" s="3" t="s">
        <v>110</v>
      </c>
      <c r="N307" s="3" t="s">
        <v>79</v>
      </c>
      <c r="O307" s="3" t="s">
        <v>74</v>
      </c>
      <c r="P307" s="3" t="s">
        <v>74</v>
      </c>
      <c r="Q307" s="3" t="s">
        <v>74</v>
      </c>
      <c r="R307" s="3" t="s">
        <v>74</v>
      </c>
      <c r="S307" s="3" t="s">
        <v>74</v>
      </c>
      <c r="T307" s="3" t="s">
        <v>6447</v>
      </c>
      <c r="U307" s="3" t="s">
        <v>6448</v>
      </c>
      <c r="V307" s="3" t="s">
        <v>6449</v>
      </c>
      <c r="W307" s="3" t="s">
        <v>6450</v>
      </c>
      <c r="X307" s="3" t="s">
        <v>6451</v>
      </c>
      <c r="Y307" s="3" t="s">
        <v>6452</v>
      </c>
      <c r="Z307" s="3" t="s">
        <v>6453</v>
      </c>
      <c r="AA307" s="3" t="s">
        <v>6454</v>
      </c>
      <c r="AB307" s="3" t="s">
        <v>6455</v>
      </c>
      <c r="AC307" s="3" t="s">
        <v>74</v>
      </c>
      <c r="AD307" s="3" t="s">
        <v>74</v>
      </c>
      <c r="AE307" s="3" t="s">
        <v>74</v>
      </c>
      <c r="AF307" s="3" t="s">
        <v>74</v>
      </c>
      <c r="AG307" s="3">
        <v>59</v>
      </c>
      <c r="AH307" s="3">
        <v>3</v>
      </c>
      <c r="AI307" s="3">
        <v>3</v>
      </c>
      <c r="AJ307" s="3">
        <v>7</v>
      </c>
      <c r="AK307" s="3">
        <v>41</v>
      </c>
      <c r="AL307" s="3" t="s">
        <v>145</v>
      </c>
      <c r="AM307" s="3" t="s">
        <v>146</v>
      </c>
      <c r="AN307" s="3" t="s">
        <v>147</v>
      </c>
      <c r="AO307" s="3" t="s">
        <v>74</v>
      </c>
      <c r="AP307" s="3" t="s">
        <v>174</v>
      </c>
      <c r="AQ307" s="3" t="s">
        <v>74</v>
      </c>
      <c r="AR307" s="3" t="s">
        <v>161</v>
      </c>
      <c r="AS307" s="3" t="s">
        <v>175</v>
      </c>
      <c r="AT307" s="3" t="s">
        <v>333</v>
      </c>
      <c r="AU307" s="3">
        <v>2023</v>
      </c>
      <c r="AV307" s="3">
        <v>16</v>
      </c>
      <c r="AW307" s="3">
        <v>18</v>
      </c>
      <c r="AX307" s="3" t="s">
        <v>74</v>
      </c>
      <c r="AY307" s="3" t="s">
        <v>74</v>
      </c>
      <c r="AZ307" s="3" t="s">
        <v>74</v>
      </c>
      <c r="BA307" s="3" t="s">
        <v>74</v>
      </c>
      <c r="BB307" s="3" t="s">
        <v>74</v>
      </c>
      <c r="BC307" s="3" t="s">
        <v>74</v>
      </c>
      <c r="BD307" s="3">
        <v>6467</v>
      </c>
      <c r="BE307" s="3" t="s">
        <v>6456</v>
      </c>
      <c r="BF307" s="3" t="str">
        <f>HYPERLINK("http://dx.doi.org/10.3390/en16186467","http://dx.doi.org/10.3390/en16186467")</f>
        <v>http://dx.doi.org/10.3390/en16186467</v>
      </c>
      <c r="BG307" s="3" t="s">
        <v>74</v>
      </c>
      <c r="BH307" s="3" t="s">
        <v>74</v>
      </c>
      <c r="BI307" s="3">
        <v>27</v>
      </c>
      <c r="BJ307" s="3" t="s">
        <v>178</v>
      </c>
      <c r="BK307" s="3" t="s">
        <v>179</v>
      </c>
      <c r="BL307" s="3" t="s">
        <v>178</v>
      </c>
      <c r="BM307" s="3" t="s">
        <v>6457</v>
      </c>
      <c r="BN307" s="3" t="s">
        <v>74</v>
      </c>
      <c r="BO307" s="3" t="s">
        <v>133</v>
      </c>
      <c r="BP307" s="3" t="s">
        <v>74</v>
      </c>
      <c r="BQ307" s="3" t="s">
        <v>74</v>
      </c>
      <c r="BR307" s="3" t="s">
        <v>101</v>
      </c>
      <c r="BS307" s="3" t="s">
        <v>6458</v>
      </c>
      <c r="BT307" s="3" t="str">
        <f>HYPERLINK("https%3A%2F%2Fwww.webofscience.com%2Fwos%2Fwoscc%2Ffull-record%2FWOS:001078795500001","View Full Record in Web of Science")</f>
        <v>View Full Record in Web of Science</v>
      </c>
      <c r="BU307" s="3"/>
      <c r="BV307" s="3"/>
      <c r="BW307" s="1"/>
    </row>
    <row r="308" spans="1:75" x14ac:dyDescent="0.25">
      <c r="A308" s="3" t="s">
        <v>72</v>
      </c>
      <c r="B308" s="3" t="s">
        <v>6459</v>
      </c>
      <c r="C308" s="3" t="s">
        <v>74</v>
      </c>
      <c r="D308" s="3" t="s">
        <v>74</v>
      </c>
      <c r="E308" s="3" t="s">
        <v>74</v>
      </c>
      <c r="F308" s="3" t="s">
        <v>6460</v>
      </c>
      <c r="G308" s="3" t="s">
        <v>74</v>
      </c>
      <c r="H308" s="3" t="s">
        <v>74</v>
      </c>
      <c r="I308" s="3" t="s">
        <v>6461</v>
      </c>
      <c r="J308" s="3" t="s">
        <v>4868</v>
      </c>
      <c r="K308" s="3" t="s">
        <v>74</v>
      </c>
      <c r="L308" s="3" t="s">
        <v>74</v>
      </c>
      <c r="M308" s="3" t="s">
        <v>110</v>
      </c>
      <c r="N308" s="3" t="s">
        <v>79</v>
      </c>
      <c r="O308" s="3" t="s">
        <v>74</v>
      </c>
      <c r="P308" s="3" t="s">
        <v>74</v>
      </c>
      <c r="Q308" s="3" t="s">
        <v>74</v>
      </c>
      <c r="R308" s="3" t="s">
        <v>74</v>
      </c>
      <c r="S308" s="3" t="s">
        <v>74</v>
      </c>
      <c r="T308" s="3" t="s">
        <v>6462</v>
      </c>
      <c r="U308" s="3" t="s">
        <v>6463</v>
      </c>
      <c r="V308" s="3" t="s">
        <v>6464</v>
      </c>
      <c r="W308" s="3" t="s">
        <v>6465</v>
      </c>
      <c r="X308" s="3" t="s">
        <v>6466</v>
      </c>
      <c r="Y308" s="3" t="s">
        <v>6467</v>
      </c>
      <c r="Z308" s="3" t="s">
        <v>6468</v>
      </c>
      <c r="AA308" s="3" t="s">
        <v>6469</v>
      </c>
      <c r="AB308" s="3" t="s">
        <v>6470</v>
      </c>
      <c r="AC308" s="3" t="s">
        <v>6471</v>
      </c>
      <c r="AD308" s="3" t="s">
        <v>6472</v>
      </c>
      <c r="AE308" s="3" t="s">
        <v>6473</v>
      </c>
      <c r="AF308" s="3" t="s">
        <v>74</v>
      </c>
      <c r="AG308" s="3">
        <v>46</v>
      </c>
      <c r="AH308" s="3">
        <v>12</v>
      </c>
      <c r="AI308" s="3">
        <v>15</v>
      </c>
      <c r="AJ308" s="3">
        <v>0</v>
      </c>
      <c r="AK308" s="3">
        <v>61</v>
      </c>
      <c r="AL308" s="3" t="s">
        <v>1120</v>
      </c>
      <c r="AM308" s="3" t="s">
        <v>200</v>
      </c>
      <c r="AN308" s="3" t="s">
        <v>1559</v>
      </c>
      <c r="AO308" s="3" t="s">
        <v>4877</v>
      </c>
      <c r="AP308" s="3" t="s">
        <v>4878</v>
      </c>
      <c r="AQ308" s="3" t="s">
        <v>74</v>
      </c>
      <c r="AR308" s="3" t="s">
        <v>4868</v>
      </c>
      <c r="AS308" s="3" t="s">
        <v>131</v>
      </c>
      <c r="AT308" s="3" t="s">
        <v>1164</v>
      </c>
      <c r="AU308" s="3">
        <v>2021</v>
      </c>
      <c r="AV308" s="3">
        <v>48</v>
      </c>
      <c r="AW308" s="3">
        <v>5</v>
      </c>
      <c r="AX308" s="3" t="s">
        <v>74</v>
      </c>
      <c r="AY308" s="3" t="s">
        <v>74</v>
      </c>
      <c r="AZ308" s="3" t="s">
        <v>74</v>
      </c>
      <c r="BA308" s="3" t="s">
        <v>74</v>
      </c>
      <c r="BB308" s="3">
        <v>2401</v>
      </c>
      <c r="BC308" s="3">
        <v>2431</v>
      </c>
      <c r="BD308" s="3" t="s">
        <v>74</v>
      </c>
      <c r="BE308" s="3" t="s">
        <v>6474</v>
      </c>
      <c r="BF308" s="3" t="str">
        <f>HYPERLINK("http://dx.doi.org/10.1007/s11116-020-10134-8","http://dx.doi.org/10.1007/s11116-020-10134-8")</f>
        <v>http://dx.doi.org/10.1007/s11116-020-10134-8</v>
      </c>
      <c r="BG308" s="3" t="s">
        <v>74</v>
      </c>
      <c r="BH308" s="3" t="s">
        <v>6475</v>
      </c>
      <c r="BI308" s="3">
        <v>31</v>
      </c>
      <c r="BJ308" s="3" t="s">
        <v>4880</v>
      </c>
      <c r="BK308" s="3" t="s">
        <v>154</v>
      </c>
      <c r="BL308" s="3" t="s">
        <v>411</v>
      </c>
      <c r="BM308" s="3" t="s">
        <v>6476</v>
      </c>
      <c r="BN308" s="3" t="s">
        <v>74</v>
      </c>
      <c r="BO308" s="3" t="s">
        <v>74</v>
      </c>
      <c r="BP308" s="3" t="s">
        <v>74</v>
      </c>
      <c r="BQ308" s="3" t="s">
        <v>74</v>
      </c>
      <c r="BR308" s="3" t="s">
        <v>101</v>
      </c>
      <c r="BS308" s="3" t="s">
        <v>6477</v>
      </c>
      <c r="BT308" s="3" t="str">
        <f>HYPERLINK("https%3A%2F%2Fwww.webofscience.com%2Fwos%2Fwoscc%2Ffull-record%2FWOS:000566037300001","View Full Record in Web of Science")</f>
        <v>View Full Record in Web of Science</v>
      </c>
      <c r="BU308" s="3"/>
      <c r="BV308" s="3"/>
      <c r="BW308" s="1"/>
    </row>
    <row r="309" spans="1:75" x14ac:dyDescent="0.25">
      <c r="A309" s="3" t="s">
        <v>103</v>
      </c>
      <c r="B309" s="3" t="s">
        <v>6478</v>
      </c>
      <c r="C309" s="3" t="s">
        <v>74</v>
      </c>
      <c r="D309" s="3" t="s">
        <v>6479</v>
      </c>
      <c r="E309" s="3" t="s">
        <v>74</v>
      </c>
      <c r="F309" s="3" t="s">
        <v>6480</v>
      </c>
      <c r="G309" s="3" t="s">
        <v>74</v>
      </c>
      <c r="H309" s="3" t="s">
        <v>74</v>
      </c>
      <c r="I309" s="3" t="s">
        <v>6481</v>
      </c>
      <c r="J309" s="3" t="s">
        <v>6482</v>
      </c>
      <c r="K309" s="3" t="s">
        <v>74</v>
      </c>
      <c r="L309" s="3" t="s">
        <v>74</v>
      </c>
      <c r="M309" s="3" t="s">
        <v>110</v>
      </c>
      <c r="N309" s="3" t="s">
        <v>111</v>
      </c>
      <c r="O309" s="3" t="s">
        <v>6483</v>
      </c>
      <c r="P309" s="3" t="s">
        <v>6484</v>
      </c>
      <c r="Q309" s="3" t="s">
        <v>6485</v>
      </c>
      <c r="R309" s="3" t="s">
        <v>74</v>
      </c>
      <c r="S309" s="3" t="s">
        <v>74</v>
      </c>
      <c r="T309" s="3" t="s">
        <v>6486</v>
      </c>
      <c r="U309" s="3" t="s">
        <v>6487</v>
      </c>
      <c r="V309" s="3" t="s">
        <v>6488</v>
      </c>
      <c r="W309" s="3" t="s">
        <v>6489</v>
      </c>
      <c r="X309" s="3" t="s">
        <v>6490</v>
      </c>
      <c r="Y309" s="3" t="s">
        <v>6491</v>
      </c>
      <c r="Z309" s="3" t="s">
        <v>6492</v>
      </c>
      <c r="AA309" s="3" t="s">
        <v>74</v>
      </c>
      <c r="AB309" s="3" t="s">
        <v>74</v>
      </c>
      <c r="AC309" s="3" t="s">
        <v>74</v>
      </c>
      <c r="AD309" s="3" t="s">
        <v>74</v>
      </c>
      <c r="AE309" s="3" t="s">
        <v>74</v>
      </c>
      <c r="AF309" s="3" t="s">
        <v>74</v>
      </c>
      <c r="AG309" s="3">
        <v>17</v>
      </c>
      <c r="AH309" s="3">
        <v>0</v>
      </c>
      <c r="AI309" s="3">
        <v>0</v>
      </c>
      <c r="AJ309" s="3">
        <v>0</v>
      </c>
      <c r="AK309" s="3">
        <v>6</v>
      </c>
      <c r="AL309" s="3" t="s">
        <v>6493</v>
      </c>
      <c r="AM309" s="3" t="s">
        <v>6494</v>
      </c>
      <c r="AN309" s="3" t="s">
        <v>6495</v>
      </c>
      <c r="AO309" s="3" t="s">
        <v>74</v>
      </c>
      <c r="AP309" s="3" t="s">
        <v>74</v>
      </c>
      <c r="AQ309" s="3" t="s">
        <v>6496</v>
      </c>
      <c r="AR309" s="3" t="s">
        <v>74</v>
      </c>
      <c r="AS309" s="3" t="s">
        <v>74</v>
      </c>
      <c r="AT309" s="3" t="s">
        <v>74</v>
      </c>
      <c r="AU309" s="3">
        <v>2016</v>
      </c>
      <c r="AV309" s="3" t="s">
        <v>74</v>
      </c>
      <c r="AW309" s="3" t="s">
        <v>74</v>
      </c>
      <c r="AX309" s="3" t="s">
        <v>74</v>
      </c>
      <c r="AY309" s="3" t="s">
        <v>74</v>
      </c>
      <c r="AZ309" s="3" t="s">
        <v>74</v>
      </c>
      <c r="BA309" s="3" t="s">
        <v>74</v>
      </c>
      <c r="BB309" s="3">
        <v>183</v>
      </c>
      <c r="BC309" s="3">
        <v>190</v>
      </c>
      <c r="BD309" s="3" t="s">
        <v>74</v>
      </c>
      <c r="BE309" s="3" t="s">
        <v>74</v>
      </c>
      <c r="BF309" s="3" t="s">
        <v>74</v>
      </c>
      <c r="BG309" s="3" t="s">
        <v>74</v>
      </c>
      <c r="BH309" s="3" t="s">
        <v>74</v>
      </c>
      <c r="BI309" s="3">
        <v>8</v>
      </c>
      <c r="BJ309" s="3" t="s">
        <v>6497</v>
      </c>
      <c r="BK309" s="3" t="s">
        <v>2556</v>
      </c>
      <c r="BL309" s="3" t="s">
        <v>4503</v>
      </c>
      <c r="BM309" s="3" t="s">
        <v>6498</v>
      </c>
      <c r="BN309" s="3" t="s">
        <v>74</v>
      </c>
      <c r="BO309" s="3" t="s">
        <v>74</v>
      </c>
      <c r="BP309" s="3" t="s">
        <v>74</v>
      </c>
      <c r="BQ309" s="3" t="s">
        <v>74</v>
      </c>
      <c r="BR309" s="3" t="s">
        <v>101</v>
      </c>
      <c r="BS309" s="3" t="s">
        <v>6499</v>
      </c>
      <c r="BT309" s="3" t="str">
        <f>HYPERLINK("https%3A%2F%2Fwww.webofscience.com%2Fwos%2Fwoscc%2Ffull-record%2FWOS:000389158800024","View Full Record in Web of Science")</f>
        <v>View Full Record in Web of Science</v>
      </c>
      <c r="BU309" s="3"/>
      <c r="BV309" s="3"/>
      <c r="BW309" s="1"/>
    </row>
    <row r="310" spans="1:75" x14ac:dyDescent="0.25">
      <c r="A310" s="3" t="s">
        <v>103</v>
      </c>
      <c r="B310" s="3" t="s">
        <v>6500</v>
      </c>
      <c r="C310" s="3" t="s">
        <v>74</v>
      </c>
      <c r="D310" s="3" t="s">
        <v>6501</v>
      </c>
      <c r="E310" s="3" t="s">
        <v>74</v>
      </c>
      <c r="F310" s="3" t="s">
        <v>6502</v>
      </c>
      <c r="G310" s="3" t="s">
        <v>74</v>
      </c>
      <c r="H310" s="3" t="s">
        <v>74</v>
      </c>
      <c r="I310" s="3" t="s">
        <v>6503</v>
      </c>
      <c r="J310" s="3" t="s">
        <v>6504</v>
      </c>
      <c r="K310" s="3" t="s">
        <v>6505</v>
      </c>
      <c r="L310" s="3" t="s">
        <v>74</v>
      </c>
      <c r="M310" s="3" t="s">
        <v>110</v>
      </c>
      <c r="N310" s="3" t="s">
        <v>111</v>
      </c>
      <c r="O310" s="3" t="s">
        <v>6506</v>
      </c>
      <c r="P310" s="3" t="s">
        <v>6507</v>
      </c>
      <c r="Q310" s="3" t="s">
        <v>6508</v>
      </c>
      <c r="R310" s="3" t="s">
        <v>74</v>
      </c>
      <c r="S310" s="3" t="s">
        <v>6509</v>
      </c>
      <c r="T310" s="3" t="s">
        <v>6510</v>
      </c>
      <c r="U310" s="3" t="s">
        <v>74</v>
      </c>
      <c r="V310" s="3" t="s">
        <v>6511</v>
      </c>
      <c r="W310" s="3" t="s">
        <v>6512</v>
      </c>
      <c r="X310" s="3" t="s">
        <v>6513</v>
      </c>
      <c r="Y310" s="3" t="s">
        <v>6514</v>
      </c>
      <c r="Z310" s="3" t="s">
        <v>6515</v>
      </c>
      <c r="AA310" s="3" t="s">
        <v>6516</v>
      </c>
      <c r="AB310" s="3" t="s">
        <v>6517</v>
      </c>
      <c r="AC310" s="3" t="s">
        <v>6518</v>
      </c>
      <c r="AD310" s="3" t="s">
        <v>6519</v>
      </c>
      <c r="AE310" s="3" t="s">
        <v>6520</v>
      </c>
      <c r="AF310" s="3" t="s">
        <v>74</v>
      </c>
      <c r="AG310" s="3">
        <v>13</v>
      </c>
      <c r="AH310" s="3">
        <v>2</v>
      </c>
      <c r="AI310" s="3">
        <v>3</v>
      </c>
      <c r="AJ310" s="3">
        <v>0</v>
      </c>
      <c r="AK310" s="3">
        <v>15</v>
      </c>
      <c r="AL310" s="3" t="s">
        <v>374</v>
      </c>
      <c r="AM310" s="3" t="s">
        <v>375</v>
      </c>
      <c r="AN310" s="3" t="s">
        <v>376</v>
      </c>
      <c r="AO310" s="3" t="s">
        <v>6521</v>
      </c>
      <c r="AP310" s="3" t="s">
        <v>6522</v>
      </c>
      <c r="AQ310" s="3" t="s">
        <v>6523</v>
      </c>
      <c r="AR310" s="3" t="s">
        <v>6524</v>
      </c>
      <c r="AS310" s="3" t="s">
        <v>74</v>
      </c>
      <c r="AT310" s="3" t="s">
        <v>74</v>
      </c>
      <c r="AU310" s="3">
        <v>2020</v>
      </c>
      <c r="AV310" s="3">
        <v>33</v>
      </c>
      <c r="AW310" s="3" t="s">
        <v>74</v>
      </c>
      <c r="AX310" s="3" t="s">
        <v>74</v>
      </c>
      <c r="AY310" s="3" t="s">
        <v>74</v>
      </c>
      <c r="AZ310" s="3" t="s">
        <v>74</v>
      </c>
      <c r="BA310" s="3" t="s">
        <v>74</v>
      </c>
      <c r="BB310" s="3">
        <v>251</v>
      </c>
      <c r="BC310" s="3">
        <v>260</v>
      </c>
      <c r="BD310" s="3" t="s">
        <v>74</v>
      </c>
      <c r="BE310" s="3" t="s">
        <v>6525</v>
      </c>
      <c r="BF310" s="3" t="str">
        <f>HYPERLINK("http://dx.doi.org/10.1007/978-3-030-23665-6_18","http://dx.doi.org/10.1007/978-3-030-23665-6_18")</f>
        <v>http://dx.doi.org/10.1007/978-3-030-23665-6_18</v>
      </c>
      <c r="BG310" s="3" t="s">
        <v>74</v>
      </c>
      <c r="BH310" s="3" t="s">
        <v>74</v>
      </c>
      <c r="BI310" s="3">
        <v>10</v>
      </c>
      <c r="BJ310" s="3" t="s">
        <v>6526</v>
      </c>
      <c r="BK310" s="3" t="s">
        <v>208</v>
      </c>
      <c r="BL310" s="3" t="s">
        <v>486</v>
      </c>
      <c r="BM310" s="3" t="s">
        <v>6527</v>
      </c>
      <c r="BN310" s="3" t="s">
        <v>74</v>
      </c>
      <c r="BO310" s="3" t="s">
        <v>74</v>
      </c>
      <c r="BP310" s="3" t="s">
        <v>74</v>
      </c>
      <c r="BQ310" s="3" t="s">
        <v>74</v>
      </c>
      <c r="BR310" s="3" t="s">
        <v>101</v>
      </c>
      <c r="BS310" s="3" t="s">
        <v>6528</v>
      </c>
      <c r="BT310" s="3" t="str">
        <f>HYPERLINK("https%3A%2F%2Fwww.webofscience.com%2Fwos%2Fwoscc%2Ffull-record%2FWOS:000613128700018","View Full Record in Web of Science")</f>
        <v>View Full Record in Web of Science</v>
      </c>
      <c r="BU310" s="3"/>
      <c r="BV310" s="3"/>
      <c r="BW310" s="1"/>
    </row>
    <row r="311" spans="1:75" x14ac:dyDescent="0.25">
      <c r="A311" s="3" t="s">
        <v>103</v>
      </c>
      <c r="B311" s="3" t="s">
        <v>6529</v>
      </c>
      <c r="C311" s="3" t="s">
        <v>74</v>
      </c>
      <c r="D311" s="3" t="s">
        <v>6530</v>
      </c>
      <c r="E311" s="3" t="s">
        <v>74</v>
      </c>
      <c r="F311" s="3" t="s">
        <v>6531</v>
      </c>
      <c r="G311" s="3" t="s">
        <v>74</v>
      </c>
      <c r="H311" s="3" t="s">
        <v>74</v>
      </c>
      <c r="I311" s="3" t="s">
        <v>6532</v>
      </c>
      <c r="J311" s="3" t="s">
        <v>6533</v>
      </c>
      <c r="K311" s="3" t="s">
        <v>74</v>
      </c>
      <c r="L311" s="3" t="s">
        <v>74</v>
      </c>
      <c r="M311" s="3" t="s">
        <v>110</v>
      </c>
      <c r="N311" s="3" t="s">
        <v>111</v>
      </c>
      <c r="O311" s="3" t="s">
        <v>6534</v>
      </c>
      <c r="P311" s="3" t="s">
        <v>6535</v>
      </c>
      <c r="Q311" s="3" t="s">
        <v>6536</v>
      </c>
      <c r="R311" s="3" t="s">
        <v>74</v>
      </c>
      <c r="S311" s="3" t="s">
        <v>74</v>
      </c>
      <c r="T311" s="3" t="s">
        <v>6537</v>
      </c>
      <c r="U311" s="3" t="s">
        <v>74</v>
      </c>
      <c r="V311" s="3" t="s">
        <v>6538</v>
      </c>
      <c r="W311" s="3" t="s">
        <v>6539</v>
      </c>
      <c r="X311" s="3" t="s">
        <v>6540</v>
      </c>
      <c r="Y311" s="3" t="s">
        <v>6541</v>
      </c>
      <c r="Z311" s="3" t="s">
        <v>6542</v>
      </c>
      <c r="AA311" s="3" t="s">
        <v>74</v>
      </c>
      <c r="AB311" s="3" t="s">
        <v>74</v>
      </c>
      <c r="AC311" s="3" t="s">
        <v>74</v>
      </c>
      <c r="AD311" s="3" t="s">
        <v>74</v>
      </c>
      <c r="AE311" s="3" t="s">
        <v>74</v>
      </c>
      <c r="AF311" s="3" t="s">
        <v>74</v>
      </c>
      <c r="AG311" s="3">
        <v>9</v>
      </c>
      <c r="AH311" s="3">
        <v>11</v>
      </c>
      <c r="AI311" s="3">
        <v>14</v>
      </c>
      <c r="AJ311" s="3">
        <v>0</v>
      </c>
      <c r="AK311" s="3">
        <v>4</v>
      </c>
      <c r="AL311" s="3" t="s">
        <v>199</v>
      </c>
      <c r="AM311" s="3" t="s">
        <v>200</v>
      </c>
      <c r="AN311" s="3" t="s">
        <v>201</v>
      </c>
      <c r="AO311" s="3" t="s">
        <v>74</v>
      </c>
      <c r="AP311" s="3" t="s">
        <v>74</v>
      </c>
      <c r="AQ311" s="3" t="s">
        <v>6543</v>
      </c>
      <c r="AR311" s="3" t="s">
        <v>74</v>
      </c>
      <c r="AS311" s="3" t="s">
        <v>74</v>
      </c>
      <c r="AT311" s="3" t="s">
        <v>74</v>
      </c>
      <c r="AU311" s="3">
        <v>2018</v>
      </c>
      <c r="AV311" s="3" t="s">
        <v>74</v>
      </c>
      <c r="AW311" s="3" t="s">
        <v>74</v>
      </c>
      <c r="AX311" s="3" t="s">
        <v>74</v>
      </c>
      <c r="AY311" s="3" t="s">
        <v>74</v>
      </c>
      <c r="AZ311" s="3" t="s">
        <v>74</v>
      </c>
      <c r="BA311" s="3" t="s">
        <v>74</v>
      </c>
      <c r="BB311" s="3">
        <v>562</v>
      </c>
      <c r="BC311" s="3">
        <v>566</v>
      </c>
      <c r="BD311" s="3" t="s">
        <v>74</v>
      </c>
      <c r="BE311" s="3" t="s">
        <v>74</v>
      </c>
      <c r="BF311" s="3" t="s">
        <v>74</v>
      </c>
      <c r="BG311" s="3" t="s">
        <v>74</v>
      </c>
      <c r="BH311" s="3" t="s">
        <v>74</v>
      </c>
      <c r="BI311" s="3">
        <v>5</v>
      </c>
      <c r="BJ311" s="3" t="s">
        <v>6544</v>
      </c>
      <c r="BK311" s="3" t="s">
        <v>208</v>
      </c>
      <c r="BL311" s="3" t="s">
        <v>383</v>
      </c>
      <c r="BM311" s="3" t="s">
        <v>6545</v>
      </c>
      <c r="BN311" s="3" t="s">
        <v>74</v>
      </c>
      <c r="BO311" s="3" t="s">
        <v>683</v>
      </c>
      <c r="BP311" s="3" t="s">
        <v>74</v>
      </c>
      <c r="BQ311" s="3" t="s">
        <v>74</v>
      </c>
      <c r="BR311" s="3" t="s">
        <v>101</v>
      </c>
      <c r="BS311" s="3" t="s">
        <v>6546</v>
      </c>
      <c r="BT311" s="3" t="str">
        <f>HYPERLINK("https%3A%2F%2Fwww.webofscience.com%2Fwos%2Fwoscc%2Ffull-record%2FWOS:000462053800100","View Full Record in Web of Science")</f>
        <v>View Full Record in Web of Science</v>
      </c>
      <c r="BU311" s="3"/>
      <c r="BV311" s="3"/>
      <c r="BW311" s="1"/>
    </row>
    <row r="312" spans="1:75" x14ac:dyDescent="0.25">
      <c r="A312" s="3" t="s">
        <v>103</v>
      </c>
      <c r="B312" s="3" t="s">
        <v>6547</v>
      </c>
      <c r="C312" s="3" t="s">
        <v>74</v>
      </c>
      <c r="D312" s="3" t="s">
        <v>6548</v>
      </c>
      <c r="E312" s="3" t="s">
        <v>74</v>
      </c>
      <c r="F312" s="3" t="s">
        <v>6549</v>
      </c>
      <c r="G312" s="3" t="s">
        <v>74</v>
      </c>
      <c r="H312" s="3" t="s">
        <v>74</v>
      </c>
      <c r="I312" s="3" t="s">
        <v>6550</v>
      </c>
      <c r="J312" s="3" t="s">
        <v>6551</v>
      </c>
      <c r="K312" s="3" t="s">
        <v>6552</v>
      </c>
      <c r="L312" s="3" t="s">
        <v>74</v>
      </c>
      <c r="M312" s="3" t="s">
        <v>110</v>
      </c>
      <c r="N312" s="3" t="s">
        <v>111</v>
      </c>
      <c r="O312" s="3" t="s">
        <v>6553</v>
      </c>
      <c r="P312" s="3">
        <v>2017</v>
      </c>
      <c r="Q312" s="3" t="s">
        <v>3280</v>
      </c>
      <c r="R312" s="3" t="s">
        <v>74</v>
      </c>
      <c r="S312" s="3" t="s">
        <v>74</v>
      </c>
      <c r="T312" s="3" t="s">
        <v>6554</v>
      </c>
      <c r="U312" s="3" t="s">
        <v>6555</v>
      </c>
      <c r="V312" s="3" t="s">
        <v>6556</v>
      </c>
      <c r="W312" s="3" t="s">
        <v>6557</v>
      </c>
      <c r="X312" s="3" t="s">
        <v>6558</v>
      </c>
      <c r="Y312" s="3" t="s">
        <v>6559</v>
      </c>
      <c r="Z312" s="3" t="s">
        <v>74</v>
      </c>
      <c r="AA312" s="3" t="s">
        <v>6560</v>
      </c>
      <c r="AB312" s="3" t="s">
        <v>74</v>
      </c>
      <c r="AC312" s="3" t="s">
        <v>74</v>
      </c>
      <c r="AD312" s="3" t="s">
        <v>74</v>
      </c>
      <c r="AE312" s="3" t="s">
        <v>74</v>
      </c>
      <c r="AF312" s="3" t="s">
        <v>74</v>
      </c>
      <c r="AG312" s="3">
        <v>30</v>
      </c>
      <c r="AH312" s="3">
        <v>7</v>
      </c>
      <c r="AI312" s="3">
        <v>7</v>
      </c>
      <c r="AJ312" s="3">
        <v>0</v>
      </c>
      <c r="AK312" s="3">
        <v>12</v>
      </c>
      <c r="AL312" s="3" t="s">
        <v>2765</v>
      </c>
      <c r="AM312" s="3" t="s">
        <v>2766</v>
      </c>
      <c r="AN312" s="3" t="s">
        <v>2767</v>
      </c>
      <c r="AO312" s="3" t="s">
        <v>6561</v>
      </c>
      <c r="AP312" s="3" t="s">
        <v>74</v>
      </c>
      <c r="AQ312" s="3" t="s">
        <v>6562</v>
      </c>
      <c r="AR312" s="3" t="s">
        <v>6563</v>
      </c>
      <c r="AS312" s="3" t="s">
        <v>6564</v>
      </c>
      <c r="AT312" s="3" t="s">
        <v>74</v>
      </c>
      <c r="AU312" s="3">
        <v>2017</v>
      </c>
      <c r="AV312" s="3">
        <v>223</v>
      </c>
      <c r="AW312" s="3" t="s">
        <v>74</v>
      </c>
      <c r="AX312" s="3" t="s">
        <v>74</v>
      </c>
      <c r="AY312" s="3" t="s">
        <v>74</v>
      </c>
      <c r="AZ312" s="3" t="s">
        <v>74</v>
      </c>
      <c r="BA312" s="3" t="s">
        <v>74</v>
      </c>
      <c r="BB312" s="3">
        <v>171</v>
      </c>
      <c r="BC312" s="3">
        <v>181</v>
      </c>
      <c r="BD312" s="3" t="s">
        <v>74</v>
      </c>
      <c r="BE312" s="3" t="s">
        <v>6565</v>
      </c>
      <c r="BF312" s="3" t="str">
        <f>HYPERLINK("http://dx.doi.org/10.2495/SC170151","http://dx.doi.org/10.2495/SC170151")</f>
        <v>http://dx.doi.org/10.2495/SC170151</v>
      </c>
      <c r="BG312" s="3" t="s">
        <v>74</v>
      </c>
      <c r="BH312" s="3" t="s">
        <v>74</v>
      </c>
      <c r="BI312" s="3">
        <v>11</v>
      </c>
      <c r="BJ312" s="3" t="s">
        <v>6566</v>
      </c>
      <c r="BK312" s="3" t="s">
        <v>130</v>
      </c>
      <c r="BL312" s="3" t="s">
        <v>2843</v>
      </c>
      <c r="BM312" s="3" t="s">
        <v>6567</v>
      </c>
      <c r="BN312" s="3" t="s">
        <v>74</v>
      </c>
      <c r="BO312" s="3" t="s">
        <v>6568</v>
      </c>
      <c r="BP312" s="3" t="s">
        <v>74</v>
      </c>
      <c r="BQ312" s="3" t="s">
        <v>74</v>
      </c>
      <c r="BR312" s="3" t="s">
        <v>101</v>
      </c>
      <c r="BS312" s="3" t="s">
        <v>6569</v>
      </c>
      <c r="BT312" s="3" t="str">
        <f>HYPERLINK("https%3A%2F%2Fwww.webofscience.com%2Fwos%2Fwoscc%2Ffull-record%2FWOS:000451538100015","View Full Record in Web of Science")</f>
        <v>View Full Record in Web of Science</v>
      </c>
      <c r="BU312" s="3"/>
      <c r="BV312" s="3"/>
      <c r="BW312" s="1"/>
    </row>
    <row r="313" spans="1:75" x14ac:dyDescent="0.25">
      <c r="A313" s="3" t="s">
        <v>72</v>
      </c>
      <c r="B313" s="3" t="s">
        <v>6570</v>
      </c>
      <c r="C313" s="3" t="s">
        <v>74</v>
      </c>
      <c r="D313" s="3" t="s">
        <v>74</v>
      </c>
      <c r="E313" s="3" t="s">
        <v>74</v>
      </c>
      <c r="F313" s="3" t="s">
        <v>6571</v>
      </c>
      <c r="G313" s="3" t="s">
        <v>74</v>
      </c>
      <c r="H313" s="3" t="s">
        <v>74</v>
      </c>
      <c r="I313" s="3" t="s">
        <v>6572</v>
      </c>
      <c r="J313" s="3" t="s">
        <v>6573</v>
      </c>
      <c r="K313" s="3" t="s">
        <v>74</v>
      </c>
      <c r="L313" s="3" t="s">
        <v>74</v>
      </c>
      <c r="M313" s="3" t="s">
        <v>110</v>
      </c>
      <c r="N313" s="3" t="s">
        <v>79</v>
      </c>
      <c r="O313" s="3" t="s">
        <v>74</v>
      </c>
      <c r="P313" s="3" t="s">
        <v>74</v>
      </c>
      <c r="Q313" s="3" t="s">
        <v>74</v>
      </c>
      <c r="R313" s="3" t="s">
        <v>74</v>
      </c>
      <c r="S313" s="3" t="s">
        <v>74</v>
      </c>
      <c r="T313" s="3" t="s">
        <v>6574</v>
      </c>
      <c r="U313" s="3" t="s">
        <v>6575</v>
      </c>
      <c r="V313" s="3" t="s">
        <v>6576</v>
      </c>
      <c r="W313" s="3" t="s">
        <v>6577</v>
      </c>
      <c r="X313" s="3" t="s">
        <v>1176</v>
      </c>
      <c r="Y313" s="3" t="s">
        <v>6578</v>
      </c>
      <c r="Z313" s="3" t="s">
        <v>6579</v>
      </c>
      <c r="AA313" s="3" t="s">
        <v>6580</v>
      </c>
      <c r="AB313" s="3" t="s">
        <v>6581</v>
      </c>
      <c r="AC313" s="3" t="s">
        <v>74</v>
      </c>
      <c r="AD313" s="3" t="s">
        <v>74</v>
      </c>
      <c r="AE313" s="3" t="s">
        <v>74</v>
      </c>
      <c r="AF313" s="3" t="s">
        <v>74</v>
      </c>
      <c r="AG313" s="3">
        <v>14</v>
      </c>
      <c r="AH313" s="3">
        <v>28</v>
      </c>
      <c r="AI313" s="3">
        <v>31</v>
      </c>
      <c r="AJ313" s="3">
        <v>0</v>
      </c>
      <c r="AK313" s="3">
        <v>50</v>
      </c>
      <c r="AL313" s="3" t="s">
        <v>2641</v>
      </c>
      <c r="AM313" s="3" t="s">
        <v>2642</v>
      </c>
      <c r="AN313" s="3" t="s">
        <v>2643</v>
      </c>
      <c r="AO313" s="3" t="s">
        <v>6582</v>
      </c>
      <c r="AP313" s="3" t="s">
        <v>6583</v>
      </c>
      <c r="AQ313" s="3" t="s">
        <v>74</v>
      </c>
      <c r="AR313" s="3" t="s">
        <v>6573</v>
      </c>
      <c r="AS313" s="3" t="s">
        <v>6584</v>
      </c>
      <c r="AT313" s="3" t="s">
        <v>5941</v>
      </c>
      <c r="AU313" s="3">
        <v>2018</v>
      </c>
      <c r="AV313" s="3">
        <v>48</v>
      </c>
      <c r="AW313" s="3">
        <v>4</v>
      </c>
      <c r="AX313" s="3" t="s">
        <v>74</v>
      </c>
      <c r="AY313" s="3" t="s">
        <v>74</v>
      </c>
      <c r="AZ313" s="3" t="s">
        <v>74</v>
      </c>
      <c r="BA313" s="3" t="s">
        <v>74</v>
      </c>
      <c r="BB313" s="3">
        <v>307</v>
      </c>
      <c r="BC313" s="3">
        <v>322</v>
      </c>
      <c r="BD313" s="3" t="s">
        <v>74</v>
      </c>
      <c r="BE313" s="3" t="s">
        <v>6585</v>
      </c>
      <c r="BF313" s="3" t="str">
        <f>HYPERLINK("http://dx.doi.org/10.1287/inte.2018.0943","http://dx.doi.org/10.1287/inte.2018.0943")</f>
        <v>http://dx.doi.org/10.1287/inte.2018.0943</v>
      </c>
      <c r="BG313" s="3" t="s">
        <v>74</v>
      </c>
      <c r="BH313" s="3" t="s">
        <v>74</v>
      </c>
      <c r="BI313" s="3">
        <v>16</v>
      </c>
      <c r="BJ313" s="3" t="s">
        <v>3346</v>
      </c>
      <c r="BK313" s="3" t="s">
        <v>154</v>
      </c>
      <c r="BL313" s="3" t="s">
        <v>3347</v>
      </c>
      <c r="BM313" s="3" t="s">
        <v>6586</v>
      </c>
      <c r="BN313" s="3" t="s">
        <v>74</v>
      </c>
      <c r="BO313" s="3" t="s">
        <v>74</v>
      </c>
      <c r="BP313" s="3" t="s">
        <v>74</v>
      </c>
      <c r="BQ313" s="3" t="s">
        <v>74</v>
      </c>
      <c r="BR313" s="3" t="s">
        <v>101</v>
      </c>
      <c r="BS313" s="3" t="s">
        <v>6587</v>
      </c>
      <c r="BT313" s="3" t="str">
        <f>HYPERLINK("https%3A%2F%2Fwww.webofscience.com%2Fwos%2Fwoscc%2Ffull-record%2FWOS:000445909900002","View Full Record in Web of Science")</f>
        <v>View Full Record in Web of Science</v>
      </c>
      <c r="BU313" s="3"/>
      <c r="BV313" s="3"/>
      <c r="BW313" s="1"/>
    </row>
    <row r="314" spans="1:75" x14ac:dyDescent="0.25">
      <c r="A314" s="3" t="s">
        <v>103</v>
      </c>
      <c r="B314" s="3" t="s">
        <v>6588</v>
      </c>
      <c r="C314" s="3" t="s">
        <v>74</v>
      </c>
      <c r="D314" s="3" t="s">
        <v>6589</v>
      </c>
      <c r="E314" s="3" t="s">
        <v>74</v>
      </c>
      <c r="F314" s="3" t="s">
        <v>6590</v>
      </c>
      <c r="G314" s="3" t="s">
        <v>74</v>
      </c>
      <c r="H314" s="3" t="s">
        <v>74</v>
      </c>
      <c r="I314" s="3" t="s">
        <v>6591</v>
      </c>
      <c r="J314" s="3" t="s">
        <v>6592</v>
      </c>
      <c r="K314" s="3" t="s">
        <v>74</v>
      </c>
      <c r="L314" s="3" t="s">
        <v>74</v>
      </c>
      <c r="M314" s="3" t="s">
        <v>110</v>
      </c>
      <c r="N314" s="3" t="s">
        <v>111</v>
      </c>
      <c r="O314" s="3" t="s">
        <v>6593</v>
      </c>
      <c r="P314" s="3" t="s">
        <v>6594</v>
      </c>
      <c r="Q314" s="3" t="s">
        <v>6595</v>
      </c>
      <c r="R314" s="3" t="s">
        <v>74</v>
      </c>
      <c r="S314" s="3" t="s">
        <v>74</v>
      </c>
      <c r="T314" s="3" t="s">
        <v>6596</v>
      </c>
      <c r="U314" s="3" t="s">
        <v>6597</v>
      </c>
      <c r="V314" s="3" t="s">
        <v>6598</v>
      </c>
      <c r="W314" s="3" t="s">
        <v>6599</v>
      </c>
      <c r="X314" s="3" t="s">
        <v>6600</v>
      </c>
      <c r="Y314" s="3" t="s">
        <v>6601</v>
      </c>
      <c r="Z314" s="3" t="s">
        <v>6602</v>
      </c>
      <c r="AA314" s="3" t="s">
        <v>74</v>
      </c>
      <c r="AB314" s="3" t="s">
        <v>74</v>
      </c>
      <c r="AC314" s="3" t="s">
        <v>74</v>
      </c>
      <c r="AD314" s="3" t="s">
        <v>74</v>
      </c>
      <c r="AE314" s="3" t="s">
        <v>74</v>
      </c>
      <c r="AF314" s="3" t="s">
        <v>74</v>
      </c>
      <c r="AG314" s="3">
        <v>14</v>
      </c>
      <c r="AH314" s="3">
        <v>0</v>
      </c>
      <c r="AI314" s="3">
        <v>0</v>
      </c>
      <c r="AJ314" s="3">
        <v>0</v>
      </c>
      <c r="AK314" s="3">
        <v>21</v>
      </c>
      <c r="AL314" s="3" t="s">
        <v>6603</v>
      </c>
      <c r="AM314" s="3" t="s">
        <v>6604</v>
      </c>
      <c r="AN314" s="3" t="s">
        <v>6605</v>
      </c>
      <c r="AO314" s="3" t="s">
        <v>74</v>
      </c>
      <c r="AP314" s="3" t="s">
        <v>74</v>
      </c>
      <c r="AQ314" s="3" t="s">
        <v>6606</v>
      </c>
      <c r="AR314" s="3" t="s">
        <v>74</v>
      </c>
      <c r="AS314" s="3" t="s">
        <v>74</v>
      </c>
      <c r="AT314" s="3" t="s">
        <v>74</v>
      </c>
      <c r="AU314" s="3">
        <v>2017</v>
      </c>
      <c r="AV314" s="3" t="s">
        <v>74</v>
      </c>
      <c r="AW314" s="3" t="s">
        <v>74</v>
      </c>
      <c r="AX314" s="3" t="s">
        <v>74</v>
      </c>
      <c r="AY314" s="3" t="s">
        <v>74</v>
      </c>
      <c r="AZ314" s="3" t="s">
        <v>74</v>
      </c>
      <c r="BA314" s="3" t="s">
        <v>74</v>
      </c>
      <c r="BB314" s="3">
        <v>271</v>
      </c>
      <c r="BC314" s="3">
        <v>275</v>
      </c>
      <c r="BD314" s="3" t="s">
        <v>74</v>
      </c>
      <c r="BE314" s="3" t="s">
        <v>74</v>
      </c>
      <c r="BF314" s="3" t="s">
        <v>74</v>
      </c>
      <c r="BG314" s="3" t="s">
        <v>74</v>
      </c>
      <c r="BH314" s="3" t="s">
        <v>74</v>
      </c>
      <c r="BI314" s="3">
        <v>5</v>
      </c>
      <c r="BJ314" s="3" t="s">
        <v>2355</v>
      </c>
      <c r="BK314" s="3" t="s">
        <v>208</v>
      </c>
      <c r="BL314" s="3" t="s">
        <v>131</v>
      </c>
      <c r="BM314" s="3" t="s">
        <v>6607</v>
      </c>
      <c r="BN314" s="3" t="s">
        <v>74</v>
      </c>
      <c r="BO314" s="3" t="s">
        <v>74</v>
      </c>
      <c r="BP314" s="3" t="s">
        <v>74</v>
      </c>
      <c r="BQ314" s="3" t="s">
        <v>74</v>
      </c>
      <c r="BR314" s="3" t="s">
        <v>101</v>
      </c>
      <c r="BS314" s="3" t="s">
        <v>6608</v>
      </c>
      <c r="BT314" s="3" t="str">
        <f>HYPERLINK("https%3A%2F%2Fwww.webofscience.com%2Fwos%2Fwoscc%2Ffull-record%2FWOS:000518370900045","View Full Record in Web of Science")</f>
        <v>View Full Record in Web of Science</v>
      </c>
      <c r="BU314" s="3"/>
      <c r="BV314" s="3"/>
      <c r="BW314" s="1"/>
    </row>
    <row r="315" spans="1:75" x14ac:dyDescent="0.25">
      <c r="A315" s="3" t="s">
        <v>72</v>
      </c>
      <c r="B315" s="3" t="s">
        <v>6609</v>
      </c>
      <c r="C315" s="3" t="s">
        <v>74</v>
      </c>
      <c r="D315" s="3" t="s">
        <v>74</v>
      </c>
      <c r="E315" s="3" t="s">
        <v>74</v>
      </c>
      <c r="F315" s="3" t="s">
        <v>6610</v>
      </c>
      <c r="G315" s="3" t="s">
        <v>74</v>
      </c>
      <c r="H315" s="3" t="s">
        <v>74</v>
      </c>
      <c r="I315" s="3" t="s">
        <v>6611</v>
      </c>
      <c r="J315" s="3" t="s">
        <v>6612</v>
      </c>
      <c r="K315" s="3" t="s">
        <v>74</v>
      </c>
      <c r="L315" s="3" t="s">
        <v>74</v>
      </c>
      <c r="M315" s="3" t="s">
        <v>110</v>
      </c>
      <c r="N315" s="3" t="s">
        <v>79</v>
      </c>
      <c r="O315" s="3" t="s">
        <v>74</v>
      </c>
      <c r="P315" s="3" t="s">
        <v>74</v>
      </c>
      <c r="Q315" s="3" t="s">
        <v>74</v>
      </c>
      <c r="R315" s="3" t="s">
        <v>74</v>
      </c>
      <c r="S315" s="3" t="s">
        <v>74</v>
      </c>
      <c r="T315" s="3" t="s">
        <v>6613</v>
      </c>
      <c r="U315" s="3" t="s">
        <v>6614</v>
      </c>
      <c r="V315" s="3" t="s">
        <v>6615</v>
      </c>
      <c r="W315" s="3" t="s">
        <v>6616</v>
      </c>
      <c r="X315" s="3" t="s">
        <v>6617</v>
      </c>
      <c r="Y315" s="3" t="s">
        <v>6618</v>
      </c>
      <c r="Z315" s="3" t="s">
        <v>6619</v>
      </c>
      <c r="AA315" s="3" t="s">
        <v>74</v>
      </c>
      <c r="AB315" s="3" t="s">
        <v>74</v>
      </c>
      <c r="AC315" s="3" t="s">
        <v>6620</v>
      </c>
      <c r="AD315" s="3" t="s">
        <v>6621</v>
      </c>
      <c r="AE315" s="3" t="s">
        <v>6622</v>
      </c>
      <c r="AF315" s="3" t="s">
        <v>74</v>
      </c>
      <c r="AG315" s="3">
        <v>37</v>
      </c>
      <c r="AH315" s="3">
        <v>0</v>
      </c>
      <c r="AI315" s="3">
        <v>0</v>
      </c>
      <c r="AJ315" s="3">
        <v>0</v>
      </c>
      <c r="AK315" s="3">
        <v>0</v>
      </c>
      <c r="AL315" s="3" t="s">
        <v>2788</v>
      </c>
      <c r="AM315" s="3" t="s">
        <v>2789</v>
      </c>
      <c r="AN315" s="3" t="s">
        <v>2790</v>
      </c>
      <c r="AO315" s="3" t="s">
        <v>6623</v>
      </c>
      <c r="AP315" s="3" t="s">
        <v>74</v>
      </c>
      <c r="AQ315" s="3" t="s">
        <v>74</v>
      </c>
      <c r="AR315" s="3" t="s">
        <v>6612</v>
      </c>
      <c r="AS315" s="3" t="s">
        <v>6624</v>
      </c>
      <c r="AT315" s="3" t="s">
        <v>1164</v>
      </c>
      <c r="AU315" s="3">
        <v>2025</v>
      </c>
      <c r="AV315" s="3">
        <v>15</v>
      </c>
      <c r="AW315" s="3">
        <v>4</v>
      </c>
      <c r="AX315" s="3" t="s">
        <v>74</v>
      </c>
      <c r="AY315" s="3" t="s">
        <v>74</v>
      </c>
      <c r="AZ315" s="3" t="s">
        <v>74</v>
      </c>
      <c r="BA315" s="3" t="s">
        <v>74</v>
      </c>
      <c r="BB315" s="3" t="s">
        <v>74</v>
      </c>
      <c r="BC315" s="3" t="s">
        <v>74</v>
      </c>
      <c r="BD315" s="3">
        <v>2.1582440251379092E+16</v>
      </c>
      <c r="BE315" s="3" t="s">
        <v>6625</v>
      </c>
      <c r="BF315" s="3" t="str">
        <f>HYPERLINK("http://dx.doi.org/10.1177/21582440251379091","http://dx.doi.org/10.1177/21582440251379091")</f>
        <v>http://dx.doi.org/10.1177/21582440251379091</v>
      </c>
      <c r="BG315" s="3" t="s">
        <v>74</v>
      </c>
      <c r="BH315" s="3" t="s">
        <v>74</v>
      </c>
      <c r="BI315" s="3">
        <v>17</v>
      </c>
      <c r="BJ315" s="3" t="s">
        <v>6626</v>
      </c>
      <c r="BK315" s="3" t="s">
        <v>264</v>
      </c>
      <c r="BL315" s="3" t="s">
        <v>6627</v>
      </c>
      <c r="BM315" s="3" t="s">
        <v>6628</v>
      </c>
      <c r="BN315" s="3" t="s">
        <v>74</v>
      </c>
      <c r="BO315" s="3" t="s">
        <v>100</v>
      </c>
      <c r="BP315" s="3" t="s">
        <v>74</v>
      </c>
      <c r="BQ315" s="3" t="s">
        <v>74</v>
      </c>
      <c r="BR315" s="3" t="s">
        <v>101</v>
      </c>
      <c r="BS315" s="3" t="s">
        <v>6629</v>
      </c>
      <c r="BT315" s="3" t="str">
        <f>HYPERLINK("https%3A%2F%2Fwww.webofscience.com%2Fwos%2Fwoscc%2Ffull-record%2FWOS:001615862500001","View Full Record in Web of Science")</f>
        <v>View Full Record in Web of Science</v>
      </c>
      <c r="BU315" s="3"/>
      <c r="BV315" s="3"/>
      <c r="BW315" s="1"/>
    </row>
    <row r="316" spans="1:75" x14ac:dyDescent="0.25">
      <c r="A316" s="3" t="s">
        <v>72</v>
      </c>
      <c r="B316" s="3" t="s">
        <v>6630</v>
      </c>
      <c r="C316" s="3" t="s">
        <v>74</v>
      </c>
      <c r="D316" s="3" t="s">
        <v>74</v>
      </c>
      <c r="E316" s="3" t="s">
        <v>74</v>
      </c>
      <c r="F316" s="3" t="s">
        <v>6631</v>
      </c>
      <c r="G316" s="3" t="s">
        <v>74</v>
      </c>
      <c r="H316" s="3" t="s">
        <v>74</v>
      </c>
      <c r="I316" s="3" t="s">
        <v>6632</v>
      </c>
      <c r="J316" s="3" t="s">
        <v>6633</v>
      </c>
      <c r="K316" s="3" t="s">
        <v>74</v>
      </c>
      <c r="L316" s="3" t="s">
        <v>74</v>
      </c>
      <c r="M316" s="3" t="s">
        <v>110</v>
      </c>
      <c r="N316" s="3" t="s">
        <v>79</v>
      </c>
      <c r="O316" s="3" t="s">
        <v>74</v>
      </c>
      <c r="P316" s="3" t="s">
        <v>74</v>
      </c>
      <c r="Q316" s="3" t="s">
        <v>74</v>
      </c>
      <c r="R316" s="3" t="s">
        <v>74</v>
      </c>
      <c r="S316" s="3" t="s">
        <v>74</v>
      </c>
      <c r="T316" s="3" t="s">
        <v>6634</v>
      </c>
      <c r="U316" s="3" t="s">
        <v>6635</v>
      </c>
      <c r="V316" s="3" t="s">
        <v>6636</v>
      </c>
      <c r="W316" s="3" t="s">
        <v>6637</v>
      </c>
      <c r="X316" s="3" t="s">
        <v>6638</v>
      </c>
      <c r="Y316" s="3" t="s">
        <v>6639</v>
      </c>
      <c r="Z316" s="3" t="s">
        <v>6640</v>
      </c>
      <c r="AA316" s="3" t="s">
        <v>6641</v>
      </c>
      <c r="AB316" s="3" t="s">
        <v>6642</v>
      </c>
      <c r="AC316" s="3" t="s">
        <v>74</v>
      </c>
      <c r="AD316" s="3" t="s">
        <v>74</v>
      </c>
      <c r="AE316" s="3" t="s">
        <v>74</v>
      </c>
      <c r="AF316" s="3" t="s">
        <v>74</v>
      </c>
      <c r="AG316" s="3">
        <v>23</v>
      </c>
      <c r="AH316" s="3">
        <v>8</v>
      </c>
      <c r="AI316" s="3">
        <v>8</v>
      </c>
      <c r="AJ316" s="3">
        <v>0</v>
      </c>
      <c r="AK316" s="3">
        <v>37</v>
      </c>
      <c r="AL316" s="3" t="s">
        <v>1008</v>
      </c>
      <c r="AM316" s="3" t="s">
        <v>1009</v>
      </c>
      <c r="AN316" s="3" t="s">
        <v>1010</v>
      </c>
      <c r="AO316" s="3" t="s">
        <v>6643</v>
      </c>
      <c r="AP316" s="3" t="s">
        <v>6644</v>
      </c>
      <c r="AQ316" s="3" t="s">
        <v>74</v>
      </c>
      <c r="AR316" s="3" t="s">
        <v>6645</v>
      </c>
      <c r="AS316" s="3" t="s">
        <v>6646</v>
      </c>
      <c r="AT316" s="3" t="s">
        <v>592</v>
      </c>
      <c r="AU316" s="3">
        <v>2016</v>
      </c>
      <c r="AV316" s="3">
        <v>25</v>
      </c>
      <c r="AW316" s="3">
        <v>7</v>
      </c>
      <c r="AX316" s="3" t="s">
        <v>74</v>
      </c>
      <c r="AY316" s="3" t="s">
        <v>74</v>
      </c>
      <c r="AZ316" s="3" t="s">
        <v>880</v>
      </c>
      <c r="BA316" s="3" t="s">
        <v>74</v>
      </c>
      <c r="BB316" s="3">
        <v>1065</v>
      </c>
      <c r="BC316" s="3">
        <v>1074</v>
      </c>
      <c r="BD316" s="3" t="s">
        <v>74</v>
      </c>
      <c r="BE316" s="3" t="s">
        <v>6647</v>
      </c>
      <c r="BF316" s="3" t="str">
        <f>HYPERLINK("http://dx.doi.org/10.1177/1420326X15623078","http://dx.doi.org/10.1177/1420326X15623078")</f>
        <v>http://dx.doi.org/10.1177/1420326X15623078</v>
      </c>
      <c r="BG316" s="3" t="s">
        <v>74</v>
      </c>
      <c r="BH316" s="3" t="s">
        <v>74</v>
      </c>
      <c r="BI316" s="3">
        <v>10</v>
      </c>
      <c r="BJ316" s="3" t="s">
        <v>6648</v>
      </c>
      <c r="BK316" s="3" t="s">
        <v>179</v>
      </c>
      <c r="BL316" s="3" t="s">
        <v>6649</v>
      </c>
      <c r="BM316" s="3" t="s">
        <v>6650</v>
      </c>
      <c r="BN316" s="3" t="s">
        <v>74</v>
      </c>
      <c r="BO316" s="3" t="s">
        <v>74</v>
      </c>
      <c r="BP316" s="3" t="s">
        <v>74</v>
      </c>
      <c r="BQ316" s="3" t="s">
        <v>74</v>
      </c>
      <c r="BR316" s="3" t="s">
        <v>101</v>
      </c>
      <c r="BS316" s="3" t="s">
        <v>6651</v>
      </c>
      <c r="BT316" s="3" t="str">
        <f>HYPERLINK("https%3A%2F%2Fwww.webofscience.com%2Fwos%2Fwoscc%2Ffull-record%2FWOS:000387364100006","View Full Record in Web of Science")</f>
        <v>View Full Record in Web of Science</v>
      </c>
      <c r="BU316" s="3"/>
      <c r="BV316" s="3"/>
      <c r="BW316" s="1"/>
    </row>
    <row r="317" spans="1:75" x14ac:dyDescent="0.25">
      <c r="A317" s="3" t="s">
        <v>72</v>
      </c>
      <c r="B317" s="3" t="s">
        <v>6652</v>
      </c>
      <c r="C317" s="3" t="s">
        <v>74</v>
      </c>
      <c r="D317" s="3" t="s">
        <v>74</v>
      </c>
      <c r="E317" s="3" t="s">
        <v>74</v>
      </c>
      <c r="F317" s="3" t="s">
        <v>6653</v>
      </c>
      <c r="G317" s="3" t="s">
        <v>74</v>
      </c>
      <c r="H317" s="3" t="s">
        <v>74</v>
      </c>
      <c r="I317" s="3" t="s">
        <v>6654</v>
      </c>
      <c r="J317" s="3" t="s">
        <v>138</v>
      </c>
      <c r="K317" s="3" t="s">
        <v>74</v>
      </c>
      <c r="L317" s="3" t="s">
        <v>74</v>
      </c>
      <c r="M317" s="3" t="s">
        <v>110</v>
      </c>
      <c r="N317" s="3" t="s">
        <v>79</v>
      </c>
      <c r="O317" s="3" t="s">
        <v>74</v>
      </c>
      <c r="P317" s="3" t="s">
        <v>74</v>
      </c>
      <c r="Q317" s="3" t="s">
        <v>74</v>
      </c>
      <c r="R317" s="3" t="s">
        <v>74</v>
      </c>
      <c r="S317" s="3" t="s">
        <v>74</v>
      </c>
      <c r="T317" s="3" t="s">
        <v>6655</v>
      </c>
      <c r="U317" s="3" t="s">
        <v>6656</v>
      </c>
      <c r="V317" s="3" t="s">
        <v>6657</v>
      </c>
      <c r="W317" s="3" t="s">
        <v>6658</v>
      </c>
      <c r="X317" s="3" t="s">
        <v>6659</v>
      </c>
      <c r="Y317" s="3" t="s">
        <v>6660</v>
      </c>
      <c r="Z317" s="3" t="s">
        <v>6661</v>
      </c>
      <c r="AA317" s="3" t="s">
        <v>6662</v>
      </c>
      <c r="AB317" s="3" t="s">
        <v>6663</v>
      </c>
      <c r="AC317" s="3" t="s">
        <v>74</v>
      </c>
      <c r="AD317" s="3" t="s">
        <v>74</v>
      </c>
      <c r="AE317" s="3" t="s">
        <v>74</v>
      </c>
      <c r="AF317" s="3" t="s">
        <v>74</v>
      </c>
      <c r="AG317" s="3">
        <v>28</v>
      </c>
      <c r="AH317" s="3">
        <v>11</v>
      </c>
      <c r="AI317" s="3">
        <v>11</v>
      </c>
      <c r="AJ317" s="3">
        <v>0</v>
      </c>
      <c r="AK317" s="3">
        <v>55</v>
      </c>
      <c r="AL317" s="3" t="s">
        <v>4186</v>
      </c>
      <c r="AM317" s="3" t="s">
        <v>146</v>
      </c>
      <c r="AN317" s="3" t="s">
        <v>279</v>
      </c>
      <c r="AO317" s="3" t="s">
        <v>148</v>
      </c>
      <c r="AP317" s="3" t="s">
        <v>74</v>
      </c>
      <c r="AQ317" s="3" t="s">
        <v>74</v>
      </c>
      <c r="AR317" s="3" t="s">
        <v>149</v>
      </c>
      <c r="AS317" s="3" t="s">
        <v>150</v>
      </c>
      <c r="AT317" s="3" t="s">
        <v>1450</v>
      </c>
      <c r="AU317" s="3">
        <v>2016</v>
      </c>
      <c r="AV317" s="3">
        <v>8</v>
      </c>
      <c r="AW317" s="3">
        <v>7</v>
      </c>
      <c r="AX317" s="3" t="s">
        <v>74</v>
      </c>
      <c r="AY317" s="3" t="s">
        <v>74</v>
      </c>
      <c r="AZ317" s="3" t="s">
        <v>74</v>
      </c>
      <c r="BA317" s="3" t="s">
        <v>74</v>
      </c>
      <c r="BB317" s="3" t="s">
        <v>74</v>
      </c>
      <c r="BC317" s="3" t="s">
        <v>74</v>
      </c>
      <c r="BD317" s="3">
        <v>610</v>
      </c>
      <c r="BE317" s="3" t="s">
        <v>6664</v>
      </c>
      <c r="BF317" s="3" t="str">
        <f>HYPERLINK("http://dx.doi.org/10.3390/su8070610","http://dx.doi.org/10.3390/su8070610")</f>
        <v>http://dx.doi.org/10.3390/su8070610</v>
      </c>
      <c r="BG317" s="3" t="s">
        <v>74</v>
      </c>
      <c r="BH317" s="3" t="s">
        <v>74</v>
      </c>
      <c r="BI317" s="3">
        <v>11</v>
      </c>
      <c r="BJ317" s="3" t="s">
        <v>153</v>
      </c>
      <c r="BK317" s="3" t="s">
        <v>154</v>
      </c>
      <c r="BL317" s="3" t="s">
        <v>155</v>
      </c>
      <c r="BM317" s="3" t="s">
        <v>6665</v>
      </c>
      <c r="BN317" s="3" t="s">
        <v>74</v>
      </c>
      <c r="BO317" s="3" t="s">
        <v>133</v>
      </c>
      <c r="BP317" s="3" t="s">
        <v>74</v>
      </c>
      <c r="BQ317" s="3" t="s">
        <v>74</v>
      </c>
      <c r="BR317" s="3" t="s">
        <v>101</v>
      </c>
      <c r="BS317" s="3" t="s">
        <v>6666</v>
      </c>
      <c r="BT317" s="3" t="str">
        <f>HYPERLINK("https%3A%2F%2Fwww.webofscience.com%2Fwos%2Fwoscc%2Ffull-record%2FWOS:000380760400021","View Full Record in Web of Science")</f>
        <v>View Full Record in Web of Science</v>
      </c>
      <c r="BU317" s="3"/>
      <c r="BV317" s="3"/>
      <c r="BW317" s="1"/>
    </row>
    <row r="318" spans="1:75" x14ac:dyDescent="0.25">
      <c r="A318" s="3" t="s">
        <v>103</v>
      </c>
      <c r="B318" s="3" t="s">
        <v>6667</v>
      </c>
      <c r="C318" s="3" t="s">
        <v>74</v>
      </c>
      <c r="D318" s="3" t="s">
        <v>5103</v>
      </c>
      <c r="E318" s="3" t="s">
        <v>74</v>
      </c>
      <c r="F318" s="3" t="s">
        <v>6668</v>
      </c>
      <c r="G318" s="3" t="s">
        <v>74</v>
      </c>
      <c r="H318" s="3" t="s">
        <v>74</v>
      </c>
      <c r="I318" s="3" t="s">
        <v>6669</v>
      </c>
      <c r="J318" s="3" t="s">
        <v>5285</v>
      </c>
      <c r="K318" s="3" t="s">
        <v>109</v>
      </c>
      <c r="L318" s="3" t="s">
        <v>74</v>
      </c>
      <c r="M318" s="3" t="s">
        <v>110</v>
      </c>
      <c r="N318" s="3" t="s">
        <v>111</v>
      </c>
      <c r="O318" s="3" t="s">
        <v>5286</v>
      </c>
      <c r="P318" s="3" t="s">
        <v>5287</v>
      </c>
      <c r="Q318" s="3" t="s">
        <v>5109</v>
      </c>
      <c r="R318" s="3" t="s">
        <v>74</v>
      </c>
      <c r="S318" s="3" t="s">
        <v>74</v>
      </c>
      <c r="T318" s="3" t="s">
        <v>6670</v>
      </c>
      <c r="U318" s="3" t="s">
        <v>6671</v>
      </c>
      <c r="V318" s="3" t="s">
        <v>6672</v>
      </c>
      <c r="W318" s="3" t="s">
        <v>6673</v>
      </c>
      <c r="X318" s="3" t="s">
        <v>6674</v>
      </c>
      <c r="Y318" s="3" t="s">
        <v>6675</v>
      </c>
      <c r="Z318" s="3" t="s">
        <v>6676</v>
      </c>
      <c r="AA318" s="3" t="s">
        <v>6677</v>
      </c>
      <c r="AB318" s="3" t="s">
        <v>6678</v>
      </c>
      <c r="AC318" s="3" t="s">
        <v>74</v>
      </c>
      <c r="AD318" s="3" t="s">
        <v>74</v>
      </c>
      <c r="AE318" s="3" t="s">
        <v>74</v>
      </c>
      <c r="AF318" s="3" t="s">
        <v>74</v>
      </c>
      <c r="AG318" s="3">
        <v>19</v>
      </c>
      <c r="AH318" s="3">
        <v>3</v>
      </c>
      <c r="AI318" s="3">
        <v>4</v>
      </c>
      <c r="AJ318" s="3">
        <v>0</v>
      </c>
      <c r="AK318" s="3">
        <v>5</v>
      </c>
      <c r="AL318" s="3" t="s">
        <v>123</v>
      </c>
      <c r="AM318" s="3" t="s">
        <v>124</v>
      </c>
      <c r="AN318" s="3" t="s">
        <v>125</v>
      </c>
      <c r="AO318" s="3" t="s">
        <v>126</v>
      </c>
      <c r="AP318" s="3" t="s">
        <v>74</v>
      </c>
      <c r="AQ318" s="3" t="s">
        <v>74</v>
      </c>
      <c r="AR318" s="3" t="s">
        <v>127</v>
      </c>
      <c r="AS318" s="3" t="s">
        <v>74</v>
      </c>
      <c r="AT318" s="3" t="s">
        <v>74</v>
      </c>
      <c r="AU318" s="3">
        <v>2016</v>
      </c>
      <c r="AV318" s="3">
        <v>16</v>
      </c>
      <c r="AW318" s="3" t="s">
        <v>74</v>
      </c>
      <c r="AX318" s="3" t="s">
        <v>74</v>
      </c>
      <c r="AY318" s="3" t="s">
        <v>74</v>
      </c>
      <c r="AZ318" s="3" t="s">
        <v>74</v>
      </c>
      <c r="BA318" s="3" t="s">
        <v>74</v>
      </c>
      <c r="BB318" s="3">
        <v>425</v>
      </c>
      <c r="BC318" s="3">
        <v>432</v>
      </c>
      <c r="BD318" s="3" t="s">
        <v>74</v>
      </c>
      <c r="BE318" s="3" t="s">
        <v>6679</v>
      </c>
      <c r="BF318" s="3" t="str">
        <f>HYPERLINK("http://dx.doi.org/10.1016/j.trpro.2016.11.040","http://dx.doi.org/10.1016/j.trpro.2016.11.040")</f>
        <v>http://dx.doi.org/10.1016/j.trpro.2016.11.040</v>
      </c>
      <c r="BG318" s="3" t="s">
        <v>74</v>
      </c>
      <c r="BH318" s="3" t="s">
        <v>74</v>
      </c>
      <c r="BI318" s="3">
        <v>8</v>
      </c>
      <c r="BJ318" s="3" t="s">
        <v>5295</v>
      </c>
      <c r="BK318" s="3" t="s">
        <v>2556</v>
      </c>
      <c r="BL318" s="3" t="s">
        <v>5296</v>
      </c>
      <c r="BM318" s="3" t="s">
        <v>5297</v>
      </c>
      <c r="BN318" s="3" t="s">
        <v>74</v>
      </c>
      <c r="BO318" s="3" t="s">
        <v>100</v>
      </c>
      <c r="BP318" s="3" t="s">
        <v>74</v>
      </c>
      <c r="BQ318" s="3" t="s">
        <v>74</v>
      </c>
      <c r="BR318" s="3" t="s">
        <v>101</v>
      </c>
      <c r="BS318" s="3" t="s">
        <v>6680</v>
      </c>
      <c r="BT318" s="3" t="str">
        <f>HYPERLINK("https%3A%2F%2Fwww.webofscience.com%2Fwos%2Fwoscc%2Ffull-record%2FWOS:000390612800039","View Full Record in Web of Science")</f>
        <v>View Full Record in Web of Science</v>
      </c>
      <c r="BU318" s="3"/>
      <c r="BV318" s="3"/>
      <c r="BW318" s="1"/>
    </row>
    <row r="319" spans="1:75" x14ac:dyDescent="0.25">
      <c r="A319" s="3" t="s">
        <v>103</v>
      </c>
      <c r="B319" s="3" t="s">
        <v>6681</v>
      </c>
      <c r="C319" s="3" t="s">
        <v>74</v>
      </c>
      <c r="D319" s="3" t="s">
        <v>74</v>
      </c>
      <c r="E319" s="3" t="s">
        <v>2584</v>
      </c>
      <c r="F319" s="3" t="s">
        <v>6682</v>
      </c>
      <c r="G319" s="3" t="s">
        <v>74</v>
      </c>
      <c r="H319" s="3" t="s">
        <v>74</v>
      </c>
      <c r="I319" s="3" t="s">
        <v>6683</v>
      </c>
      <c r="J319" s="3" t="s">
        <v>6684</v>
      </c>
      <c r="K319" s="3" t="s">
        <v>74</v>
      </c>
      <c r="L319" s="3" t="s">
        <v>74</v>
      </c>
      <c r="M319" s="3" t="s">
        <v>110</v>
      </c>
      <c r="N319" s="3" t="s">
        <v>111</v>
      </c>
      <c r="O319" s="3" t="s">
        <v>6685</v>
      </c>
      <c r="P319" s="3" t="s">
        <v>6686</v>
      </c>
      <c r="Q319" s="3" t="s">
        <v>6687</v>
      </c>
      <c r="R319" s="3" t="s">
        <v>74</v>
      </c>
      <c r="S319" s="3" t="s">
        <v>74</v>
      </c>
      <c r="T319" s="3" t="s">
        <v>6688</v>
      </c>
      <c r="U319" s="3" t="s">
        <v>74</v>
      </c>
      <c r="V319" s="3" t="s">
        <v>6689</v>
      </c>
      <c r="W319" s="3" t="s">
        <v>6690</v>
      </c>
      <c r="X319" s="3" t="s">
        <v>6691</v>
      </c>
      <c r="Y319" s="3" t="s">
        <v>6692</v>
      </c>
      <c r="Z319" s="3" t="s">
        <v>74</v>
      </c>
      <c r="AA319" s="3" t="s">
        <v>74</v>
      </c>
      <c r="AB319" s="3" t="s">
        <v>74</v>
      </c>
      <c r="AC319" s="3" t="s">
        <v>74</v>
      </c>
      <c r="AD319" s="3" t="s">
        <v>74</v>
      </c>
      <c r="AE319" s="3" t="s">
        <v>74</v>
      </c>
      <c r="AF319" s="3" t="s">
        <v>74</v>
      </c>
      <c r="AG319" s="3">
        <v>5</v>
      </c>
      <c r="AH319" s="3">
        <v>0</v>
      </c>
      <c r="AI319" s="3">
        <v>3</v>
      </c>
      <c r="AJ319" s="3">
        <v>0</v>
      </c>
      <c r="AK319" s="3">
        <v>4</v>
      </c>
      <c r="AL319" s="3" t="s">
        <v>2596</v>
      </c>
      <c r="AM319" s="3" t="s">
        <v>2597</v>
      </c>
      <c r="AN319" s="3" t="s">
        <v>2598</v>
      </c>
      <c r="AO319" s="3" t="s">
        <v>74</v>
      </c>
      <c r="AP319" s="3" t="s">
        <v>74</v>
      </c>
      <c r="AQ319" s="3" t="s">
        <v>6693</v>
      </c>
      <c r="AR319" s="3" t="s">
        <v>74</v>
      </c>
      <c r="AS319" s="3" t="s">
        <v>74</v>
      </c>
      <c r="AT319" s="3" t="s">
        <v>74</v>
      </c>
      <c r="AU319" s="3">
        <v>2015</v>
      </c>
      <c r="AV319" s="3" t="s">
        <v>74</v>
      </c>
      <c r="AW319" s="3" t="s">
        <v>74</v>
      </c>
      <c r="AX319" s="3" t="s">
        <v>74</v>
      </c>
      <c r="AY319" s="3" t="s">
        <v>74</v>
      </c>
      <c r="AZ319" s="3" t="s">
        <v>74</v>
      </c>
      <c r="BA319" s="3" t="s">
        <v>74</v>
      </c>
      <c r="BB319" s="3">
        <v>50</v>
      </c>
      <c r="BC319" s="3">
        <v>57</v>
      </c>
      <c r="BD319" s="3" t="s">
        <v>74</v>
      </c>
      <c r="BE319" s="3" t="s">
        <v>74</v>
      </c>
      <c r="BF319" s="3" t="s">
        <v>74</v>
      </c>
      <c r="BG319" s="3" t="s">
        <v>74</v>
      </c>
      <c r="BH319" s="3" t="s">
        <v>74</v>
      </c>
      <c r="BI319" s="3">
        <v>8</v>
      </c>
      <c r="BJ319" s="3" t="s">
        <v>6694</v>
      </c>
      <c r="BK319" s="3" t="s">
        <v>208</v>
      </c>
      <c r="BL319" s="3" t="s">
        <v>383</v>
      </c>
      <c r="BM319" s="3" t="s">
        <v>6695</v>
      </c>
      <c r="BN319" s="3" t="s">
        <v>74</v>
      </c>
      <c r="BO319" s="3" t="s">
        <v>74</v>
      </c>
      <c r="BP319" s="3" t="s">
        <v>74</v>
      </c>
      <c r="BQ319" s="3" t="s">
        <v>74</v>
      </c>
      <c r="BR319" s="3" t="s">
        <v>101</v>
      </c>
      <c r="BS319" s="3" t="s">
        <v>6696</v>
      </c>
      <c r="BT319" s="3" t="str">
        <f>HYPERLINK("https%3A%2F%2Fwww.webofscience.com%2Fwos%2Fwoscc%2Ffull-record%2FWOS:000361831900007","View Full Record in Web of Science")</f>
        <v>View Full Record in Web of Science</v>
      </c>
      <c r="BU319" s="3"/>
      <c r="BV319" s="3"/>
      <c r="BW319" s="1"/>
    </row>
    <row r="320" spans="1:75" x14ac:dyDescent="0.25">
      <c r="A320" s="3" t="s">
        <v>103</v>
      </c>
      <c r="B320" s="3" t="s">
        <v>6697</v>
      </c>
      <c r="C320" s="3" t="s">
        <v>74</v>
      </c>
      <c r="D320" s="3" t="s">
        <v>6698</v>
      </c>
      <c r="E320" s="3" t="s">
        <v>74</v>
      </c>
      <c r="F320" s="3" t="s">
        <v>6699</v>
      </c>
      <c r="G320" s="3" t="s">
        <v>74</v>
      </c>
      <c r="H320" s="3" t="s">
        <v>74</v>
      </c>
      <c r="I320" s="3" t="s">
        <v>6700</v>
      </c>
      <c r="J320" s="3" t="s">
        <v>6701</v>
      </c>
      <c r="K320" s="3" t="s">
        <v>4887</v>
      </c>
      <c r="L320" s="3" t="s">
        <v>74</v>
      </c>
      <c r="M320" s="3" t="s">
        <v>110</v>
      </c>
      <c r="N320" s="3" t="s">
        <v>111</v>
      </c>
      <c r="O320" s="3" t="s">
        <v>6702</v>
      </c>
      <c r="P320" s="3" t="s">
        <v>6703</v>
      </c>
      <c r="Q320" s="3" t="s">
        <v>5109</v>
      </c>
      <c r="R320" s="3" t="s">
        <v>74</v>
      </c>
      <c r="S320" s="3" t="s">
        <v>74</v>
      </c>
      <c r="T320" s="3" t="s">
        <v>6704</v>
      </c>
      <c r="U320" s="3" t="s">
        <v>74</v>
      </c>
      <c r="V320" s="3" t="s">
        <v>6705</v>
      </c>
      <c r="W320" s="3" t="s">
        <v>6706</v>
      </c>
      <c r="X320" s="3" t="s">
        <v>6707</v>
      </c>
      <c r="Y320" s="3" t="s">
        <v>6708</v>
      </c>
      <c r="Z320" s="3" t="s">
        <v>6709</v>
      </c>
      <c r="AA320" s="3" t="s">
        <v>6710</v>
      </c>
      <c r="AB320" s="3" t="s">
        <v>74</v>
      </c>
      <c r="AC320" s="3" t="s">
        <v>74</v>
      </c>
      <c r="AD320" s="3" t="s">
        <v>74</v>
      </c>
      <c r="AE320" s="3" t="s">
        <v>74</v>
      </c>
      <c r="AF320" s="3" t="s">
        <v>74</v>
      </c>
      <c r="AG320" s="3">
        <v>11</v>
      </c>
      <c r="AH320" s="3">
        <v>124</v>
      </c>
      <c r="AI320" s="3">
        <v>159</v>
      </c>
      <c r="AJ320" s="3">
        <v>0</v>
      </c>
      <c r="AK320" s="3">
        <v>68</v>
      </c>
      <c r="AL320" s="3" t="s">
        <v>123</v>
      </c>
      <c r="AM320" s="3" t="s">
        <v>124</v>
      </c>
      <c r="AN320" s="3" t="s">
        <v>125</v>
      </c>
      <c r="AO320" s="3" t="s">
        <v>4898</v>
      </c>
      <c r="AP320" s="3" t="s">
        <v>74</v>
      </c>
      <c r="AQ320" s="3" t="s">
        <v>74</v>
      </c>
      <c r="AR320" s="3" t="s">
        <v>4899</v>
      </c>
      <c r="AS320" s="3" t="s">
        <v>74</v>
      </c>
      <c r="AT320" s="3" t="s">
        <v>74</v>
      </c>
      <c r="AU320" s="3">
        <v>2014</v>
      </c>
      <c r="AV320" s="3">
        <v>151</v>
      </c>
      <c r="AW320" s="3" t="s">
        <v>74</v>
      </c>
      <c r="AX320" s="3" t="s">
        <v>74</v>
      </c>
      <c r="AY320" s="3" t="s">
        <v>74</v>
      </c>
      <c r="AZ320" s="3" t="s">
        <v>74</v>
      </c>
      <c r="BA320" s="3" t="s">
        <v>74</v>
      </c>
      <c r="BB320" s="3">
        <v>310</v>
      </c>
      <c r="BC320" s="3">
        <v>317</v>
      </c>
      <c r="BD320" s="3" t="s">
        <v>74</v>
      </c>
      <c r="BE320" s="3" t="s">
        <v>6711</v>
      </c>
      <c r="BF320" s="3" t="str">
        <f>HYPERLINK("http://dx.doi.org/10.1016/j.sbspro.2014.10.029","http://dx.doi.org/10.1016/j.sbspro.2014.10.029")</f>
        <v>http://dx.doi.org/10.1016/j.sbspro.2014.10.029</v>
      </c>
      <c r="BG320" s="3" t="s">
        <v>74</v>
      </c>
      <c r="BH320" s="3" t="s">
        <v>74</v>
      </c>
      <c r="BI320" s="3">
        <v>8</v>
      </c>
      <c r="BJ320" s="3" t="s">
        <v>6712</v>
      </c>
      <c r="BK320" s="3" t="s">
        <v>2556</v>
      </c>
      <c r="BL320" s="3" t="s">
        <v>6713</v>
      </c>
      <c r="BM320" s="3" t="s">
        <v>6714</v>
      </c>
      <c r="BN320" s="3" t="s">
        <v>74</v>
      </c>
      <c r="BO320" s="3" t="s">
        <v>100</v>
      </c>
      <c r="BP320" s="3" t="s">
        <v>74</v>
      </c>
      <c r="BQ320" s="3" t="s">
        <v>74</v>
      </c>
      <c r="BR320" s="3" t="s">
        <v>101</v>
      </c>
      <c r="BS320" s="3" t="s">
        <v>6715</v>
      </c>
      <c r="BT320" s="3" t="str">
        <f>HYPERLINK("https%3A%2F%2Fwww.webofscience.com%2Fwos%2Fwoscc%2Ffull-record%2FWOS:000358695600027","View Full Record in Web of Science")</f>
        <v>View Full Record in Web of Science</v>
      </c>
      <c r="BU320" s="3"/>
      <c r="BV320" s="3"/>
      <c r="BW320" s="1"/>
    </row>
    <row r="321" spans="1:75" x14ac:dyDescent="0.25">
      <c r="A321" s="3" t="s">
        <v>103</v>
      </c>
      <c r="B321" s="3" t="s">
        <v>6716</v>
      </c>
      <c r="C321" s="3" t="s">
        <v>74</v>
      </c>
      <c r="D321" s="3" t="s">
        <v>6717</v>
      </c>
      <c r="E321" s="3" t="s">
        <v>74</v>
      </c>
      <c r="F321" s="3" t="s">
        <v>6718</v>
      </c>
      <c r="G321" s="3" t="s">
        <v>74</v>
      </c>
      <c r="H321" s="3" t="s">
        <v>74</v>
      </c>
      <c r="I321" s="3" t="s">
        <v>6719</v>
      </c>
      <c r="J321" s="3" t="s">
        <v>6720</v>
      </c>
      <c r="K321" s="3" t="s">
        <v>6721</v>
      </c>
      <c r="L321" s="3" t="s">
        <v>74</v>
      </c>
      <c r="M321" s="3" t="s">
        <v>110</v>
      </c>
      <c r="N321" s="3" t="s">
        <v>111</v>
      </c>
      <c r="O321" s="3" t="s">
        <v>6722</v>
      </c>
      <c r="P321" s="3" t="s">
        <v>6723</v>
      </c>
      <c r="Q321" s="3" t="s">
        <v>6724</v>
      </c>
      <c r="R321" s="3" t="s">
        <v>74</v>
      </c>
      <c r="S321" s="3" t="s">
        <v>74</v>
      </c>
      <c r="T321" s="3" t="s">
        <v>6725</v>
      </c>
      <c r="U321" s="3" t="s">
        <v>6726</v>
      </c>
      <c r="V321" s="3" t="s">
        <v>6727</v>
      </c>
      <c r="W321" s="3" t="s">
        <v>6728</v>
      </c>
      <c r="X321" s="3" t="s">
        <v>6729</v>
      </c>
      <c r="Y321" s="3" t="s">
        <v>6730</v>
      </c>
      <c r="Z321" s="3" t="s">
        <v>6731</v>
      </c>
      <c r="AA321" s="3" t="s">
        <v>74</v>
      </c>
      <c r="AB321" s="3" t="s">
        <v>74</v>
      </c>
      <c r="AC321" s="3" t="s">
        <v>74</v>
      </c>
      <c r="AD321" s="3" t="s">
        <v>74</v>
      </c>
      <c r="AE321" s="3" t="s">
        <v>74</v>
      </c>
      <c r="AF321" s="3" t="s">
        <v>74</v>
      </c>
      <c r="AG321" s="3">
        <v>7</v>
      </c>
      <c r="AH321" s="3">
        <v>2</v>
      </c>
      <c r="AI321" s="3">
        <v>3</v>
      </c>
      <c r="AJ321" s="3">
        <v>1</v>
      </c>
      <c r="AK321" s="3">
        <v>9</v>
      </c>
      <c r="AL321" s="3" t="s">
        <v>6732</v>
      </c>
      <c r="AM321" s="3" t="s">
        <v>6733</v>
      </c>
      <c r="AN321" s="3" t="s">
        <v>6734</v>
      </c>
      <c r="AO321" s="3" t="s">
        <v>6735</v>
      </c>
      <c r="AP321" s="3" t="s">
        <v>74</v>
      </c>
      <c r="AQ321" s="3" t="s">
        <v>6736</v>
      </c>
      <c r="AR321" s="3" t="s">
        <v>6737</v>
      </c>
      <c r="AS321" s="3" t="s">
        <v>74</v>
      </c>
      <c r="AT321" s="3" t="s">
        <v>74</v>
      </c>
      <c r="AU321" s="3">
        <v>2013</v>
      </c>
      <c r="AV321" s="3" t="s">
        <v>6738</v>
      </c>
      <c r="AW321" s="3" t="s">
        <v>74</v>
      </c>
      <c r="AX321" s="3" t="s">
        <v>74</v>
      </c>
      <c r="AY321" s="3" t="s">
        <v>74</v>
      </c>
      <c r="AZ321" s="3" t="s">
        <v>74</v>
      </c>
      <c r="BA321" s="3" t="s">
        <v>74</v>
      </c>
      <c r="BB321" s="3">
        <v>3065</v>
      </c>
      <c r="BC321" s="3" t="s">
        <v>6739</v>
      </c>
      <c r="BD321" s="3" t="s">
        <v>74</v>
      </c>
      <c r="BE321" s="3" t="s">
        <v>6740</v>
      </c>
      <c r="BF321" s="3" t="str">
        <f>HYPERLINK("http://dx.doi.org/10.4028/www.scientific.net/AMM.321-324.3065","http://dx.doi.org/10.4028/www.scientific.net/AMM.321-324.3065")</f>
        <v>http://dx.doi.org/10.4028/www.scientific.net/AMM.321-324.3065</v>
      </c>
      <c r="BG321" s="3" t="s">
        <v>74</v>
      </c>
      <c r="BH321" s="3" t="s">
        <v>74</v>
      </c>
      <c r="BI321" s="3">
        <v>2</v>
      </c>
      <c r="BJ321" s="3" t="s">
        <v>6741</v>
      </c>
      <c r="BK321" s="3" t="s">
        <v>208</v>
      </c>
      <c r="BL321" s="3" t="s">
        <v>6742</v>
      </c>
      <c r="BM321" s="3" t="s">
        <v>6743</v>
      </c>
      <c r="BN321" s="3" t="s">
        <v>74</v>
      </c>
      <c r="BO321" s="3" t="s">
        <v>74</v>
      </c>
      <c r="BP321" s="3" t="s">
        <v>74</v>
      </c>
      <c r="BQ321" s="3" t="s">
        <v>74</v>
      </c>
      <c r="BR321" s="3" t="s">
        <v>101</v>
      </c>
      <c r="BS321" s="3" t="s">
        <v>6744</v>
      </c>
      <c r="BT321" s="3" t="str">
        <f>HYPERLINK("https%3A%2F%2Fwww.webofscience.com%2Fwos%2Fwoscc%2Ffull-record%2FWOS:000324348201304","View Full Record in Web of Science")</f>
        <v>View Full Record in Web of Science</v>
      </c>
      <c r="BU321" s="3"/>
      <c r="BV321" s="3"/>
      <c r="BW321" s="1"/>
    </row>
    <row r="322" spans="1:75" x14ac:dyDescent="0.25">
      <c r="A322" s="3" t="s">
        <v>103</v>
      </c>
      <c r="B322" s="3" t="s">
        <v>6745</v>
      </c>
      <c r="C322" s="3" t="s">
        <v>74</v>
      </c>
      <c r="D322" s="3" t="s">
        <v>6746</v>
      </c>
      <c r="E322" s="3" t="s">
        <v>74</v>
      </c>
      <c r="F322" s="3" t="s">
        <v>6747</v>
      </c>
      <c r="G322" s="3" t="s">
        <v>74</v>
      </c>
      <c r="H322" s="3" t="s">
        <v>74</v>
      </c>
      <c r="I322" s="3" t="s">
        <v>6748</v>
      </c>
      <c r="J322" s="3" t="s">
        <v>6749</v>
      </c>
      <c r="K322" s="3" t="s">
        <v>6721</v>
      </c>
      <c r="L322" s="3" t="s">
        <v>74</v>
      </c>
      <c r="M322" s="3" t="s">
        <v>110</v>
      </c>
      <c r="N322" s="3" t="s">
        <v>111</v>
      </c>
      <c r="O322" s="3" t="s">
        <v>6750</v>
      </c>
      <c r="P322" s="3" t="s">
        <v>6751</v>
      </c>
      <c r="Q322" s="3" t="s">
        <v>6752</v>
      </c>
      <c r="R322" s="3" t="s">
        <v>74</v>
      </c>
      <c r="S322" s="3" t="s">
        <v>74</v>
      </c>
      <c r="T322" s="3" t="s">
        <v>6753</v>
      </c>
      <c r="U322" s="3" t="s">
        <v>74</v>
      </c>
      <c r="V322" s="3" t="s">
        <v>6754</v>
      </c>
      <c r="W322" s="3" t="s">
        <v>6755</v>
      </c>
      <c r="X322" s="3" t="s">
        <v>6756</v>
      </c>
      <c r="Y322" s="3" t="s">
        <v>6757</v>
      </c>
      <c r="Z322" s="3" t="s">
        <v>6758</v>
      </c>
      <c r="AA322" s="3" t="s">
        <v>74</v>
      </c>
      <c r="AB322" s="3" t="s">
        <v>74</v>
      </c>
      <c r="AC322" s="3" t="s">
        <v>74</v>
      </c>
      <c r="AD322" s="3" t="s">
        <v>74</v>
      </c>
      <c r="AE322" s="3" t="s">
        <v>74</v>
      </c>
      <c r="AF322" s="3" t="s">
        <v>74</v>
      </c>
      <c r="AG322" s="3">
        <v>4</v>
      </c>
      <c r="AH322" s="3">
        <v>0</v>
      </c>
      <c r="AI322" s="3">
        <v>1</v>
      </c>
      <c r="AJ322" s="3">
        <v>1</v>
      </c>
      <c r="AK322" s="3">
        <v>13</v>
      </c>
      <c r="AL322" s="3" t="s">
        <v>6732</v>
      </c>
      <c r="AM322" s="3" t="s">
        <v>6733</v>
      </c>
      <c r="AN322" s="3" t="s">
        <v>6734</v>
      </c>
      <c r="AO322" s="3" t="s">
        <v>6735</v>
      </c>
      <c r="AP322" s="3" t="s">
        <v>74</v>
      </c>
      <c r="AQ322" s="3" t="s">
        <v>6759</v>
      </c>
      <c r="AR322" s="3" t="s">
        <v>6737</v>
      </c>
      <c r="AS322" s="3" t="s">
        <v>74</v>
      </c>
      <c r="AT322" s="3" t="s">
        <v>74</v>
      </c>
      <c r="AU322" s="3">
        <v>2013</v>
      </c>
      <c r="AV322" s="3" t="s">
        <v>6760</v>
      </c>
      <c r="AW322" s="3" t="s">
        <v>74</v>
      </c>
      <c r="AX322" s="3" t="s">
        <v>74</v>
      </c>
      <c r="AY322" s="3" t="s">
        <v>74</v>
      </c>
      <c r="AZ322" s="3" t="s">
        <v>74</v>
      </c>
      <c r="BA322" s="3" t="s">
        <v>74</v>
      </c>
      <c r="BB322" s="3">
        <v>2688</v>
      </c>
      <c r="BC322" s="3" t="s">
        <v>6739</v>
      </c>
      <c r="BD322" s="3" t="s">
        <v>74</v>
      </c>
      <c r="BE322" s="3" t="s">
        <v>6761</v>
      </c>
      <c r="BF322" s="3" t="str">
        <f>HYPERLINK("http://dx.doi.org/10.4028/www.scientific.net/AMM.357-360.2688","http://dx.doi.org/10.4028/www.scientific.net/AMM.357-360.2688")</f>
        <v>http://dx.doi.org/10.4028/www.scientific.net/AMM.357-360.2688</v>
      </c>
      <c r="BG322" s="3" t="s">
        <v>74</v>
      </c>
      <c r="BH322" s="3" t="s">
        <v>74</v>
      </c>
      <c r="BI322" s="3">
        <v>2</v>
      </c>
      <c r="BJ322" s="3" t="s">
        <v>1777</v>
      </c>
      <c r="BK322" s="3" t="s">
        <v>208</v>
      </c>
      <c r="BL322" s="3" t="s">
        <v>994</v>
      </c>
      <c r="BM322" s="3" t="s">
        <v>6762</v>
      </c>
      <c r="BN322" s="3" t="s">
        <v>74</v>
      </c>
      <c r="BO322" s="3" t="s">
        <v>74</v>
      </c>
      <c r="BP322" s="3" t="s">
        <v>74</v>
      </c>
      <c r="BQ322" s="3" t="s">
        <v>74</v>
      </c>
      <c r="BR322" s="3" t="s">
        <v>101</v>
      </c>
      <c r="BS322" s="3" t="s">
        <v>6763</v>
      </c>
      <c r="BT322" s="3" t="str">
        <f>HYPERLINK("https%3A%2F%2Fwww.webofscience.com%2Fwos%2Fwoscc%2Ffull-record%2FWOS:000329679801242","View Full Record in Web of Science")</f>
        <v>View Full Record in Web of Science</v>
      </c>
      <c r="BU322" s="3"/>
      <c r="BV322" s="3"/>
      <c r="BW322" s="1"/>
    </row>
    <row r="323" spans="1:75" x14ac:dyDescent="0.25">
      <c r="A323" s="3" t="s">
        <v>103</v>
      </c>
      <c r="B323" s="3" t="s">
        <v>6764</v>
      </c>
      <c r="C323" s="3" t="s">
        <v>74</v>
      </c>
      <c r="D323" s="3" t="s">
        <v>6765</v>
      </c>
      <c r="E323" s="3" t="s">
        <v>74</v>
      </c>
      <c r="F323" s="3" t="s">
        <v>6766</v>
      </c>
      <c r="G323" s="3" t="s">
        <v>74</v>
      </c>
      <c r="H323" s="3" t="s">
        <v>74</v>
      </c>
      <c r="I323" s="3" t="s">
        <v>6767</v>
      </c>
      <c r="J323" s="3" t="s">
        <v>6768</v>
      </c>
      <c r="K323" s="3" t="s">
        <v>4887</v>
      </c>
      <c r="L323" s="3" t="s">
        <v>74</v>
      </c>
      <c r="M323" s="3" t="s">
        <v>110</v>
      </c>
      <c r="N323" s="3" t="s">
        <v>111</v>
      </c>
      <c r="O323" s="3" t="s">
        <v>6769</v>
      </c>
      <c r="P323" s="3" t="s">
        <v>6770</v>
      </c>
      <c r="Q323" s="3" t="s">
        <v>6771</v>
      </c>
      <c r="R323" s="3" t="s">
        <v>74</v>
      </c>
      <c r="S323" s="3" t="s">
        <v>74</v>
      </c>
      <c r="T323" s="3" t="s">
        <v>6772</v>
      </c>
      <c r="U323" s="3" t="s">
        <v>74</v>
      </c>
      <c r="V323" s="3" t="s">
        <v>6773</v>
      </c>
      <c r="W323" s="3" t="s">
        <v>6774</v>
      </c>
      <c r="X323" s="3" t="s">
        <v>6775</v>
      </c>
      <c r="Y323" s="3" t="s">
        <v>6776</v>
      </c>
      <c r="Z323" s="3" t="s">
        <v>74</v>
      </c>
      <c r="AA323" s="3" t="s">
        <v>74</v>
      </c>
      <c r="AB323" s="3" t="s">
        <v>74</v>
      </c>
      <c r="AC323" s="3" t="s">
        <v>74</v>
      </c>
      <c r="AD323" s="3" t="s">
        <v>74</v>
      </c>
      <c r="AE323" s="3" t="s">
        <v>74</v>
      </c>
      <c r="AF323" s="3" t="s">
        <v>74</v>
      </c>
      <c r="AG323" s="3">
        <v>11</v>
      </c>
      <c r="AH323" s="3">
        <v>15</v>
      </c>
      <c r="AI323" s="3">
        <v>21</v>
      </c>
      <c r="AJ323" s="3">
        <v>1</v>
      </c>
      <c r="AK323" s="3">
        <v>69</v>
      </c>
      <c r="AL323" s="3" t="s">
        <v>123</v>
      </c>
      <c r="AM323" s="3" t="s">
        <v>124</v>
      </c>
      <c r="AN323" s="3" t="s">
        <v>125</v>
      </c>
      <c r="AO323" s="3" t="s">
        <v>4898</v>
      </c>
      <c r="AP323" s="3" t="s">
        <v>74</v>
      </c>
      <c r="AQ323" s="3" t="s">
        <v>74</v>
      </c>
      <c r="AR323" s="3" t="s">
        <v>4899</v>
      </c>
      <c r="AS323" s="3" t="s">
        <v>74</v>
      </c>
      <c r="AT323" s="3" t="s">
        <v>74</v>
      </c>
      <c r="AU323" s="3">
        <v>2010</v>
      </c>
      <c r="AV323" s="3">
        <v>2</v>
      </c>
      <c r="AW323" s="3">
        <v>3</v>
      </c>
      <c r="AX323" s="3" t="s">
        <v>74</v>
      </c>
      <c r="AY323" s="3" t="s">
        <v>74</v>
      </c>
      <c r="AZ323" s="3" t="s">
        <v>74</v>
      </c>
      <c r="BA323" s="3" t="s">
        <v>74</v>
      </c>
      <c r="BB323" s="3">
        <v>6251</v>
      </c>
      <c r="BC323" s="3">
        <v>6263</v>
      </c>
      <c r="BD323" s="3" t="s">
        <v>74</v>
      </c>
      <c r="BE323" s="3" t="s">
        <v>6777</v>
      </c>
      <c r="BF323" s="3" t="str">
        <f>HYPERLINK("http://dx.doi.org/10.1016/j.sbspro.2010.04.035","http://dx.doi.org/10.1016/j.sbspro.2010.04.035")</f>
        <v>http://dx.doi.org/10.1016/j.sbspro.2010.04.035</v>
      </c>
      <c r="BG323" s="3" t="s">
        <v>74</v>
      </c>
      <c r="BH323" s="3" t="s">
        <v>74</v>
      </c>
      <c r="BI323" s="3">
        <v>13</v>
      </c>
      <c r="BJ323" s="3" t="s">
        <v>2648</v>
      </c>
      <c r="BK323" s="3" t="s">
        <v>130</v>
      </c>
      <c r="BL323" s="3" t="s">
        <v>2649</v>
      </c>
      <c r="BM323" s="3" t="s">
        <v>6778</v>
      </c>
      <c r="BN323" s="3" t="s">
        <v>74</v>
      </c>
      <c r="BO323" s="3" t="s">
        <v>100</v>
      </c>
      <c r="BP323" s="3" t="s">
        <v>74</v>
      </c>
      <c r="BQ323" s="3" t="s">
        <v>74</v>
      </c>
      <c r="BR323" s="3" t="s">
        <v>101</v>
      </c>
      <c r="BS323" s="3" t="s">
        <v>6779</v>
      </c>
      <c r="BT323" s="3" t="str">
        <f>HYPERLINK("https%3A%2F%2Fwww.webofscience.com%2Fwos%2Fwoscc%2Ffull-record%2FWOS:000282017300031","View Full Record in Web of Science")</f>
        <v>View Full Record in Web of Science</v>
      </c>
      <c r="BU323" s="3"/>
      <c r="BV323" s="3"/>
      <c r="BW323" s="1"/>
    </row>
    <row r="324" spans="1:75" x14ac:dyDescent="0.25">
      <c r="A324" s="3" t="s">
        <v>72</v>
      </c>
      <c r="B324" s="3" t="s">
        <v>6780</v>
      </c>
      <c r="C324" s="3" t="s">
        <v>74</v>
      </c>
      <c r="D324" s="3" t="s">
        <v>74</v>
      </c>
      <c r="E324" s="3" t="s">
        <v>74</v>
      </c>
      <c r="F324" s="3" t="s">
        <v>6781</v>
      </c>
      <c r="G324" s="3" t="s">
        <v>74</v>
      </c>
      <c r="H324" s="3" t="s">
        <v>74</v>
      </c>
      <c r="I324" s="3" t="s">
        <v>6782</v>
      </c>
      <c r="J324" s="3" t="s">
        <v>661</v>
      </c>
      <c r="K324" s="3" t="s">
        <v>74</v>
      </c>
      <c r="L324" s="3" t="s">
        <v>74</v>
      </c>
      <c r="M324" s="3" t="s">
        <v>110</v>
      </c>
      <c r="N324" s="3" t="s">
        <v>79</v>
      </c>
      <c r="O324" s="3" t="s">
        <v>74</v>
      </c>
      <c r="P324" s="3" t="s">
        <v>74</v>
      </c>
      <c r="Q324" s="3" t="s">
        <v>74</v>
      </c>
      <c r="R324" s="3" t="s">
        <v>74</v>
      </c>
      <c r="S324" s="3" t="s">
        <v>74</v>
      </c>
      <c r="T324" s="3" t="s">
        <v>6783</v>
      </c>
      <c r="U324" s="3" t="s">
        <v>6784</v>
      </c>
      <c r="V324" s="3" t="s">
        <v>6785</v>
      </c>
      <c r="W324" s="3" t="s">
        <v>6786</v>
      </c>
      <c r="X324" s="3" t="s">
        <v>6787</v>
      </c>
      <c r="Y324" s="3" t="s">
        <v>6788</v>
      </c>
      <c r="Z324" s="3" t="s">
        <v>6789</v>
      </c>
      <c r="AA324" s="3" t="s">
        <v>6790</v>
      </c>
      <c r="AB324" s="3" t="s">
        <v>6791</v>
      </c>
      <c r="AC324" s="3" t="s">
        <v>6792</v>
      </c>
      <c r="AD324" s="3" t="s">
        <v>6793</v>
      </c>
      <c r="AE324" s="3" t="s">
        <v>6794</v>
      </c>
      <c r="AF324" s="3" t="s">
        <v>74</v>
      </c>
      <c r="AG324" s="3">
        <v>77</v>
      </c>
      <c r="AH324" s="3">
        <v>16</v>
      </c>
      <c r="AI324" s="3">
        <v>17</v>
      </c>
      <c r="AJ324" s="3">
        <v>11</v>
      </c>
      <c r="AK324" s="3">
        <v>28</v>
      </c>
      <c r="AL324" s="3" t="s">
        <v>671</v>
      </c>
      <c r="AM324" s="3" t="s">
        <v>124</v>
      </c>
      <c r="AN324" s="3" t="s">
        <v>672</v>
      </c>
      <c r="AO324" s="3" t="s">
        <v>673</v>
      </c>
      <c r="AP324" s="3" t="s">
        <v>674</v>
      </c>
      <c r="AQ324" s="3" t="s">
        <v>74</v>
      </c>
      <c r="AR324" s="3" t="s">
        <v>675</v>
      </c>
      <c r="AS324" s="3" t="s">
        <v>676</v>
      </c>
      <c r="AT324" s="3" t="s">
        <v>6795</v>
      </c>
      <c r="AU324" s="3">
        <v>2024</v>
      </c>
      <c r="AV324" s="3">
        <v>108</v>
      </c>
      <c r="AW324" s="3" t="s">
        <v>74</v>
      </c>
      <c r="AX324" s="3" t="s">
        <v>74</v>
      </c>
      <c r="AY324" s="3" t="s">
        <v>74</v>
      </c>
      <c r="AZ324" s="3" t="s">
        <v>74</v>
      </c>
      <c r="BA324" s="3" t="s">
        <v>74</v>
      </c>
      <c r="BB324" s="3" t="s">
        <v>74</v>
      </c>
      <c r="BC324" s="3" t="s">
        <v>74</v>
      </c>
      <c r="BD324" s="3">
        <v>105477</v>
      </c>
      <c r="BE324" s="3" t="s">
        <v>6796</v>
      </c>
      <c r="BF324" s="3" t="str">
        <f>HYPERLINK("http://dx.doi.org/10.1016/j.scs.2024.105477","http://dx.doi.org/10.1016/j.scs.2024.105477")</f>
        <v>http://dx.doi.org/10.1016/j.scs.2024.105477</v>
      </c>
      <c r="BG324" s="3" t="s">
        <v>74</v>
      </c>
      <c r="BH324" s="3" t="s">
        <v>2748</v>
      </c>
      <c r="BI324" s="3">
        <v>18</v>
      </c>
      <c r="BJ324" s="3" t="s">
        <v>680</v>
      </c>
      <c r="BK324" s="3" t="s">
        <v>179</v>
      </c>
      <c r="BL324" s="3" t="s">
        <v>681</v>
      </c>
      <c r="BM324" s="3" t="s">
        <v>6797</v>
      </c>
      <c r="BN324" s="3" t="s">
        <v>74</v>
      </c>
      <c r="BO324" s="3" t="s">
        <v>884</v>
      </c>
      <c r="BP324" s="3" t="s">
        <v>74</v>
      </c>
      <c r="BQ324" s="3" t="s">
        <v>74</v>
      </c>
      <c r="BR324" s="3" t="s">
        <v>101</v>
      </c>
      <c r="BS324" s="3" t="s">
        <v>6798</v>
      </c>
      <c r="BT324" s="3" t="str">
        <f>HYPERLINK("https%3A%2F%2Fwww.webofscience.com%2Fwos%2Fwoscc%2Ffull-record%2FWOS:001261975600001","View Full Record in Web of Science")</f>
        <v>View Full Record in Web of Science</v>
      </c>
      <c r="BU324" s="3"/>
      <c r="BV324" s="3"/>
      <c r="BW324" s="1"/>
    </row>
    <row r="325" spans="1:75" x14ac:dyDescent="0.25">
      <c r="A325" s="3" t="s">
        <v>103</v>
      </c>
      <c r="B325" s="3" t="s">
        <v>6799</v>
      </c>
      <c r="C325" s="3" t="s">
        <v>74</v>
      </c>
      <c r="D325" s="3" t="s">
        <v>6800</v>
      </c>
      <c r="E325" s="3" t="s">
        <v>74</v>
      </c>
      <c r="F325" s="3" t="s">
        <v>6801</v>
      </c>
      <c r="G325" s="3" t="s">
        <v>74</v>
      </c>
      <c r="H325" s="3" t="s">
        <v>74</v>
      </c>
      <c r="I325" s="3" t="s">
        <v>6802</v>
      </c>
      <c r="J325" s="3" t="s">
        <v>6803</v>
      </c>
      <c r="K325" s="3" t="s">
        <v>74</v>
      </c>
      <c r="L325" s="3" t="s">
        <v>74</v>
      </c>
      <c r="M325" s="3" t="s">
        <v>110</v>
      </c>
      <c r="N325" s="3" t="s">
        <v>111</v>
      </c>
      <c r="O325" s="3" t="s">
        <v>6804</v>
      </c>
      <c r="P325" s="3" t="s">
        <v>6805</v>
      </c>
      <c r="Q325" s="3" t="s">
        <v>6806</v>
      </c>
      <c r="R325" s="3" t="s">
        <v>74</v>
      </c>
      <c r="S325" s="3" t="s">
        <v>74</v>
      </c>
      <c r="T325" s="3" t="s">
        <v>6807</v>
      </c>
      <c r="U325" s="3" t="s">
        <v>74</v>
      </c>
      <c r="V325" s="3" t="s">
        <v>6808</v>
      </c>
      <c r="W325" s="3" t="s">
        <v>6809</v>
      </c>
      <c r="X325" s="3" t="s">
        <v>5332</v>
      </c>
      <c r="Y325" s="3" t="s">
        <v>74</v>
      </c>
      <c r="Z325" s="3" t="s">
        <v>6810</v>
      </c>
      <c r="AA325" s="3" t="s">
        <v>5334</v>
      </c>
      <c r="AB325" s="3" t="s">
        <v>74</v>
      </c>
      <c r="AC325" s="3" t="s">
        <v>74</v>
      </c>
      <c r="AD325" s="3" t="s">
        <v>74</v>
      </c>
      <c r="AE325" s="3" t="s">
        <v>74</v>
      </c>
      <c r="AF325" s="3" t="s">
        <v>74</v>
      </c>
      <c r="AG325" s="3">
        <v>10</v>
      </c>
      <c r="AH325" s="3">
        <v>2</v>
      </c>
      <c r="AI325" s="3">
        <v>2</v>
      </c>
      <c r="AJ325" s="3">
        <v>1</v>
      </c>
      <c r="AK325" s="3">
        <v>6</v>
      </c>
      <c r="AL325" s="3" t="s">
        <v>5335</v>
      </c>
      <c r="AM325" s="3" t="s">
        <v>5336</v>
      </c>
      <c r="AN325" s="3" t="s">
        <v>5337</v>
      </c>
      <c r="AO325" s="3" t="s">
        <v>74</v>
      </c>
      <c r="AP325" s="3" t="s">
        <v>74</v>
      </c>
      <c r="AQ325" s="3" t="s">
        <v>74</v>
      </c>
      <c r="AR325" s="3" t="s">
        <v>74</v>
      </c>
      <c r="AS325" s="3" t="s">
        <v>74</v>
      </c>
      <c r="AT325" s="3" t="s">
        <v>74</v>
      </c>
      <c r="AU325" s="3">
        <v>2010</v>
      </c>
      <c r="AV325" s="3" t="s">
        <v>74</v>
      </c>
      <c r="AW325" s="3" t="s">
        <v>74</v>
      </c>
      <c r="AX325" s="3" t="s">
        <v>74</v>
      </c>
      <c r="AY325" s="3" t="s">
        <v>74</v>
      </c>
      <c r="AZ325" s="3" t="s">
        <v>74</v>
      </c>
      <c r="BA325" s="3" t="s">
        <v>74</v>
      </c>
      <c r="BB325" s="3">
        <v>320</v>
      </c>
      <c r="BC325" s="3">
        <v>327</v>
      </c>
      <c r="BD325" s="3" t="s">
        <v>74</v>
      </c>
      <c r="BE325" s="3" t="s">
        <v>74</v>
      </c>
      <c r="BF325" s="3" t="s">
        <v>74</v>
      </c>
      <c r="BG325" s="3" t="s">
        <v>74</v>
      </c>
      <c r="BH325" s="3" t="s">
        <v>74</v>
      </c>
      <c r="BI325" s="3">
        <v>8</v>
      </c>
      <c r="BJ325" s="3" t="s">
        <v>6811</v>
      </c>
      <c r="BK325" s="3" t="s">
        <v>130</v>
      </c>
      <c r="BL325" s="3" t="s">
        <v>6812</v>
      </c>
      <c r="BM325" s="3" t="s">
        <v>6813</v>
      </c>
      <c r="BN325" s="3" t="s">
        <v>74</v>
      </c>
      <c r="BO325" s="3" t="s">
        <v>74</v>
      </c>
      <c r="BP325" s="3" t="s">
        <v>74</v>
      </c>
      <c r="BQ325" s="3" t="s">
        <v>74</v>
      </c>
      <c r="BR325" s="3" t="s">
        <v>101</v>
      </c>
      <c r="BS325" s="3" t="s">
        <v>6814</v>
      </c>
      <c r="BT325" s="3" t="str">
        <f>HYPERLINK("https%3A%2F%2Fwww.webofscience.com%2Fwos%2Fwoscc%2Ffull-record%2FWOS:000288109200046","View Full Record in Web of Science")</f>
        <v>View Full Record in Web of Science</v>
      </c>
      <c r="BU325" s="3"/>
      <c r="BV325" s="3"/>
      <c r="BW325" s="1"/>
    </row>
    <row r="326" spans="1:75" x14ac:dyDescent="0.25">
      <c r="A326" s="3" t="s">
        <v>103</v>
      </c>
      <c r="B326" s="3" t="s">
        <v>6815</v>
      </c>
      <c r="C326" s="3" t="s">
        <v>74</v>
      </c>
      <c r="D326" s="3" t="s">
        <v>6816</v>
      </c>
      <c r="E326" s="3" t="s">
        <v>74</v>
      </c>
      <c r="F326" s="3" t="s">
        <v>6817</v>
      </c>
      <c r="G326" s="3" t="s">
        <v>74</v>
      </c>
      <c r="H326" s="3" t="s">
        <v>74</v>
      </c>
      <c r="I326" s="3" t="s">
        <v>6818</v>
      </c>
      <c r="J326" s="3" t="s">
        <v>6819</v>
      </c>
      <c r="K326" s="3" t="s">
        <v>74</v>
      </c>
      <c r="L326" s="3" t="s">
        <v>74</v>
      </c>
      <c r="M326" s="3" t="s">
        <v>110</v>
      </c>
      <c r="N326" s="3" t="s">
        <v>111</v>
      </c>
      <c r="O326" s="3" t="s">
        <v>6820</v>
      </c>
      <c r="P326" s="3" t="s">
        <v>6821</v>
      </c>
      <c r="Q326" s="3" t="s">
        <v>6822</v>
      </c>
      <c r="R326" s="3" t="s">
        <v>74</v>
      </c>
      <c r="S326" s="3" t="s">
        <v>6823</v>
      </c>
      <c r="T326" s="3" t="s">
        <v>6824</v>
      </c>
      <c r="U326" s="3" t="s">
        <v>74</v>
      </c>
      <c r="V326" s="3" t="s">
        <v>6825</v>
      </c>
      <c r="W326" s="3" t="s">
        <v>6826</v>
      </c>
      <c r="X326" s="3" t="s">
        <v>6827</v>
      </c>
      <c r="Y326" s="3" t="s">
        <v>74</v>
      </c>
      <c r="Z326" s="3" t="s">
        <v>6828</v>
      </c>
      <c r="AA326" s="3" t="s">
        <v>74</v>
      </c>
      <c r="AB326" s="3" t="s">
        <v>74</v>
      </c>
      <c r="AC326" s="3" t="s">
        <v>74</v>
      </c>
      <c r="AD326" s="3" t="s">
        <v>74</v>
      </c>
      <c r="AE326" s="3" t="s">
        <v>74</v>
      </c>
      <c r="AF326" s="3" t="s">
        <v>74</v>
      </c>
      <c r="AG326" s="3">
        <v>8</v>
      </c>
      <c r="AH326" s="3">
        <v>1</v>
      </c>
      <c r="AI326" s="3">
        <v>1</v>
      </c>
      <c r="AJ326" s="3">
        <v>0</v>
      </c>
      <c r="AK326" s="3">
        <v>2</v>
      </c>
      <c r="AL326" s="3" t="s">
        <v>6829</v>
      </c>
      <c r="AM326" s="3" t="s">
        <v>6830</v>
      </c>
      <c r="AN326" s="3" t="s">
        <v>6831</v>
      </c>
      <c r="AO326" s="3" t="s">
        <v>74</v>
      </c>
      <c r="AP326" s="3" t="s">
        <v>74</v>
      </c>
      <c r="AQ326" s="3" t="s">
        <v>6832</v>
      </c>
      <c r="AR326" s="3" t="s">
        <v>74</v>
      </c>
      <c r="AS326" s="3" t="s">
        <v>74</v>
      </c>
      <c r="AT326" s="3" t="s">
        <v>74</v>
      </c>
      <c r="AU326" s="3">
        <v>2010</v>
      </c>
      <c r="AV326" s="3" t="s">
        <v>74</v>
      </c>
      <c r="AW326" s="3" t="s">
        <v>74</v>
      </c>
      <c r="AX326" s="3" t="s">
        <v>74</v>
      </c>
      <c r="AY326" s="3" t="s">
        <v>74</v>
      </c>
      <c r="AZ326" s="3" t="s">
        <v>74</v>
      </c>
      <c r="BA326" s="3" t="s">
        <v>74</v>
      </c>
      <c r="BB326" s="3">
        <v>204</v>
      </c>
      <c r="BC326" s="3">
        <v>210</v>
      </c>
      <c r="BD326" s="3" t="s">
        <v>74</v>
      </c>
      <c r="BE326" s="3" t="s">
        <v>74</v>
      </c>
      <c r="BF326" s="3" t="s">
        <v>74</v>
      </c>
      <c r="BG326" s="3" t="s">
        <v>74</v>
      </c>
      <c r="BH326" s="3" t="s">
        <v>74</v>
      </c>
      <c r="BI326" s="3">
        <v>7</v>
      </c>
      <c r="BJ326" s="3" t="s">
        <v>2355</v>
      </c>
      <c r="BK326" s="3" t="s">
        <v>208</v>
      </c>
      <c r="BL326" s="3" t="s">
        <v>131</v>
      </c>
      <c r="BM326" s="3" t="s">
        <v>6833</v>
      </c>
      <c r="BN326" s="3" t="s">
        <v>74</v>
      </c>
      <c r="BO326" s="3" t="s">
        <v>74</v>
      </c>
      <c r="BP326" s="3" t="s">
        <v>74</v>
      </c>
      <c r="BQ326" s="3" t="s">
        <v>74</v>
      </c>
      <c r="BR326" s="3" t="s">
        <v>101</v>
      </c>
      <c r="BS326" s="3" t="s">
        <v>6834</v>
      </c>
      <c r="BT326" s="3" t="str">
        <f>HYPERLINK("https%3A%2F%2Fwww.webofscience.com%2Fwos%2Fwoscc%2Ffull-record%2FWOS:000392683200041","View Full Record in Web of Science")</f>
        <v>View Full Record in Web of Science</v>
      </c>
      <c r="BU326" s="3"/>
      <c r="BV326" s="3"/>
      <c r="BW326" s="1"/>
    </row>
    <row r="327" spans="1:75" x14ac:dyDescent="0.25">
      <c r="A327" s="3" t="s">
        <v>72</v>
      </c>
      <c r="B327" s="3" t="s">
        <v>6780</v>
      </c>
      <c r="C327" s="3" t="s">
        <v>74</v>
      </c>
      <c r="D327" s="3" t="s">
        <v>74</v>
      </c>
      <c r="E327" s="3" t="s">
        <v>74</v>
      </c>
      <c r="F327" s="3" t="s">
        <v>6781</v>
      </c>
      <c r="G327" s="3" t="s">
        <v>74</v>
      </c>
      <c r="H327" s="3" t="s">
        <v>74</v>
      </c>
      <c r="I327" s="3" t="s">
        <v>6835</v>
      </c>
      <c r="J327" s="3" t="s">
        <v>835</v>
      </c>
      <c r="K327" s="3" t="s">
        <v>74</v>
      </c>
      <c r="L327" s="3" t="s">
        <v>74</v>
      </c>
      <c r="M327" s="3" t="s">
        <v>110</v>
      </c>
      <c r="N327" s="3" t="s">
        <v>79</v>
      </c>
      <c r="O327" s="3" t="s">
        <v>74</v>
      </c>
      <c r="P327" s="3" t="s">
        <v>74</v>
      </c>
      <c r="Q327" s="3" t="s">
        <v>74</v>
      </c>
      <c r="R327" s="3" t="s">
        <v>74</v>
      </c>
      <c r="S327" s="3" t="s">
        <v>74</v>
      </c>
      <c r="T327" s="3" t="s">
        <v>6836</v>
      </c>
      <c r="U327" s="3" t="s">
        <v>6837</v>
      </c>
      <c r="V327" s="3" t="s">
        <v>6838</v>
      </c>
      <c r="W327" s="3" t="s">
        <v>6839</v>
      </c>
      <c r="X327" s="3" t="s">
        <v>6840</v>
      </c>
      <c r="Y327" s="3" t="s">
        <v>6841</v>
      </c>
      <c r="Z327" s="3" t="s">
        <v>6842</v>
      </c>
      <c r="AA327" s="3" t="s">
        <v>6843</v>
      </c>
      <c r="AB327" s="3" t="s">
        <v>6844</v>
      </c>
      <c r="AC327" s="3" t="s">
        <v>6845</v>
      </c>
      <c r="AD327" s="3" t="s">
        <v>6846</v>
      </c>
      <c r="AE327" s="3" t="s">
        <v>6847</v>
      </c>
      <c r="AF327" s="3" t="s">
        <v>74</v>
      </c>
      <c r="AG327" s="3">
        <v>153</v>
      </c>
      <c r="AH327" s="3">
        <v>12</v>
      </c>
      <c r="AI327" s="3">
        <v>12</v>
      </c>
      <c r="AJ327" s="3">
        <v>5</v>
      </c>
      <c r="AK327" s="3">
        <v>12</v>
      </c>
      <c r="AL327" s="3" t="s">
        <v>846</v>
      </c>
      <c r="AM327" s="3" t="s">
        <v>847</v>
      </c>
      <c r="AN327" s="3" t="s">
        <v>848</v>
      </c>
      <c r="AO327" s="3" t="s">
        <v>849</v>
      </c>
      <c r="AP327" s="3" t="s">
        <v>74</v>
      </c>
      <c r="AQ327" s="3" t="s">
        <v>74</v>
      </c>
      <c r="AR327" s="3" t="s">
        <v>835</v>
      </c>
      <c r="AS327" s="3" t="s">
        <v>850</v>
      </c>
      <c r="AT327" s="3" t="s">
        <v>74</v>
      </c>
      <c r="AU327" s="3">
        <v>2024</v>
      </c>
      <c r="AV327" s="3">
        <v>12</v>
      </c>
      <c r="AW327" s="3" t="s">
        <v>74</v>
      </c>
      <c r="AX327" s="3" t="s">
        <v>74</v>
      </c>
      <c r="AY327" s="3" t="s">
        <v>74</v>
      </c>
      <c r="AZ327" s="3" t="s">
        <v>74</v>
      </c>
      <c r="BA327" s="3" t="s">
        <v>74</v>
      </c>
      <c r="BB327" s="3">
        <v>102826</v>
      </c>
      <c r="BC327" s="3">
        <v>102850</v>
      </c>
      <c r="BD327" s="3" t="s">
        <v>74</v>
      </c>
      <c r="BE327" s="3" t="s">
        <v>6848</v>
      </c>
      <c r="BF327" s="3" t="str">
        <f>HYPERLINK("http://dx.doi.org/10.1109/ACCESS.2024.3433381","http://dx.doi.org/10.1109/ACCESS.2024.3433381")</f>
        <v>http://dx.doi.org/10.1109/ACCESS.2024.3433381</v>
      </c>
      <c r="BG327" s="3" t="s">
        <v>74</v>
      </c>
      <c r="BH327" s="3" t="s">
        <v>74</v>
      </c>
      <c r="BI327" s="3">
        <v>25</v>
      </c>
      <c r="BJ327" s="3" t="s">
        <v>852</v>
      </c>
      <c r="BK327" s="3" t="s">
        <v>179</v>
      </c>
      <c r="BL327" s="3" t="s">
        <v>853</v>
      </c>
      <c r="BM327" s="3" t="s">
        <v>6849</v>
      </c>
      <c r="BN327" s="3" t="s">
        <v>74</v>
      </c>
      <c r="BO327" s="3" t="s">
        <v>100</v>
      </c>
      <c r="BP327" s="3" t="s">
        <v>74</v>
      </c>
      <c r="BQ327" s="3" t="s">
        <v>74</v>
      </c>
      <c r="BR327" s="3" t="s">
        <v>101</v>
      </c>
      <c r="BS327" s="3" t="s">
        <v>6850</v>
      </c>
      <c r="BT327" s="3" t="str">
        <f>HYPERLINK("https%3A%2F%2Fwww.webofscience.com%2Fwos%2Fwoscc%2Ffull-record%2FWOS:001283783000001","View Full Record in Web of Science")</f>
        <v>View Full Record in Web of Science</v>
      </c>
      <c r="BU327" s="3"/>
      <c r="BV327" s="3"/>
      <c r="BW327" s="1"/>
    </row>
    <row r="328" spans="1:75" x14ac:dyDescent="0.25">
      <c r="A328" s="3" t="s">
        <v>72</v>
      </c>
      <c r="B328" s="3" t="s">
        <v>6851</v>
      </c>
      <c r="C328" s="3" t="s">
        <v>74</v>
      </c>
      <c r="D328" s="3" t="s">
        <v>74</v>
      </c>
      <c r="E328" s="3" t="s">
        <v>74</v>
      </c>
      <c r="F328" s="3" t="s">
        <v>6852</v>
      </c>
      <c r="G328" s="3" t="s">
        <v>74</v>
      </c>
      <c r="H328" s="3" t="s">
        <v>74</v>
      </c>
      <c r="I328" s="3" t="s">
        <v>6853</v>
      </c>
      <c r="J328" s="3" t="s">
        <v>661</v>
      </c>
      <c r="K328" s="3" t="s">
        <v>74</v>
      </c>
      <c r="L328" s="3" t="s">
        <v>74</v>
      </c>
      <c r="M328" s="3" t="s">
        <v>110</v>
      </c>
      <c r="N328" s="3" t="s">
        <v>216</v>
      </c>
      <c r="O328" s="3" t="s">
        <v>74</v>
      </c>
      <c r="P328" s="3" t="s">
        <v>74</v>
      </c>
      <c r="Q328" s="3" t="s">
        <v>74</v>
      </c>
      <c r="R328" s="3" t="s">
        <v>74</v>
      </c>
      <c r="S328" s="3" t="s">
        <v>74</v>
      </c>
      <c r="T328" s="3" t="s">
        <v>6854</v>
      </c>
      <c r="U328" s="3" t="s">
        <v>6855</v>
      </c>
      <c r="V328" s="3" t="s">
        <v>6856</v>
      </c>
      <c r="W328" s="3" t="s">
        <v>6857</v>
      </c>
      <c r="X328" s="3" t="s">
        <v>6858</v>
      </c>
      <c r="Y328" s="3" t="s">
        <v>6859</v>
      </c>
      <c r="Z328" s="3" t="s">
        <v>6860</v>
      </c>
      <c r="AA328" s="3" t="s">
        <v>6861</v>
      </c>
      <c r="AB328" s="3" t="s">
        <v>6862</v>
      </c>
      <c r="AC328" s="3" t="s">
        <v>74</v>
      </c>
      <c r="AD328" s="3" t="s">
        <v>74</v>
      </c>
      <c r="AE328" s="3" t="s">
        <v>74</v>
      </c>
      <c r="AF328" s="3" t="s">
        <v>74</v>
      </c>
      <c r="AG328" s="3">
        <v>265</v>
      </c>
      <c r="AH328" s="3">
        <v>8</v>
      </c>
      <c r="AI328" s="3">
        <v>12</v>
      </c>
      <c r="AJ328" s="3">
        <v>23</v>
      </c>
      <c r="AK328" s="3">
        <v>40</v>
      </c>
      <c r="AL328" s="3" t="s">
        <v>671</v>
      </c>
      <c r="AM328" s="3" t="s">
        <v>124</v>
      </c>
      <c r="AN328" s="3" t="s">
        <v>672</v>
      </c>
      <c r="AO328" s="3" t="s">
        <v>673</v>
      </c>
      <c r="AP328" s="3" t="s">
        <v>674</v>
      </c>
      <c r="AQ328" s="3" t="s">
        <v>74</v>
      </c>
      <c r="AR328" s="3" t="s">
        <v>675</v>
      </c>
      <c r="AS328" s="3" t="s">
        <v>676</v>
      </c>
      <c r="AT328" s="3" t="s">
        <v>6863</v>
      </c>
      <c r="AU328" s="3">
        <v>2024</v>
      </c>
      <c r="AV328" s="3">
        <v>112</v>
      </c>
      <c r="AW328" s="3" t="s">
        <v>74</v>
      </c>
      <c r="AX328" s="3" t="s">
        <v>74</v>
      </c>
      <c r="AY328" s="3" t="s">
        <v>74</v>
      </c>
      <c r="AZ328" s="3" t="s">
        <v>74</v>
      </c>
      <c r="BA328" s="3" t="s">
        <v>74</v>
      </c>
      <c r="BB328" s="3" t="s">
        <v>74</v>
      </c>
      <c r="BC328" s="3" t="s">
        <v>74</v>
      </c>
      <c r="BD328" s="3">
        <v>105620</v>
      </c>
      <c r="BE328" s="3" t="s">
        <v>6864</v>
      </c>
      <c r="BF328" s="3" t="str">
        <f>HYPERLINK("http://dx.doi.org/10.1016/j.scs.2024.105620","http://dx.doi.org/10.1016/j.scs.2024.105620")</f>
        <v>http://dx.doi.org/10.1016/j.scs.2024.105620</v>
      </c>
      <c r="BG328" s="3" t="s">
        <v>74</v>
      </c>
      <c r="BH328" s="3" t="s">
        <v>6865</v>
      </c>
      <c r="BI328" s="3">
        <v>23</v>
      </c>
      <c r="BJ328" s="3" t="s">
        <v>680</v>
      </c>
      <c r="BK328" s="3" t="s">
        <v>179</v>
      </c>
      <c r="BL328" s="3" t="s">
        <v>681</v>
      </c>
      <c r="BM328" s="3" t="s">
        <v>6866</v>
      </c>
      <c r="BN328" s="3" t="s">
        <v>74</v>
      </c>
      <c r="BO328" s="3" t="s">
        <v>74</v>
      </c>
      <c r="BP328" s="3" t="s">
        <v>74</v>
      </c>
      <c r="BQ328" s="3" t="s">
        <v>74</v>
      </c>
      <c r="BR328" s="3" t="s">
        <v>101</v>
      </c>
      <c r="BS328" s="3" t="s">
        <v>6867</v>
      </c>
      <c r="BT328" s="3" t="str">
        <f>HYPERLINK("https%3A%2F%2Fwww.webofscience.com%2Fwos%2Fwoscc%2Ffull-record%2FWOS:001265294300001","View Full Record in Web of Science")</f>
        <v>View Full Record in Web of Science</v>
      </c>
      <c r="BU328" s="3"/>
      <c r="BV328" s="3"/>
      <c r="BW328" s="1"/>
    </row>
    <row r="329" spans="1:75" x14ac:dyDescent="0.25">
      <c r="A329" s="3" t="s">
        <v>72</v>
      </c>
      <c r="B329" s="3" t="s">
        <v>6868</v>
      </c>
      <c r="C329" s="3" t="s">
        <v>74</v>
      </c>
      <c r="D329" s="3" t="s">
        <v>74</v>
      </c>
      <c r="E329" s="3" t="s">
        <v>74</v>
      </c>
      <c r="F329" s="3" t="s">
        <v>6869</v>
      </c>
      <c r="G329" s="3" t="s">
        <v>74</v>
      </c>
      <c r="H329" s="3" t="s">
        <v>74</v>
      </c>
      <c r="I329" s="3" t="s">
        <v>6870</v>
      </c>
      <c r="J329" s="3" t="s">
        <v>835</v>
      </c>
      <c r="K329" s="3" t="s">
        <v>74</v>
      </c>
      <c r="L329" s="3" t="s">
        <v>74</v>
      </c>
      <c r="M329" s="3" t="s">
        <v>110</v>
      </c>
      <c r="N329" s="3" t="s">
        <v>79</v>
      </c>
      <c r="O329" s="3" t="s">
        <v>74</v>
      </c>
      <c r="P329" s="3" t="s">
        <v>74</v>
      </c>
      <c r="Q329" s="3" t="s">
        <v>74</v>
      </c>
      <c r="R329" s="3" t="s">
        <v>74</v>
      </c>
      <c r="S329" s="3" t="s">
        <v>74</v>
      </c>
      <c r="T329" s="3" t="s">
        <v>6871</v>
      </c>
      <c r="U329" s="3" t="s">
        <v>6872</v>
      </c>
      <c r="V329" s="3" t="s">
        <v>6873</v>
      </c>
      <c r="W329" s="3" t="s">
        <v>6874</v>
      </c>
      <c r="X329" s="3" t="s">
        <v>6875</v>
      </c>
      <c r="Y329" s="3" t="s">
        <v>6876</v>
      </c>
      <c r="Z329" s="3" t="s">
        <v>6877</v>
      </c>
      <c r="AA329" s="3" t="s">
        <v>6878</v>
      </c>
      <c r="AB329" s="3" t="s">
        <v>74</v>
      </c>
      <c r="AC329" s="3" t="s">
        <v>6879</v>
      </c>
      <c r="AD329" s="3" t="s">
        <v>6879</v>
      </c>
      <c r="AE329" s="3" t="s">
        <v>6880</v>
      </c>
      <c r="AF329" s="3" t="s">
        <v>74</v>
      </c>
      <c r="AG329" s="3">
        <v>52</v>
      </c>
      <c r="AH329" s="3">
        <v>4</v>
      </c>
      <c r="AI329" s="3">
        <v>4</v>
      </c>
      <c r="AJ329" s="3">
        <v>0</v>
      </c>
      <c r="AK329" s="3">
        <v>1</v>
      </c>
      <c r="AL329" s="3" t="s">
        <v>846</v>
      </c>
      <c r="AM329" s="3" t="s">
        <v>847</v>
      </c>
      <c r="AN329" s="3" t="s">
        <v>848</v>
      </c>
      <c r="AO329" s="3" t="s">
        <v>849</v>
      </c>
      <c r="AP329" s="3" t="s">
        <v>74</v>
      </c>
      <c r="AQ329" s="3" t="s">
        <v>74</v>
      </c>
      <c r="AR329" s="3" t="s">
        <v>835</v>
      </c>
      <c r="AS329" s="3" t="s">
        <v>850</v>
      </c>
      <c r="AT329" s="3" t="s">
        <v>74</v>
      </c>
      <c r="AU329" s="3">
        <v>2024</v>
      </c>
      <c r="AV329" s="3">
        <v>12</v>
      </c>
      <c r="AW329" s="3" t="s">
        <v>74</v>
      </c>
      <c r="AX329" s="3" t="s">
        <v>74</v>
      </c>
      <c r="AY329" s="3" t="s">
        <v>74</v>
      </c>
      <c r="AZ329" s="3" t="s">
        <v>74</v>
      </c>
      <c r="BA329" s="3" t="s">
        <v>74</v>
      </c>
      <c r="BB329" s="3">
        <v>105080</v>
      </c>
      <c r="BC329" s="3">
        <v>105095</v>
      </c>
      <c r="BD329" s="3" t="s">
        <v>74</v>
      </c>
      <c r="BE329" s="3" t="s">
        <v>6881</v>
      </c>
      <c r="BF329" s="3" t="str">
        <f>HYPERLINK("http://dx.doi.org/10.1109/ACCESS.2024.3435705","http://dx.doi.org/10.1109/ACCESS.2024.3435705")</f>
        <v>http://dx.doi.org/10.1109/ACCESS.2024.3435705</v>
      </c>
      <c r="BG329" s="3" t="s">
        <v>74</v>
      </c>
      <c r="BH329" s="3" t="s">
        <v>74</v>
      </c>
      <c r="BI329" s="3">
        <v>16</v>
      </c>
      <c r="BJ329" s="3" t="s">
        <v>852</v>
      </c>
      <c r="BK329" s="3" t="s">
        <v>179</v>
      </c>
      <c r="BL329" s="3" t="s">
        <v>853</v>
      </c>
      <c r="BM329" s="3" t="s">
        <v>6882</v>
      </c>
      <c r="BN329" s="3" t="s">
        <v>74</v>
      </c>
      <c r="BO329" s="3" t="s">
        <v>100</v>
      </c>
      <c r="BP329" s="3" t="s">
        <v>74</v>
      </c>
      <c r="BQ329" s="3" t="s">
        <v>74</v>
      </c>
      <c r="BR329" s="3" t="s">
        <v>101</v>
      </c>
      <c r="BS329" s="3" t="s">
        <v>6883</v>
      </c>
      <c r="BT329" s="3" t="str">
        <f>HYPERLINK("https%3A%2F%2Fwww.webofscience.com%2Fwos%2Fwoscc%2Ffull-record%2FWOS:001288427400001","View Full Record in Web of Science")</f>
        <v>View Full Record in Web of Science</v>
      </c>
      <c r="BU329" s="3"/>
      <c r="BV329" s="3"/>
      <c r="BW329" s="1"/>
    </row>
    <row r="330" spans="1:75" x14ac:dyDescent="0.25">
      <c r="A330" s="3" t="s">
        <v>72</v>
      </c>
      <c r="B330" s="3" t="s">
        <v>6884</v>
      </c>
      <c r="C330" s="3" t="s">
        <v>74</v>
      </c>
      <c r="D330" s="3" t="s">
        <v>74</v>
      </c>
      <c r="E330" s="3" t="s">
        <v>74</v>
      </c>
      <c r="F330" s="3" t="s">
        <v>6885</v>
      </c>
      <c r="G330" s="3" t="s">
        <v>74</v>
      </c>
      <c r="H330" s="3" t="s">
        <v>74</v>
      </c>
      <c r="I330" s="3" t="s">
        <v>6886</v>
      </c>
      <c r="J330" s="3" t="s">
        <v>6887</v>
      </c>
      <c r="K330" s="3" t="s">
        <v>74</v>
      </c>
      <c r="L330" s="3" t="s">
        <v>74</v>
      </c>
      <c r="M330" s="3" t="s">
        <v>110</v>
      </c>
      <c r="N330" s="3" t="s">
        <v>79</v>
      </c>
      <c r="O330" s="3" t="s">
        <v>74</v>
      </c>
      <c r="P330" s="3" t="s">
        <v>74</v>
      </c>
      <c r="Q330" s="3" t="s">
        <v>74</v>
      </c>
      <c r="R330" s="3" t="s">
        <v>74</v>
      </c>
      <c r="S330" s="3" t="s">
        <v>74</v>
      </c>
      <c r="T330" s="3" t="s">
        <v>6888</v>
      </c>
      <c r="U330" s="3" t="s">
        <v>6889</v>
      </c>
      <c r="V330" s="3" t="s">
        <v>6890</v>
      </c>
      <c r="W330" s="3" t="s">
        <v>6891</v>
      </c>
      <c r="X330" s="3" t="s">
        <v>6892</v>
      </c>
      <c r="Y330" s="3" t="s">
        <v>6893</v>
      </c>
      <c r="Z330" s="3" t="s">
        <v>6894</v>
      </c>
      <c r="AA330" s="3" t="s">
        <v>6895</v>
      </c>
      <c r="AB330" s="3" t="s">
        <v>6896</v>
      </c>
      <c r="AC330" s="3" t="s">
        <v>6897</v>
      </c>
      <c r="AD330" s="3" t="s">
        <v>6897</v>
      </c>
      <c r="AE330" s="3" t="s">
        <v>6898</v>
      </c>
      <c r="AF330" s="3" t="s">
        <v>74</v>
      </c>
      <c r="AG330" s="3">
        <v>34</v>
      </c>
      <c r="AH330" s="3">
        <v>3</v>
      </c>
      <c r="AI330" s="3">
        <v>3</v>
      </c>
      <c r="AJ330" s="3">
        <v>7</v>
      </c>
      <c r="AK330" s="3">
        <v>25</v>
      </c>
      <c r="AL330" s="3" t="s">
        <v>2788</v>
      </c>
      <c r="AM330" s="3" t="s">
        <v>2789</v>
      </c>
      <c r="AN330" s="3" t="s">
        <v>2790</v>
      </c>
      <c r="AO330" s="3" t="s">
        <v>6899</v>
      </c>
      <c r="AP330" s="3" t="s">
        <v>6900</v>
      </c>
      <c r="AQ330" s="3" t="s">
        <v>74</v>
      </c>
      <c r="AR330" s="3" t="s">
        <v>6901</v>
      </c>
      <c r="AS330" s="3" t="s">
        <v>6902</v>
      </c>
      <c r="AT330" s="3" t="s">
        <v>592</v>
      </c>
      <c r="AU330" s="3">
        <v>2024</v>
      </c>
      <c r="AV330" s="3">
        <v>2678</v>
      </c>
      <c r="AW330" s="3">
        <v>11</v>
      </c>
      <c r="AX330" s="3" t="s">
        <v>74</v>
      </c>
      <c r="AY330" s="3" t="s">
        <v>74</v>
      </c>
      <c r="AZ330" s="3" t="s">
        <v>74</v>
      </c>
      <c r="BA330" s="3" t="s">
        <v>74</v>
      </c>
      <c r="BB330" s="3">
        <v>1850</v>
      </c>
      <c r="BC330" s="3">
        <v>1862</v>
      </c>
      <c r="BD330" s="3" t="s">
        <v>74</v>
      </c>
      <c r="BE330" s="3" t="s">
        <v>6903</v>
      </c>
      <c r="BF330" s="3" t="str">
        <f>HYPERLINK("http://dx.doi.org/10.1177/03611981241246270","http://dx.doi.org/10.1177/03611981241246270")</f>
        <v>http://dx.doi.org/10.1177/03611981241246270</v>
      </c>
      <c r="BG330" s="3" t="s">
        <v>74</v>
      </c>
      <c r="BH330" s="3" t="s">
        <v>2748</v>
      </c>
      <c r="BI330" s="3">
        <v>13</v>
      </c>
      <c r="BJ330" s="3" t="s">
        <v>4880</v>
      </c>
      <c r="BK330" s="3" t="s">
        <v>179</v>
      </c>
      <c r="BL330" s="3" t="s">
        <v>411</v>
      </c>
      <c r="BM330" s="3" t="s">
        <v>6904</v>
      </c>
      <c r="BN330" s="3" t="s">
        <v>74</v>
      </c>
      <c r="BO330" s="3" t="s">
        <v>884</v>
      </c>
      <c r="BP330" s="3" t="s">
        <v>74</v>
      </c>
      <c r="BQ330" s="3" t="s">
        <v>74</v>
      </c>
      <c r="BR330" s="3" t="s">
        <v>101</v>
      </c>
      <c r="BS330" s="3" t="s">
        <v>6905</v>
      </c>
      <c r="BT330" s="3" t="str">
        <f>HYPERLINK("https%3A%2F%2Fwww.webofscience.com%2Fwos%2Fwoscc%2Ffull-record%2FWOS:001229744300001","View Full Record in Web of Science")</f>
        <v>View Full Record in Web of Science</v>
      </c>
      <c r="BU330" s="3"/>
      <c r="BV330" s="3"/>
      <c r="BW330" s="1"/>
    </row>
    <row r="331" spans="1:75" x14ac:dyDescent="0.25">
      <c r="A331" s="3" t="s">
        <v>72</v>
      </c>
      <c r="B331" s="3" t="s">
        <v>6906</v>
      </c>
      <c r="C331" s="3" t="s">
        <v>74</v>
      </c>
      <c r="D331" s="3" t="s">
        <v>74</v>
      </c>
      <c r="E331" s="3" t="s">
        <v>74</v>
      </c>
      <c r="F331" s="3" t="s">
        <v>6907</v>
      </c>
      <c r="G331" s="3" t="s">
        <v>74</v>
      </c>
      <c r="H331" s="3" t="s">
        <v>74</v>
      </c>
      <c r="I331" s="3" t="s">
        <v>6908</v>
      </c>
      <c r="J331" s="3" t="s">
        <v>6909</v>
      </c>
      <c r="K331" s="3" t="s">
        <v>74</v>
      </c>
      <c r="L331" s="3" t="s">
        <v>74</v>
      </c>
      <c r="M331" s="3" t="s">
        <v>110</v>
      </c>
      <c r="N331" s="3" t="s">
        <v>79</v>
      </c>
      <c r="O331" s="3" t="s">
        <v>74</v>
      </c>
      <c r="P331" s="3" t="s">
        <v>74</v>
      </c>
      <c r="Q331" s="3" t="s">
        <v>74</v>
      </c>
      <c r="R331" s="3" t="s">
        <v>74</v>
      </c>
      <c r="S331" s="3" t="s">
        <v>74</v>
      </c>
      <c r="T331" s="3" t="s">
        <v>6910</v>
      </c>
      <c r="U331" s="3" t="s">
        <v>74</v>
      </c>
      <c r="V331" s="3" t="s">
        <v>6911</v>
      </c>
      <c r="W331" s="3" t="s">
        <v>6912</v>
      </c>
      <c r="X331" s="3" t="s">
        <v>6913</v>
      </c>
      <c r="Y331" s="3" t="s">
        <v>6914</v>
      </c>
      <c r="Z331" s="3" t="s">
        <v>6915</v>
      </c>
      <c r="AA331" s="3" t="s">
        <v>6916</v>
      </c>
      <c r="AB331" s="3" t="s">
        <v>74</v>
      </c>
      <c r="AC331" s="3" t="s">
        <v>74</v>
      </c>
      <c r="AD331" s="3" t="s">
        <v>74</v>
      </c>
      <c r="AE331" s="3" t="s">
        <v>74</v>
      </c>
      <c r="AF331" s="3" t="s">
        <v>74</v>
      </c>
      <c r="AG331" s="3">
        <v>30</v>
      </c>
      <c r="AH331" s="3">
        <v>3</v>
      </c>
      <c r="AI331" s="3">
        <v>3</v>
      </c>
      <c r="AJ331" s="3">
        <v>0</v>
      </c>
      <c r="AK331" s="3">
        <v>3</v>
      </c>
      <c r="AL331" s="3" t="s">
        <v>6917</v>
      </c>
      <c r="AM331" s="3" t="s">
        <v>6918</v>
      </c>
      <c r="AN331" s="3" t="s">
        <v>6919</v>
      </c>
      <c r="AO331" s="3" t="s">
        <v>6920</v>
      </c>
      <c r="AP331" s="3" t="s">
        <v>6921</v>
      </c>
      <c r="AQ331" s="3" t="s">
        <v>74</v>
      </c>
      <c r="AR331" s="3" t="s">
        <v>6922</v>
      </c>
      <c r="AS331" s="3" t="s">
        <v>6923</v>
      </c>
      <c r="AT331" s="3" t="s">
        <v>1450</v>
      </c>
      <c r="AU331" s="3">
        <v>2024</v>
      </c>
      <c r="AV331" s="3">
        <v>11</v>
      </c>
      <c r="AW331" s="3">
        <v>7</v>
      </c>
      <c r="AX331" s="3" t="s">
        <v>74</v>
      </c>
      <c r="AY331" s="3" t="s">
        <v>74</v>
      </c>
      <c r="AZ331" s="3" t="s">
        <v>74</v>
      </c>
      <c r="BA331" s="3" t="s">
        <v>74</v>
      </c>
      <c r="BB331" s="3">
        <v>1</v>
      </c>
      <c r="BC331" s="3">
        <v>10</v>
      </c>
      <c r="BD331" s="3" t="s">
        <v>74</v>
      </c>
      <c r="BE331" s="3" t="s">
        <v>6924</v>
      </c>
      <c r="BF331" s="3" t="str">
        <f>HYPERLINK("http://dx.doi.org/10.21833/ijaas.2024.07.001","http://dx.doi.org/10.21833/ijaas.2024.07.001")</f>
        <v>http://dx.doi.org/10.21833/ijaas.2024.07.001</v>
      </c>
      <c r="BG331" s="3" t="s">
        <v>74</v>
      </c>
      <c r="BH331" s="3" t="s">
        <v>74</v>
      </c>
      <c r="BI331" s="3">
        <v>10</v>
      </c>
      <c r="BJ331" s="3" t="s">
        <v>235</v>
      </c>
      <c r="BK331" s="3" t="s">
        <v>97</v>
      </c>
      <c r="BL331" s="3" t="s">
        <v>236</v>
      </c>
      <c r="BM331" s="3" t="s">
        <v>6925</v>
      </c>
      <c r="BN331" s="3" t="s">
        <v>74</v>
      </c>
      <c r="BO331" s="3" t="s">
        <v>100</v>
      </c>
      <c r="BP331" s="3" t="s">
        <v>74</v>
      </c>
      <c r="BQ331" s="3" t="s">
        <v>74</v>
      </c>
      <c r="BR331" s="3" t="s">
        <v>101</v>
      </c>
      <c r="BS331" s="3" t="s">
        <v>6926</v>
      </c>
      <c r="BT331" s="3" t="str">
        <f>HYPERLINK("https%3A%2F%2Fwww.webofscience.com%2Fwos%2Fwoscc%2Ffull-record%2FWOS:001309154600001","View Full Record in Web of Science")</f>
        <v>View Full Record in Web of Science</v>
      </c>
      <c r="BU331" s="3"/>
      <c r="BV331" s="3"/>
      <c r="BW331" s="1"/>
    </row>
    <row r="332" spans="1:75" x14ac:dyDescent="0.25">
      <c r="A332" s="3" t="s">
        <v>103</v>
      </c>
      <c r="B332" s="3" t="s">
        <v>5102</v>
      </c>
      <c r="C332" s="3" t="s">
        <v>74</v>
      </c>
      <c r="D332" s="3" t="s">
        <v>5103</v>
      </c>
      <c r="E332" s="3" t="s">
        <v>74</v>
      </c>
      <c r="F332" s="3" t="s">
        <v>5104</v>
      </c>
      <c r="G332" s="3" t="s">
        <v>74</v>
      </c>
      <c r="H332" s="3" t="s">
        <v>74</v>
      </c>
      <c r="I332" s="3" t="s">
        <v>6927</v>
      </c>
      <c r="J332" s="3" t="s">
        <v>5285</v>
      </c>
      <c r="K332" s="3" t="s">
        <v>109</v>
      </c>
      <c r="L332" s="3" t="s">
        <v>74</v>
      </c>
      <c r="M332" s="3" t="s">
        <v>110</v>
      </c>
      <c r="N332" s="3" t="s">
        <v>111</v>
      </c>
      <c r="O332" s="3" t="s">
        <v>5286</v>
      </c>
      <c r="P332" s="3" t="s">
        <v>5287</v>
      </c>
      <c r="Q332" s="3" t="s">
        <v>5109</v>
      </c>
      <c r="R332" s="3" t="s">
        <v>74</v>
      </c>
      <c r="S332" s="3" t="s">
        <v>74</v>
      </c>
      <c r="T332" s="3" t="s">
        <v>6928</v>
      </c>
      <c r="U332" s="3" t="s">
        <v>74</v>
      </c>
      <c r="V332" s="3" t="s">
        <v>6929</v>
      </c>
      <c r="W332" s="3" t="s">
        <v>6930</v>
      </c>
      <c r="X332" s="3" t="s">
        <v>5113</v>
      </c>
      <c r="Y332" s="3" t="s">
        <v>6931</v>
      </c>
      <c r="Z332" s="3" t="s">
        <v>5115</v>
      </c>
      <c r="AA332" s="3" t="s">
        <v>5116</v>
      </c>
      <c r="AB332" s="3" t="s">
        <v>5117</v>
      </c>
      <c r="AC332" s="3" t="s">
        <v>74</v>
      </c>
      <c r="AD332" s="3" t="s">
        <v>74</v>
      </c>
      <c r="AE332" s="3" t="s">
        <v>74</v>
      </c>
      <c r="AF332" s="3" t="s">
        <v>74</v>
      </c>
      <c r="AG332" s="3">
        <v>22</v>
      </c>
      <c r="AH332" s="3">
        <v>28</v>
      </c>
      <c r="AI332" s="3">
        <v>40</v>
      </c>
      <c r="AJ332" s="3">
        <v>0</v>
      </c>
      <c r="AK332" s="3">
        <v>29</v>
      </c>
      <c r="AL332" s="3" t="s">
        <v>123</v>
      </c>
      <c r="AM332" s="3" t="s">
        <v>124</v>
      </c>
      <c r="AN332" s="3" t="s">
        <v>125</v>
      </c>
      <c r="AO332" s="3" t="s">
        <v>6932</v>
      </c>
      <c r="AP332" s="3" t="s">
        <v>74</v>
      </c>
      <c r="AQ332" s="3" t="s">
        <v>74</v>
      </c>
      <c r="AR332" s="3" t="s">
        <v>127</v>
      </c>
      <c r="AS332" s="3" t="s">
        <v>74</v>
      </c>
      <c r="AT332" s="3" t="s">
        <v>74</v>
      </c>
      <c r="AU332" s="3">
        <v>2016</v>
      </c>
      <c r="AV332" s="3">
        <v>16</v>
      </c>
      <c r="AW332" s="3" t="s">
        <v>74</v>
      </c>
      <c r="AX332" s="3" t="s">
        <v>74</v>
      </c>
      <c r="AY332" s="3" t="s">
        <v>74</v>
      </c>
      <c r="AZ332" s="3" t="s">
        <v>74</v>
      </c>
      <c r="BA332" s="3" t="s">
        <v>74</v>
      </c>
      <c r="BB332" s="3">
        <v>158</v>
      </c>
      <c r="BC332" s="3">
        <v>164</v>
      </c>
      <c r="BD332" s="3" t="s">
        <v>74</v>
      </c>
      <c r="BE332" s="3" t="s">
        <v>6933</v>
      </c>
      <c r="BF332" s="3" t="str">
        <f>HYPERLINK("http://dx.doi.org/10.1016/j.trpro.2016.11.016","http://dx.doi.org/10.1016/j.trpro.2016.11.016")</f>
        <v>http://dx.doi.org/10.1016/j.trpro.2016.11.016</v>
      </c>
      <c r="BG332" s="3" t="s">
        <v>74</v>
      </c>
      <c r="BH332" s="3" t="s">
        <v>74</v>
      </c>
      <c r="BI332" s="3">
        <v>7</v>
      </c>
      <c r="BJ332" s="3" t="s">
        <v>5295</v>
      </c>
      <c r="BK332" s="3" t="s">
        <v>2556</v>
      </c>
      <c r="BL332" s="3" t="s">
        <v>5296</v>
      </c>
      <c r="BM332" s="3" t="s">
        <v>5297</v>
      </c>
      <c r="BN332" s="3" t="s">
        <v>74</v>
      </c>
      <c r="BO332" s="3" t="s">
        <v>100</v>
      </c>
      <c r="BP332" s="3" t="s">
        <v>74</v>
      </c>
      <c r="BQ332" s="3" t="s">
        <v>74</v>
      </c>
      <c r="BR332" s="3" t="s">
        <v>101</v>
      </c>
      <c r="BS332" s="3" t="s">
        <v>6934</v>
      </c>
      <c r="BT332" s="3" t="str">
        <f>HYPERLINK("https%3A%2F%2Fwww.webofscience.com%2Fwos%2Fwoscc%2Ffull-record%2FWOS:000390612800015","View Full Record in Web of Science")</f>
        <v>View Full Record in Web of Science</v>
      </c>
      <c r="BU332" s="3"/>
      <c r="BV332" s="3"/>
      <c r="BW332" s="1"/>
    </row>
    <row r="333" spans="1:75" x14ac:dyDescent="0.25">
      <c r="A333" s="3" t="s">
        <v>72</v>
      </c>
      <c r="B333" s="3" t="s">
        <v>6935</v>
      </c>
      <c r="C333" s="3" t="s">
        <v>74</v>
      </c>
      <c r="D333" s="3" t="s">
        <v>74</v>
      </c>
      <c r="E333" s="3" t="s">
        <v>74</v>
      </c>
      <c r="F333" s="3" t="s">
        <v>6936</v>
      </c>
      <c r="G333" s="3" t="s">
        <v>74</v>
      </c>
      <c r="H333" s="3" t="s">
        <v>74</v>
      </c>
      <c r="I333" s="3" t="s">
        <v>6937</v>
      </c>
      <c r="J333" s="3" t="s">
        <v>6938</v>
      </c>
      <c r="K333" s="3" t="s">
        <v>74</v>
      </c>
      <c r="L333" s="3" t="s">
        <v>74</v>
      </c>
      <c r="M333" s="3" t="s">
        <v>110</v>
      </c>
      <c r="N333" s="3" t="s">
        <v>79</v>
      </c>
      <c r="O333" s="3" t="s">
        <v>74</v>
      </c>
      <c r="P333" s="3" t="s">
        <v>74</v>
      </c>
      <c r="Q333" s="3" t="s">
        <v>74</v>
      </c>
      <c r="R333" s="3" t="s">
        <v>74</v>
      </c>
      <c r="S333" s="3" t="s">
        <v>74</v>
      </c>
      <c r="T333" s="3" t="s">
        <v>6939</v>
      </c>
      <c r="U333" s="3" t="s">
        <v>74</v>
      </c>
      <c r="V333" s="3" t="s">
        <v>6940</v>
      </c>
      <c r="W333" s="3" t="s">
        <v>6941</v>
      </c>
      <c r="X333" s="3" t="s">
        <v>6942</v>
      </c>
      <c r="Y333" s="3" t="s">
        <v>6943</v>
      </c>
      <c r="Z333" s="3" t="s">
        <v>6944</v>
      </c>
      <c r="AA333" s="3" t="s">
        <v>6945</v>
      </c>
      <c r="AB333" s="3" t="s">
        <v>6946</v>
      </c>
      <c r="AC333" s="3" t="s">
        <v>6947</v>
      </c>
      <c r="AD333" s="3" t="s">
        <v>6948</v>
      </c>
      <c r="AE333" s="3" t="s">
        <v>6949</v>
      </c>
      <c r="AF333" s="3" t="s">
        <v>74</v>
      </c>
      <c r="AG333" s="3">
        <v>41</v>
      </c>
      <c r="AH333" s="3">
        <v>2</v>
      </c>
      <c r="AI333" s="3">
        <v>2</v>
      </c>
      <c r="AJ333" s="3">
        <v>1</v>
      </c>
      <c r="AK333" s="3">
        <v>4</v>
      </c>
      <c r="AL333" s="3" t="s">
        <v>6950</v>
      </c>
      <c r="AM333" s="3" t="s">
        <v>6951</v>
      </c>
      <c r="AN333" s="3" t="s">
        <v>6952</v>
      </c>
      <c r="AO333" s="3" t="s">
        <v>6953</v>
      </c>
      <c r="AP333" s="3" t="s">
        <v>6954</v>
      </c>
      <c r="AQ333" s="3" t="s">
        <v>74</v>
      </c>
      <c r="AR333" s="3" t="s">
        <v>6955</v>
      </c>
      <c r="AS333" s="3" t="s">
        <v>6956</v>
      </c>
      <c r="AT333" s="3" t="s">
        <v>74</v>
      </c>
      <c r="AU333" s="3">
        <v>2024</v>
      </c>
      <c r="AV333" s="3">
        <v>81</v>
      </c>
      <c r="AW333" s="3">
        <v>3</v>
      </c>
      <c r="AX333" s="3" t="s">
        <v>74</v>
      </c>
      <c r="AY333" s="3" t="s">
        <v>74</v>
      </c>
      <c r="AZ333" s="3" t="s">
        <v>74</v>
      </c>
      <c r="BA333" s="3" t="s">
        <v>74</v>
      </c>
      <c r="BB333" s="3">
        <v>4349</v>
      </c>
      <c r="BC333" s="3">
        <v>4370</v>
      </c>
      <c r="BD333" s="3" t="s">
        <v>74</v>
      </c>
      <c r="BE333" s="3" t="s">
        <v>6957</v>
      </c>
      <c r="BF333" s="3" t="str">
        <f>HYPERLINK("http://dx.doi.org/10.32604/cmc.2024.058903","http://dx.doi.org/10.32604/cmc.2024.058903")</f>
        <v>http://dx.doi.org/10.32604/cmc.2024.058903</v>
      </c>
      <c r="BG333" s="3" t="s">
        <v>74</v>
      </c>
      <c r="BH333" s="3" t="s">
        <v>74</v>
      </c>
      <c r="BI333" s="3">
        <v>22</v>
      </c>
      <c r="BJ333" s="3" t="s">
        <v>6958</v>
      </c>
      <c r="BK333" s="3" t="s">
        <v>179</v>
      </c>
      <c r="BL333" s="3" t="s">
        <v>6959</v>
      </c>
      <c r="BM333" s="3" t="s">
        <v>6960</v>
      </c>
      <c r="BN333" s="3" t="s">
        <v>74</v>
      </c>
      <c r="BO333" s="3" t="s">
        <v>100</v>
      </c>
      <c r="BP333" s="3" t="s">
        <v>74</v>
      </c>
      <c r="BQ333" s="3" t="s">
        <v>74</v>
      </c>
      <c r="BR333" s="3" t="s">
        <v>101</v>
      </c>
      <c r="BS333" s="3" t="s">
        <v>6961</v>
      </c>
      <c r="BT333" s="3" t="str">
        <f>HYPERLINK("https%3A%2F%2Fwww.webofscience.com%2Fwos%2Fwoscc%2Ffull-record%2FWOS:001385235200001","View Full Record in Web of Science")</f>
        <v>View Full Record in Web of Science</v>
      </c>
      <c r="BU333" s="3"/>
      <c r="BV333" s="3"/>
      <c r="BW333" s="1"/>
    </row>
    <row r="334" spans="1:75" x14ac:dyDescent="0.25">
      <c r="A334" s="3" t="s">
        <v>72</v>
      </c>
      <c r="B334" s="3" t="s">
        <v>6962</v>
      </c>
      <c r="C334" s="3" t="s">
        <v>74</v>
      </c>
      <c r="D334" s="3" t="s">
        <v>74</v>
      </c>
      <c r="E334" s="3" t="s">
        <v>74</v>
      </c>
      <c r="F334" s="3" t="s">
        <v>6963</v>
      </c>
      <c r="G334" s="3" t="s">
        <v>74</v>
      </c>
      <c r="H334" s="3" t="s">
        <v>74</v>
      </c>
      <c r="I334" s="3" t="s">
        <v>6964</v>
      </c>
      <c r="J334" s="3" t="s">
        <v>138</v>
      </c>
      <c r="K334" s="3" t="s">
        <v>74</v>
      </c>
      <c r="L334" s="3" t="s">
        <v>74</v>
      </c>
      <c r="M334" s="3" t="s">
        <v>110</v>
      </c>
      <c r="N334" s="3" t="s">
        <v>79</v>
      </c>
      <c r="O334" s="3" t="s">
        <v>74</v>
      </c>
      <c r="P334" s="3" t="s">
        <v>74</v>
      </c>
      <c r="Q334" s="3" t="s">
        <v>74</v>
      </c>
      <c r="R334" s="3" t="s">
        <v>74</v>
      </c>
      <c r="S334" s="3" t="s">
        <v>74</v>
      </c>
      <c r="T334" s="3" t="s">
        <v>6965</v>
      </c>
      <c r="U334" s="3" t="s">
        <v>6966</v>
      </c>
      <c r="V334" s="3" t="s">
        <v>6967</v>
      </c>
      <c r="W334" s="3" t="s">
        <v>6968</v>
      </c>
      <c r="X334" s="3" t="s">
        <v>3357</v>
      </c>
      <c r="Y334" s="3" t="s">
        <v>6969</v>
      </c>
      <c r="Z334" s="3" t="s">
        <v>6970</v>
      </c>
      <c r="AA334" s="3" t="s">
        <v>6971</v>
      </c>
      <c r="AB334" s="3" t="s">
        <v>74</v>
      </c>
      <c r="AC334" s="3" t="s">
        <v>6972</v>
      </c>
      <c r="AD334" s="3" t="s">
        <v>6973</v>
      </c>
      <c r="AE334" s="3" t="s">
        <v>6974</v>
      </c>
      <c r="AF334" s="3" t="s">
        <v>74</v>
      </c>
      <c r="AG334" s="3">
        <v>70</v>
      </c>
      <c r="AH334" s="3">
        <v>1</v>
      </c>
      <c r="AI334" s="3">
        <v>1</v>
      </c>
      <c r="AJ334" s="3">
        <v>1</v>
      </c>
      <c r="AK334" s="3">
        <v>1</v>
      </c>
      <c r="AL334" s="3" t="s">
        <v>145</v>
      </c>
      <c r="AM334" s="3" t="s">
        <v>146</v>
      </c>
      <c r="AN334" s="3" t="s">
        <v>147</v>
      </c>
      <c r="AO334" s="3" t="s">
        <v>74</v>
      </c>
      <c r="AP334" s="3" t="s">
        <v>148</v>
      </c>
      <c r="AQ334" s="3" t="s">
        <v>74</v>
      </c>
      <c r="AR334" s="3" t="s">
        <v>149</v>
      </c>
      <c r="AS334" s="3" t="s">
        <v>150</v>
      </c>
      <c r="AT334" s="3" t="s">
        <v>6975</v>
      </c>
      <c r="AU334" s="3">
        <v>2025</v>
      </c>
      <c r="AV334" s="3">
        <v>17</v>
      </c>
      <c r="AW334" s="3">
        <v>19</v>
      </c>
      <c r="AX334" s="3" t="s">
        <v>74</v>
      </c>
      <c r="AY334" s="3" t="s">
        <v>74</v>
      </c>
      <c r="AZ334" s="3" t="s">
        <v>74</v>
      </c>
      <c r="BA334" s="3" t="s">
        <v>74</v>
      </c>
      <c r="BB334" s="3" t="s">
        <v>74</v>
      </c>
      <c r="BC334" s="3" t="s">
        <v>74</v>
      </c>
      <c r="BD334" s="3">
        <v>8882</v>
      </c>
      <c r="BE334" s="3" t="s">
        <v>6976</v>
      </c>
      <c r="BF334" s="3" t="str">
        <f>HYPERLINK("http://dx.doi.org/10.3390/su17198882","http://dx.doi.org/10.3390/su17198882")</f>
        <v>http://dx.doi.org/10.3390/su17198882</v>
      </c>
      <c r="BG334" s="3" t="s">
        <v>74</v>
      </c>
      <c r="BH334" s="3" t="s">
        <v>74</v>
      </c>
      <c r="BI334" s="3">
        <v>28</v>
      </c>
      <c r="BJ334" s="3" t="s">
        <v>153</v>
      </c>
      <c r="BK334" s="3" t="s">
        <v>154</v>
      </c>
      <c r="BL334" s="3" t="s">
        <v>155</v>
      </c>
      <c r="BM334" s="3" t="s">
        <v>6977</v>
      </c>
      <c r="BN334" s="3" t="s">
        <v>74</v>
      </c>
      <c r="BO334" s="3" t="s">
        <v>100</v>
      </c>
      <c r="BP334" s="3" t="s">
        <v>74</v>
      </c>
      <c r="BQ334" s="3" t="s">
        <v>74</v>
      </c>
      <c r="BR334" s="3" t="s">
        <v>101</v>
      </c>
      <c r="BS334" s="3" t="s">
        <v>6978</v>
      </c>
      <c r="BT334" s="3" t="str">
        <f>HYPERLINK("https%3A%2F%2Fwww.webofscience.com%2Fwos%2Fwoscc%2Ffull-record%2FWOS:001593909100001","View Full Record in Web of Science")</f>
        <v>View Full Record in Web of Science</v>
      </c>
      <c r="BU334" s="3"/>
      <c r="BV334" s="3"/>
      <c r="BW334" s="1"/>
    </row>
    <row r="335" spans="1:75" x14ac:dyDescent="0.25">
      <c r="A335" s="3" t="s">
        <v>72</v>
      </c>
      <c r="B335" s="3" t="s">
        <v>6979</v>
      </c>
      <c r="C335" s="3" t="s">
        <v>74</v>
      </c>
      <c r="D335" s="3" t="s">
        <v>74</v>
      </c>
      <c r="E335" s="3" t="s">
        <v>74</v>
      </c>
      <c r="F335" s="3" t="s">
        <v>6980</v>
      </c>
      <c r="G335" s="3" t="s">
        <v>74</v>
      </c>
      <c r="H335" s="3" t="s">
        <v>74</v>
      </c>
      <c r="I335" s="3" t="s">
        <v>6981</v>
      </c>
      <c r="J335" s="3" t="s">
        <v>1088</v>
      </c>
      <c r="K335" s="3" t="s">
        <v>74</v>
      </c>
      <c r="L335" s="3" t="s">
        <v>74</v>
      </c>
      <c r="M335" s="3" t="s">
        <v>110</v>
      </c>
      <c r="N335" s="3" t="s">
        <v>79</v>
      </c>
      <c r="O335" s="3" t="s">
        <v>74</v>
      </c>
      <c r="P335" s="3" t="s">
        <v>74</v>
      </c>
      <c r="Q335" s="3" t="s">
        <v>74</v>
      </c>
      <c r="R335" s="3" t="s">
        <v>74</v>
      </c>
      <c r="S335" s="3" t="s">
        <v>74</v>
      </c>
      <c r="T335" s="3" t="s">
        <v>6982</v>
      </c>
      <c r="U335" s="3" t="s">
        <v>74</v>
      </c>
      <c r="V335" s="3" t="s">
        <v>6983</v>
      </c>
      <c r="W335" s="3" t="s">
        <v>6984</v>
      </c>
      <c r="X335" s="3" t="s">
        <v>6985</v>
      </c>
      <c r="Y335" s="3" t="s">
        <v>6986</v>
      </c>
      <c r="Z335" s="3" t="s">
        <v>6987</v>
      </c>
      <c r="AA335" s="3" t="s">
        <v>6988</v>
      </c>
      <c r="AB335" s="3" t="s">
        <v>6989</v>
      </c>
      <c r="AC335" s="3" t="s">
        <v>6990</v>
      </c>
      <c r="AD335" s="3" t="s">
        <v>6991</v>
      </c>
      <c r="AE335" s="3" t="s">
        <v>6992</v>
      </c>
      <c r="AF335" s="3" t="s">
        <v>74</v>
      </c>
      <c r="AG335" s="3">
        <v>48</v>
      </c>
      <c r="AH335" s="3">
        <v>1</v>
      </c>
      <c r="AI335" s="3">
        <v>1</v>
      </c>
      <c r="AJ335" s="3">
        <v>3</v>
      </c>
      <c r="AK335" s="3">
        <v>3</v>
      </c>
      <c r="AL335" s="3" t="s">
        <v>846</v>
      </c>
      <c r="AM335" s="3" t="s">
        <v>847</v>
      </c>
      <c r="AN335" s="3" t="s">
        <v>848</v>
      </c>
      <c r="AO335" s="3" t="s">
        <v>1098</v>
      </c>
      <c r="AP335" s="3" t="s">
        <v>1099</v>
      </c>
      <c r="AQ335" s="3" t="s">
        <v>74</v>
      </c>
      <c r="AR335" s="3" t="s">
        <v>1100</v>
      </c>
      <c r="AS335" s="3" t="s">
        <v>1101</v>
      </c>
      <c r="AT335" s="3" t="s">
        <v>1164</v>
      </c>
      <c r="AU335" s="3">
        <v>2025</v>
      </c>
      <c r="AV335" s="3">
        <v>26</v>
      </c>
      <c r="AW335" s="3">
        <v>10</v>
      </c>
      <c r="AX335" s="3" t="s">
        <v>74</v>
      </c>
      <c r="AY335" s="3" t="s">
        <v>74</v>
      </c>
      <c r="AZ335" s="3" t="s">
        <v>74</v>
      </c>
      <c r="BA335" s="3" t="s">
        <v>74</v>
      </c>
      <c r="BB335" s="3">
        <v>18129</v>
      </c>
      <c r="BC335" s="3">
        <v>18144</v>
      </c>
      <c r="BD335" s="3" t="s">
        <v>74</v>
      </c>
      <c r="BE335" s="3" t="s">
        <v>6993</v>
      </c>
      <c r="BF335" s="3" t="str">
        <f>HYPERLINK("http://dx.doi.org/10.1109/TITS.2025.3582356","http://dx.doi.org/10.1109/TITS.2025.3582356")</f>
        <v>http://dx.doi.org/10.1109/TITS.2025.3582356</v>
      </c>
      <c r="BG335" s="3" t="s">
        <v>74</v>
      </c>
      <c r="BH335" s="3" t="s">
        <v>1016</v>
      </c>
      <c r="BI335" s="3">
        <v>16</v>
      </c>
      <c r="BJ335" s="3" t="s">
        <v>1104</v>
      </c>
      <c r="BK335" s="3" t="s">
        <v>179</v>
      </c>
      <c r="BL335" s="3" t="s">
        <v>411</v>
      </c>
      <c r="BM335" s="3" t="s">
        <v>6994</v>
      </c>
      <c r="BN335" s="3" t="s">
        <v>74</v>
      </c>
      <c r="BO335" s="3" t="s">
        <v>74</v>
      </c>
      <c r="BP335" s="3" t="s">
        <v>74</v>
      </c>
      <c r="BQ335" s="3" t="s">
        <v>74</v>
      </c>
      <c r="BR335" s="3" t="s">
        <v>101</v>
      </c>
      <c r="BS335" s="3" t="s">
        <v>6995</v>
      </c>
      <c r="BT335" s="3" t="str">
        <f>HYPERLINK("https%3A%2F%2Fwww.webofscience.com%2Fwos%2Fwoscc%2Ffull-record%2FWOS:001522945400001","View Full Record in Web of Science")</f>
        <v>View Full Record in Web of Science</v>
      </c>
      <c r="BU335" s="3"/>
      <c r="BV335" s="3"/>
      <c r="BW335" s="1"/>
    </row>
    <row r="336" spans="1:75" x14ac:dyDescent="0.25">
      <c r="A336" s="3" t="s">
        <v>72</v>
      </c>
      <c r="B336" s="3" t="s">
        <v>6996</v>
      </c>
      <c r="C336" s="3" t="s">
        <v>74</v>
      </c>
      <c r="D336" s="3" t="s">
        <v>74</v>
      </c>
      <c r="E336" s="3" t="s">
        <v>74</v>
      </c>
      <c r="F336" s="3" t="s">
        <v>6997</v>
      </c>
      <c r="G336" s="3" t="s">
        <v>74</v>
      </c>
      <c r="H336" s="3" t="s">
        <v>74</v>
      </c>
      <c r="I336" s="3" t="s">
        <v>6998</v>
      </c>
      <c r="J336" s="3" t="s">
        <v>6999</v>
      </c>
      <c r="K336" s="3" t="s">
        <v>74</v>
      </c>
      <c r="L336" s="3" t="s">
        <v>74</v>
      </c>
      <c r="M336" s="3" t="s">
        <v>110</v>
      </c>
      <c r="N336" s="3" t="s">
        <v>79</v>
      </c>
      <c r="O336" s="3" t="s">
        <v>74</v>
      </c>
      <c r="P336" s="3" t="s">
        <v>74</v>
      </c>
      <c r="Q336" s="3" t="s">
        <v>74</v>
      </c>
      <c r="R336" s="3" t="s">
        <v>74</v>
      </c>
      <c r="S336" s="3" t="s">
        <v>74</v>
      </c>
      <c r="T336" s="3" t="s">
        <v>7000</v>
      </c>
      <c r="U336" s="3" t="s">
        <v>7001</v>
      </c>
      <c r="V336" s="3" t="s">
        <v>7002</v>
      </c>
      <c r="W336" s="3" t="s">
        <v>7003</v>
      </c>
      <c r="X336" s="3" t="s">
        <v>7004</v>
      </c>
      <c r="Y336" s="3" t="s">
        <v>7005</v>
      </c>
      <c r="Z336" s="3" t="s">
        <v>7006</v>
      </c>
      <c r="AA336" s="3" t="s">
        <v>7007</v>
      </c>
      <c r="AB336" s="3" t="s">
        <v>7008</v>
      </c>
      <c r="AC336" s="3" t="s">
        <v>74</v>
      </c>
      <c r="AD336" s="3" t="s">
        <v>74</v>
      </c>
      <c r="AE336" s="3" t="s">
        <v>74</v>
      </c>
      <c r="AF336" s="3" t="s">
        <v>74</v>
      </c>
      <c r="AG336" s="3">
        <v>44</v>
      </c>
      <c r="AH336" s="3">
        <v>1</v>
      </c>
      <c r="AI336" s="3">
        <v>1</v>
      </c>
      <c r="AJ336" s="3">
        <v>1</v>
      </c>
      <c r="AK336" s="3">
        <v>1</v>
      </c>
      <c r="AL336" s="3" t="s">
        <v>1076</v>
      </c>
      <c r="AM336" s="3" t="s">
        <v>375</v>
      </c>
      <c r="AN336" s="3" t="s">
        <v>376</v>
      </c>
      <c r="AO336" s="3" t="s">
        <v>7009</v>
      </c>
      <c r="AP336" s="3" t="s">
        <v>7010</v>
      </c>
      <c r="AQ336" s="3" t="s">
        <v>74</v>
      </c>
      <c r="AR336" s="3" t="s">
        <v>7011</v>
      </c>
      <c r="AS336" s="3" t="s">
        <v>7012</v>
      </c>
      <c r="AT336" s="3" t="s">
        <v>807</v>
      </c>
      <c r="AU336" s="3">
        <v>2025</v>
      </c>
      <c r="AV336" s="3">
        <v>10</v>
      </c>
      <c r="AW336" s="3">
        <v>2</v>
      </c>
      <c r="AX336" s="3" t="s">
        <v>74</v>
      </c>
      <c r="AY336" s="3" t="s">
        <v>74</v>
      </c>
      <c r="AZ336" s="3" t="s">
        <v>74</v>
      </c>
      <c r="BA336" s="3" t="s">
        <v>74</v>
      </c>
      <c r="BB336" s="3" t="s">
        <v>74</v>
      </c>
      <c r="BC336" s="3" t="s">
        <v>74</v>
      </c>
      <c r="BD336" s="3">
        <v>60</v>
      </c>
      <c r="BE336" s="3" t="s">
        <v>7013</v>
      </c>
      <c r="BF336" s="3" t="str">
        <f>HYPERLINK("http://dx.doi.org/10.1007/s41062-024-01835-5","http://dx.doi.org/10.1007/s41062-024-01835-5")</f>
        <v>http://dx.doi.org/10.1007/s41062-024-01835-5</v>
      </c>
      <c r="BG336" s="3" t="s">
        <v>74</v>
      </c>
      <c r="BH336" s="3" t="s">
        <v>74</v>
      </c>
      <c r="BI336" s="3">
        <v>17</v>
      </c>
      <c r="BJ336" s="3" t="s">
        <v>6161</v>
      </c>
      <c r="BK336" s="3" t="s">
        <v>97</v>
      </c>
      <c r="BL336" s="3" t="s">
        <v>2601</v>
      </c>
      <c r="BM336" s="3" t="s">
        <v>7014</v>
      </c>
      <c r="BN336" s="3" t="s">
        <v>74</v>
      </c>
      <c r="BO336" s="3" t="s">
        <v>884</v>
      </c>
      <c r="BP336" s="3" t="s">
        <v>74</v>
      </c>
      <c r="BQ336" s="3" t="s">
        <v>74</v>
      </c>
      <c r="BR336" s="3" t="s">
        <v>101</v>
      </c>
      <c r="BS336" s="3" t="s">
        <v>7015</v>
      </c>
      <c r="BT336" s="3" t="str">
        <f>HYPERLINK("https%3A%2F%2Fwww.webofscience.com%2Fwos%2Fwoscc%2Ffull-record%2FWOS:001403627700002","View Full Record in Web of Science")</f>
        <v>View Full Record in Web of Science</v>
      </c>
      <c r="BU336" s="3"/>
      <c r="BV336" s="3"/>
      <c r="BW336" s="1"/>
    </row>
    <row r="337" spans="1:75" x14ac:dyDescent="0.25">
      <c r="A337" s="3" t="s">
        <v>72</v>
      </c>
      <c r="B337" s="3" t="s">
        <v>7016</v>
      </c>
      <c r="C337" s="3" t="s">
        <v>74</v>
      </c>
      <c r="D337" s="3" t="s">
        <v>74</v>
      </c>
      <c r="E337" s="3" t="s">
        <v>74</v>
      </c>
      <c r="F337" s="3" t="s">
        <v>7017</v>
      </c>
      <c r="G337" s="3" t="s">
        <v>74</v>
      </c>
      <c r="H337" s="3" t="s">
        <v>74</v>
      </c>
      <c r="I337" s="3" t="s">
        <v>7018</v>
      </c>
      <c r="J337" s="3" t="s">
        <v>270</v>
      </c>
      <c r="K337" s="3" t="s">
        <v>74</v>
      </c>
      <c r="L337" s="3" t="s">
        <v>74</v>
      </c>
      <c r="M337" s="3" t="s">
        <v>110</v>
      </c>
      <c r="N337" s="3" t="s">
        <v>216</v>
      </c>
      <c r="O337" s="3" t="s">
        <v>74</v>
      </c>
      <c r="P337" s="3" t="s">
        <v>74</v>
      </c>
      <c r="Q337" s="3" t="s">
        <v>74</v>
      </c>
      <c r="R337" s="3" t="s">
        <v>74</v>
      </c>
      <c r="S337" s="3" t="s">
        <v>74</v>
      </c>
      <c r="T337" s="3" t="s">
        <v>7019</v>
      </c>
      <c r="U337" s="3" t="s">
        <v>7020</v>
      </c>
      <c r="V337" s="3" t="s">
        <v>7021</v>
      </c>
      <c r="W337" s="3" t="s">
        <v>7022</v>
      </c>
      <c r="X337" s="3" t="s">
        <v>7023</v>
      </c>
      <c r="Y337" s="3" t="s">
        <v>7024</v>
      </c>
      <c r="Z337" s="3" t="s">
        <v>7025</v>
      </c>
      <c r="AA337" s="3" t="s">
        <v>7026</v>
      </c>
      <c r="AB337" s="3" t="s">
        <v>74</v>
      </c>
      <c r="AC337" s="3" t="s">
        <v>7027</v>
      </c>
      <c r="AD337" s="3" t="s">
        <v>7027</v>
      </c>
      <c r="AE337" s="3" t="s">
        <v>7028</v>
      </c>
      <c r="AF337" s="3" t="s">
        <v>74</v>
      </c>
      <c r="AG337" s="3">
        <v>75</v>
      </c>
      <c r="AH337" s="3">
        <v>1</v>
      </c>
      <c r="AI337" s="3">
        <v>1</v>
      </c>
      <c r="AJ337" s="3">
        <v>3</v>
      </c>
      <c r="AK337" s="3">
        <v>3</v>
      </c>
      <c r="AL337" s="3" t="s">
        <v>145</v>
      </c>
      <c r="AM337" s="3" t="s">
        <v>146</v>
      </c>
      <c r="AN337" s="3" t="s">
        <v>147</v>
      </c>
      <c r="AO337" s="3" t="s">
        <v>74</v>
      </c>
      <c r="AP337" s="3" t="s">
        <v>280</v>
      </c>
      <c r="AQ337" s="3" t="s">
        <v>74</v>
      </c>
      <c r="AR337" s="3" t="s">
        <v>281</v>
      </c>
      <c r="AS337" s="3" t="s">
        <v>282</v>
      </c>
      <c r="AT337" s="3" t="s">
        <v>7029</v>
      </c>
      <c r="AU337" s="3">
        <v>2025</v>
      </c>
      <c r="AV337" s="3">
        <v>8</v>
      </c>
      <c r="AW337" s="3">
        <v>3</v>
      </c>
      <c r="AX337" s="3" t="s">
        <v>74</v>
      </c>
      <c r="AY337" s="3" t="s">
        <v>74</v>
      </c>
      <c r="AZ337" s="3" t="s">
        <v>74</v>
      </c>
      <c r="BA337" s="3" t="s">
        <v>74</v>
      </c>
      <c r="BB337" s="3" t="s">
        <v>74</v>
      </c>
      <c r="BC337" s="3" t="s">
        <v>74</v>
      </c>
      <c r="BD337" s="3">
        <v>89</v>
      </c>
      <c r="BE337" s="3" t="s">
        <v>7030</v>
      </c>
      <c r="BF337" s="3" t="str">
        <f>HYPERLINK("http://dx.doi.org/10.3390/smartcities8030089","http://dx.doi.org/10.3390/smartcities8030089")</f>
        <v>http://dx.doi.org/10.3390/smartcities8030089</v>
      </c>
      <c r="BG337" s="3" t="s">
        <v>74</v>
      </c>
      <c r="BH337" s="3" t="s">
        <v>74</v>
      </c>
      <c r="BI337" s="3">
        <v>51</v>
      </c>
      <c r="BJ337" s="3" t="s">
        <v>285</v>
      </c>
      <c r="BK337" s="3" t="s">
        <v>97</v>
      </c>
      <c r="BL337" s="3" t="s">
        <v>286</v>
      </c>
      <c r="BM337" s="3" t="s">
        <v>7031</v>
      </c>
      <c r="BN337" s="3" t="s">
        <v>74</v>
      </c>
      <c r="BO337" s="3" t="s">
        <v>100</v>
      </c>
      <c r="BP337" s="3" t="s">
        <v>74</v>
      </c>
      <c r="BQ337" s="3" t="s">
        <v>74</v>
      </c>
      <c r="BR337" s="3" t="s">
        <v>101</v>
      </c>
      <c r="BS337" s="3" t="s">
        <v>7032</v>
      </c>
      <c r="BT337" s="3" t="str">
        <f>HYPERLINK("https%3A%2F%2Fwww.webofscience.com%2Fwos%2Fwoscc%2Ffull-record%2FWOS:001516243200001","View Full Record in Web of Science")</f>
        <v>View Full Record in Web of Science</v>
      </c>
      <c r="BU337" s="3"/>
      <c r="BV337" s="3"/>
      <c r="BW337" s="1"/>
    </row>
    <row r="338" spans="1:75" x14ac:dyDescent="0.25">
      <c r="A338" s="3" t="s">
        <v>72</v>
      </c>
      <c r="B338" s="3" t="s">
        <v>7033</v>
      </c>
      <c r="C338" s="3" t="s">
        <v>74</v>
      </c>
      <c r="D338" s="3" t="s">
        <v>74</v>
      </c>
      <c r="E338" s="3" t="s">
        <v>74</v>
      </c>
      <c r="F338" s="3" t="s">
        <v>7034</v>
      </c>
      <c r="G338" s="3" t="s">
        <v>74</v>
      </c>
      <c r="H338" s="3" t="s">
        <v>74</v>
      </c>
      <c r="I338" s="3" t="s">
        <v>7035</v>
      </c>
      <c r="J338" s="3" t="s">
        <v>1261</v>
      </c>
      <c r="K338" s="3" t="s">
        <v>74</v>
      </c>
      <c r="L338" s="3" t="s">
        <v>74</v>
      </c>
      <c r="M338" s="3" t="s">
        <v>110</v>
      </c>
      <c r="N338" s="3" t="s">
        <v>79</v>
      </c>
      <c r="O338" s="3" t="s">
        <v>74</v>
      </c>
      <c r="P338" s="3" t="s">
        <v>74</v>
      </c>
      <c r="Q338" s="3" t="s">
        <v>74</v>
      </c>
      <c r="R338" s="3" t="s">
        <v>74</v>
      </c>
      <c r="S338" s="3" t="s">
        <v>74</v>
      </c>
      <c r="T338" s="3" t="s">
        <v>7036</v>
      </c>
      <c r="U338" s="3" t="s">
        <v>7037</v>
      </c>
      <c r="V338" s="3" t="s">
        <v>7038</v>
      </c>
      <c r="W338" s="3" t="s">
        <v>7039</v>
      </c>
      <c r="X338" s="3" t="s">
        <v>1251</v>
      </c>
      <c r="Y338" s="3" t="s">
        <v>7040</v>
      </c>
      <c r="Z338" s="3" t="s">
        <v>7041</v>
      </c>
      <c r="AA338" s="3" t="s">
        <v>7042</v>
      </c>
      <c r="AB338" s="3" t="s">
        <v>7043</v>
      </c>
      <c r="AC338" s="3" t="s">
        <v>74</v>
      </c>
      <c r="AD338" s="3" t="s">
        <v>74</v>
      </c>
      <c r="AE338" s="3" t="s">
        <v>74</v>
      </c>
      <c r="AF338" s="3" t="s">
        <v>74</v>
      </c>
      <c r="AG338" s="3">
        <v>81</v>
      </c>
      <c r="AH338" s="3">
        <v>1</v>
      </c>
      <c r="AI338" s="3">
        <v>1</v>
      </c>
      <c r="AJ338" s="3">
        <v>2</v>
      </c>
      <c r="AK338" s="3">
        <v>3</v>
      </c>
      <c r="AL338" s="3" t="s">
        <v>145</v>
      </c>
      <c r="AM338" s="3" t="s">
        <v>146</v>
      </c>
      <c r="AN338" s="3" t="s">
        <v>147</v>
      </c>
      <c r="AO338" s="3" t="s">
        <v>74</v>
      </c>
      <c r="AP338" s="3" t="s">
        <v>1274</v>
      </c>
      <c r="AQ338" s="3" t="s">
        <v>74</v>
      </c>
      <c r="AR338" s="3" t="s">
        <v>1275</v>
      </c>
      <c r="AS338" s="3" t="s">
        <v>1276</v>
      </c>
      <c r="AT338" s="3" t="s">
        <v>7044</v>
      </c>
      <c r="AU338" s="3">
        <v>2025</v>
      </c>
      <c r="AV338" s="3">
        <v>5</v>
      </c>
      <c r="AW338" s="3">
        <v>1</v>
      </c>
      <c r="AX338" s="3" t="s">
        <v>74</v>
      </c>
      <c r="AY338" s="3" t="s">
        <v>74</v>
      </c>
      <c r="AZ338" s="3" t="s">
        <v>74</v>
      </c>
      <c r="BA338" s="3" t="s">
        <v>74</v>
      </c>
      <c r="BB338" s="3" t="s">
        <v>74</v>
      </c>
      <c r="BC338" s="3" t="s">
        <v>74</v>
      </c>
      <c r="BD338" s="3">
        <v>31</v>
      </c>
      <c r="BE338" s="3" t="s">
        <v>7045</v>
      </c>
      <c r="BF338" s="3" t="str">
        <f>HYPERLINK("http://dx.doi.org/10.3390/futuretransp5010031","http://dx.doi.org/10.3390/futuretransp5010031")</f>
        <v>http://dx.doi.org/10.3390/futuretransp5010031</v>
      </c>
      <c r="BG338" s="3" t="s">
        <v>74</v>
      </c>
      <c r="BH338" s="3" t="s">
        <v>74</v>
      </c>
      <c r="BI338" s="3">
        <v>19</v>
      </c>
      <c r="BJ338" s="3" t="s">
        <v>129</v>
      </c>
      <c r="BK338" s="3" t="s">
        <v>97</v>
      </c>
      <c r="BL338" s="3" t="s">
        <v>131</v>
      </c>
      <c r="BM338" s="3" t="s">
        <v>7046</v>
      </c>
      <c r="BN338" s="3" t="s">
        <v>74</v>
      </c>
      <c r="BO338" s="3" t="s">
        <v>133</v>
      </c>
      <c r="BP338" s="3" t="s">
        <v>74</v>
      </c>
      <c r="BQ338" s="3" t="s">
        <v>74</v>
      </c>
      <c r="BR338" s="3" t="s">
        <v>101</v>
      </c>
      <c r="BS338" s="3" t="s">
        <v>7047</v>
      </c>
      <c r="BT338" s="3" t="str">
        <f>HYPERLINK("https%3A%2F%2Fwww.webofscience.com%2Fwos%2Fwoscc%2Ffull-record%2FWOS:001482386400001","View Full Record in Web of Science")</f>
        <v>View Full Record in Web of Science</v>
      </c>
      <c r="BU338" s="3"/>
      <c r="BV338" s="3"/>
      <c r="BW338" s="1"/>
    </row>
    <row r="339" spans="1:75" x14ac:dyDescent="0.25">
      <c r="A339" s="3" t="s">
        <v>72</v>
      </c>
      <c r="B339" s="3" t="s">
        <v>7048</v>
      </c>
      <c r="C339" s="3" t="s">
        <v>74</v>
      </c>
      <c r="D339" s="3" t="s">
        <v>74</v>
      </c>
      <c r="E339" s="3" t="s">
        <v>74</v>
      </c>
      <c r="F339" s="3" t="s">
        <v>7049</v>
      </c>
      <c r="G339" s="3" t="s">
        <v>74</v>
      </c>
      <c r="H339" s="3" t="s">
        <v>74</v>
      </c>
      <c r="I339" s="3" t="s">
        <v>7050</v>
      </c>
      <c r="J339" s="3" t="s">
        <v>7051</v>
      </c>
      <c r="K339" s="3" t="s">
        <v>74</v>
      </c>
      <c r="L339" s="3" t="s">
        <v>74</v>
      </c>
      <c r="M339" s="3" t="s">
        <v>110</v>
      </c>
      <c r="N339" s="3" t="s">
        <v>79</v>
      </c>
      <c r="O339" s="3" t="s">
        <v>74</v>
      </c>
      <c r="P339" s="3" t="s">
        <v>74</v>
      </c>
      <c r="Q339" s="3" t="s">
        <v>74</v>
      </c>
      <c r="R339" s="3" t="s">
        <v>74</v>
      </c>
      <c r="S339" s="3" t="s">
        <v>74</v>
      </c>
      <c r="T339" s="3" t="s">
        <v>7052</v>
      </c>
      <c r="U339" s="3" t="s">
        <v>7053</v>
      </c>
      <c r="V339" s="3" t="s">
        <v>7054</v>
      </c>
      <c r="W339" s="3" t="s">
        <v>7055</v>
      </c>
      <c r="X339" s="3" t="s">
        <v>4895</v>
      </c>
      <c r="Y339" s="3" t="s">
        <v>7056</v>
      </c>
      <c r="Z339" s="3" t="s">
        <v>7057</v>
      </c>
      <c r="AA339" s="3" t="s">
        <v>7058</v>
      </c>
      <c r="AB339" s="3" t="s">
        <v>7059</v>
      </c>
      <c r="AC339" s="3" t="s">
        <v>7060</v>
      </c>
      <c r="AD339" s="3" t="s">
        <v>7061</v>
      </c>
      <c r="AE339" s="3" t="s">
        <v>7062</v>
      </c>
      <c r="AF339" s="3" t="s">
        <v>74</v>
      </c>
      <c r="AG339" s="3">
        <v>63</v>
      </c>
      <c r="AH339" s="3">
        <v>1</v>
      </c>
      <c r="AI339" s="3">
        <v>1</v>
      </c>
      <c r="AJ339" s="3">
        <v>3</v>
      </c>
      <c r="AK339" s="3">
        <v>8</v>
      </c>
      <c r="AL339" s="3" t="s">
        <v>1120</v>
      </c>
      <c r="AM339" s="3" t="s">
        <v>200</v>
      </c>
      <c r="AN339" s="3" t="s">
        <v>1559</v>
      </c>
      <c r="AO339" s="3" t="s">
        <v>7063</v>
      </c>
      <c r="AP339" s="3" t="s">
        <v>7064</v>
      </c>
      <c r="AQ339" s="3" t="s">
        <v>74</v>
      </c>
      <c r="AR339" s="3" t="s">
        <v>7065</v>
      </c>
      <c r="AS339" s="3" t="s">
        <v>7066</v>
      </c>
      <c r="AT339" s="3" t="s">
        <v>151</v>
      </c>
      <c r="AU339" s="3">
        <v>2025</v>
      </c>
      <c r="AV339" s="3">
        <v>33</v>
      </c>
      <c r="AW339" s="3">
        <v>4</v>
      </c>
      <c r="AX339" s="3" t="s">
        <v>74</v>
      </c>
      <c r="AY339" s="3" t="s">
        <v>74</v>
      </c>
      <c r="AZ339" s="3" t="s">
        <v>74</v>
      </c>
      <c r="BA339" s="3" t="s">
        <v>74</v>
      </c>
      <c r="BB339" s="3">
        <v>1443</v>
      </c>
      <c r="BC339" s="3">
        <v>1472</v>
      </c>
      <c r="BD339" s="3" t="s">
        <v>74</v>
      </c>
      <c r="BE339" s="3" t="s">
        <v>7067</v>
      </c>
      <c r="BF339" s="3" t="str">
        <f>HYPERLINK("http://dx.doi.org/10.1007/s10100-024-00925-0","http://dx.doi.org/10.1007/s10100-024-00925-0")</f>
        <v>http://dx.doi.org/10.1007/s10100-024-00925-0</v>
      </c>
      <c r="BG339" s="3" t="s">
        <v>74</v>
      </c>
      <c r="BH339" s="3" t="s">
        <v>6865</v>
      </c>
      <c r="BI339" s="3">
        <v>30</v>
      </c>
      <c r="BJ339" s="3" t="s">
        <v>1060</v>
      </c>
      <c r="BK339" s="3" t="s">
        <v>179</v>
      </c>
      <c r="BL339" s="3" t="s">
        <v>1060</v>
      </c>
      <c r="BM339" s="3" t="s">
        <v>7068</v>
      </c>
      <c r="BN339" s="3" t="s">
        <v>74</v>
      </c>
      <c r="BO339" s="3" t="s">
        <v>7069</v>
      </c>
      <c r="BP339" s="3" t="s">
        <v>74</v>
      </c>
      <c r="BQ339" s="3" t="s">
        <v>74</v>
      </c>
      <c r="BR339" s="3" t="s">
        <v>101</v>
      </c>
      <c r="BS339" s="3" t="s">
        <v>7070</v>
      </c>
      <c r="BT339" s="3" t="str">
        <f>HYPERLINK("https%3A%2F%2Fwww.webofscience.com%2Fwos%2Fwoscc%2Ffull-record%2FWOS:001268691200001","View Full Record in Web of Science")</f>
        <v>View Full Record in Web of Science</v>
      </c>
      <c r="BU339" s="3"/>
      <c r="BV339" s="3"/>
      <c r="BW339" s="1"/>
    </row>
    <row r="340" spans="1:75" x14ac:dyDescent="0.25">
      <c r="A340" s="3" t="s">
        <v>72</v>
      </c>
      <c r="B340" s="3" t="s">
        <v>7071</v>
      </c>
      <c r="C340" s="3" t="s">
        <v>74</v>
      </c>
      <c r="D340" s="3" t="s">
        <v>74</v>
      </c>
      <c r="E340" s="3" t="s">
        <v>74</v>
      </c>
      <c r="F340" s="3" t="s">
        <v>7072</v>
      </c>
      <c r="G340" s="3" t="s">
        <v>74</v>
      </c>
      <c r="H340" s="3" t="s">
        <v>74</v>
      </c>
      <c r="I340" s="3" t="s">
        <v>7073</v>
      </c>
      <c r="J340" s="3" t="s">
        <v>661</v>
      </c>
      <c r="K340" s="3" t="s">
        <v>74</v>
      </c>
      <c r="L340" s="3" t="s">
        <v>74</v>
      </c>
      <c r="M340" s="3" t="s">
        <v>110</v>
      </c>
      <c r="N340" s="3" t="s">
        <v>79</v>
      </c>
      <c r="O340" s="3" t="s">
        <v>74</v>
      </c>
      <c r="P340" s="3" t="s">
        <v>74</v>
      </c>
      <c r="Q340" s="3" t="s">
        <v>74</v>
      </c>
      <c r="R340" s="3" t="s">
        <v>74</v>
      </c>
      <c r="S340" s="3" t="s">
        <v>74</v>
      </c>
      <c r="T340" s="3" t="s">
        <v>7074</v>
      </c>
      <c r="U340" s="3" t="s">
        <v>74</v>
      </c>
      <c r="V340" s="3" t="s">
        <v>7075</v>
      </c>
      <c r="W340" s="3" t="s">
        <v>7076</v>
      </c>
      <c r="X340" s="3" t="s">
        <v>7077</v>
      </c>
      <c r="Y340" s="3" t="s">
        <v>7078</v>
      </c>
      <c r="Z340" s="3" t="s">
        <v>7079</v>
      </c>
      <c r="AA340" s="3" t="s">
        <v>74</v>
      </c>
      <c r="AB340" s="3" t="s">
        <v>74</v>
      </c>
      <c r="AC340" s="3" t="s">
        <v>7080</v>
      </c>
      <c r="AD340" s="3" t="s">
        <v>7081</v>
      </c>
      <c r="AE340" s="3" t="s">
        <v>7082</v>
      </c>
      <c r="AF340" s="3" t="s">
        <v>74</v>
      </c>
      <c r="AG340" s="3">
        <v>23</v>
      </c>
      <c r="AH340" s="3">
        <v>1</v>
      </c>
      <c r="AI340" s="3">
        <v>1</v>
      </c>
      <c r="AJ340" s="3">
        <v>0</v>
      </c>
      <c r="AK340" s="3">
        <v>12</v>
      </c>
      <c r="AL340" s="3" t="s">
        <v>671</v>
      </c>
      <c r="AM340" s="3" t="s">
        <v>124</v>
      </c>
      <c r="AN340" s="3" t="s">
        <v>672</v>
      </c>
      <c r="AO340" s="3" t="s">
        <v>673</v>
      </c>
      <c r="AP340" s="3" t="s">
        <v>674</v>
      </c>
      <c r="AQ340" s="3" t="s">
        <v>74</v>
      </c>
      <c r="AR340" s="3" t="s">
        <v>675</v>
      </c>
      <c r="AS340" s="3" t="s">
        <v>676</v>
      </c>
      <c r="AT340" s="3" t="s">
        <v>3269</v>
      </c>
      <c r="AU340" s="3">
        <v>2024</v>
      </c>
      <c r="AV340" s="3">
        <v>107</v>
      </c>
      <c r="AW340" s="3" t="s">
        <v>74</v>
      </c>
      <c r="AX340" s="3" t="s">
        <v>74</v>
      </c>
      <c r="AY340" s="3" t="s">
        <v>74</v>
      </c>
      <c r="AZ340" s="3" t="s">
        <v>74</v>
      </c>
      <c r="BA340" s="3" t="s">
        <v>74</v>
      </c>
      <c r="BB340" s="3" t="s">
        <v>74</v>
      </c>
      <c r="BC340" s="3" t="s">
        <v>74</v>
      </c>
      <c r="BD340" s="3">
        <v>105359</v>
      </c>
      <c r="BE340" s="3" t="s">
        <v>7083</v>
      </c>
      <c r="BF340" s="3" t="str">
        <f>HYPERLINK("http://dx.doi.org/10.1016/j.scs.2024.105359","http://dx.doi.org/10.1016/j.scs.2024.105359")</f>
        <v>http://dx.doi.org/10.1016/j.scs.2024.105359</v>
      </c>
      <c r="BG340" s="3" t="s">
        <v>74</v>
      </c>
      <c r="BH340" s="3" t="s">
        <v>7084</v>
      </c>
      <c r="BI340" s="3">
        <v>10</v>
      </c>
      <c r="BJ340" s="3" t="s">
        <v>680</v>
      </c>
      <c r="BK340" s="3" t="s">
        <v>179</v>
      </c>
      <c r="BL340" s="3" t="s">
        <v>681</v>
      </c>
      <c r="BM340" s="3" t="s">
        <v>7085</v>
      </c>
      <c r="BN340" s="3" t="s">
        <v>74</v>
      </c>
      <c r="BO340" s="3" t="s">
        <v>74</v>
      </c>
      <c r="BP340" s="3" t="s">
        <v>74</v>
      </c>
      <c r="BQ340" s="3" t="s">
        <v>74</v>
      </c>
      <c r="BR340" s="3" t="s">
        <v>101</v>
      </c>
      <c r="BS340" s="3" t="s">
        <v>7086</v>
      </c>
      <c r="BT340" s="3" t="str">
        <f>HYPERLINK("https%3A%2F%2Fwww.webofscience.com%2Fwos%2Fwoscc%2Ffull-record%2FWOS:001229507000001","View Full Record in Web of Science")</f>
        <v>View Full Record in Web of Science</v>
      </c>
      <c r="BU340" s="3"/>
      <c r="BV340" s="3"/>
      <c r="BW340" s="1"/>
    </row>
    <row r="341" spans="1:75" x14ac:dyDescent="0.25">
      <c r="A341" s="3" t="s">
        <v>72</v>
      </c>
      <c r="B341" s="3" t="s">
        <v>7087</v>
      </c>
      <c r="C341" s="3" t="s">
        <v>74</v>
      </c>
      <c r="D341" s="3" t="s">
        <v>74</v>
      </c>
      <c r="E341" s="3" t="s">
        <v>74</v>
      </c>
      <c r="F341" s="3" t="s">
        <v>7088</v>
      </c>
      <c r="G341" s="3" t="s">
        <v>74</v>
      </c>
      <c r="H341" s="3" t="s">
        <v>74</v>
      </c>
      <c r="I341" s="3" t="s">
        <v>7089</v>
      </c>
      <c r="J341" s="3" t="s">
        <v>417</v>
      </c>
      <c r="K341" s="3" t="s">
        <v>74</v>
      </c>
      <c r="L341" s="3" t="s">
        <v>74</v>
      </c>
      <c r="M341" s="3" t="s">
        <v>110</v>
      </c>
      <c r="N341" s="3" t="s">
        <v>79</v>
      </c>
      <c r="O341" s="3" t="s">
        <v>74</v>
      </c>
      <c r="P341" s="3" t="s">
        <v>74</v>
      </c>
      <c r="Q341" s="3" t="s">
        <v>74</v>
      </c>
      <c r="R341" s="3" t="s">
        <v>74</v>
      </c>
      <c r="S341" s="3" t="s">
        <v>74</v>
      </c>
      <c r="T341" s="3" t="s">
        <v>7090</v>
      </c>
      <c r="U341" s="3" t="s">
        <v>7091</v>
      </c>
      <c r="V341" s="3" t="s">
        <v>7092</v>
      </c>
      <c r="W341" s="3" t="s">
        <v>7093</v>
      </c>
      <c r="X341" s="3" t="s">
        <v>7094</v>
      </c>
      <c r="Y341" s="3" t="s">
        <v>7095</v>
      </c>
      <c r="Z341" s="3" t="s">
        <v>7096</v>
      </c>
      <c r="AA341" s="3" t="s">
        <v>7097</v>
      </c>
      <c r="AB341" s="3" t="s">
        <v>7098</v>
      </c>
      <c r="AC341" s="3" t="s">
        <v>74</v>
      </c>
      <c r="AD341" s="3" t="s">
        <v>74</v>
      </c>
      <c r="AE341" s="3" t="s">
        <v>74</v>
      </c>
      <c r="AF341" s="3" t="s">
        <v>74</v>
      </c>
      <c r="AG341" s="3">
        <v>30</v>
      </c>
      <c r="AH341" s="3">
        <v>1</v>
      </c>
      <c r="AI341" s="3">
        <v>1</v>
      </c>
      <c r="AJ341" s="3">
        <v>2</v>
      </c>
      <c r="AK341" s="3">
        <v>7</v>
      </c>
      <c r="AL341" s="3" t="s">
        <v>145</v>
      </c>
      <c r="AM341" s="3" t="s">
        <v>146</v>
      </c>
      <c r="AN341" s="3" t="s">
        <v>279</v>
      </c>
      <c r="AO341" s="3" t="s">
        <v>74</v>
      </c>
      <c r="AP341" s="3" t="s">
        <v>430</v>
      </c>
      <c r="AQ341" s="3" t="s">
        <v>74</v>
      </c>
      <c r="AR341" s="3" t="s">
        <v>431</v>
      </c>
      <c r="AS341" s="3" t="s">
        <v>432</v>
      </c>
      <c r="AT341" s="3" t="s">
        <v>176</v>
      </c>
      <c r="AU341" s="3">
        <v>2024</v>
      </c>
      <c r="AV341" s="3">
        <v>8</v>
      </c>
      <c r="AW341" s="3">
        <v>2</v>
      </c>
      <c r="AX341" s="3" t="s">
        <v>74</v>
      </c>
      <c r="AY341" s="3" t="s">
        <v>74</v>
      </c>
      <c r="AZ341" s="3" t="s">
        <v>74</v>
      </c>
      <c r="BA341" s="3" t="s">
        <v>74</v>
      </c>
      <c r="BB341" s="3" t="s">
        <v>74</v>
      </c>
      <c r="BC341" s="3" t="s">
        <v>74</v>
      </c>
      <c r="BD341" s="3">
        <v>30</v>
      </c>
      <c r="BE341" s="3" t="s">
        <v>7099</v>
      </c>
      <c r="BF341" s="3" t="str">
        <f>HYPERLINK("http://dx.doi.org/10.3390/urbansci8020030","http://dx.doi.org/10.3390/urbansci8020030")</f>
        <v>http://dx.doi.org/10.3390/urbansci8020030</v>
      </c>
      <c r="BG341" s="3" t="s">
        <v>74</v>
      </c>
      <c r="BH341" s="3" t="s">
        <v>74</v>
      </c>
      <c r="BI341" s="3">
        <v>15</v>
      </c>
      <c r="BJ341" s="3" t="s">
        <v>434</v>
      </c>
      <c r="BK341" s="3" t="s">
        <v>97</v>
      </c>
      <c r="BL341" s="3" t="s">
        <v>435</v>
      </c>
      <c r="BM341" s="3" t="s">
        <v>7100</v>
      </c>
      <c r="BN341" s="3" t="s">
        <v>74</v>
      </c>
      <c r="BO341" s="3" t="s">
        <v>100</v>
      </c>
      <c r="BP341" s="3" t="s">
        <v>74</v>
      </c>
      <c r="BQ341" s="3" t="s">
        <v>74</v>
      </c>
      <c r="BR341" s="3" t="s">
        <v>101</v>
      </c>
      <c r="BS341" s="3" t="s">
        <v>7101</v>
      </c>
      <c r="BT341" s="3" t="str">
        <f>HYPERLINK("https%3A%2F%2Fwww.webofscience.com%2Fwos%2Fwoscc%2Ffull-record%2FWOS:001256683100001","View Full Record in Web of Science")</f>
        <v>View Full Record in Web of Science</v>
      </c>
      <c r="BU341" s="3"/>
      <c r="BV341" s="3"/>
      <c r="BW341" s="1"/>
    </row>
    <row r="342" spans="1:75" x14ac:dyDescent="0.25">
      <c r="A342" s="3" t="s">
        <v>103</v>
      </c>
      <c r="B342" s="3" t="s">
        <v>7102</v>
      </c>
      <c r="C342" s="3" t="s">
        <v>74</v>
      </c>
      <c r="D342" s="3" t="s">
        <v>74</v>
      </c>
      <c r="E342" s="3" t="s">
        <v>199</v>
      </c>
      <c r="F342" s="3" t="s">
        <v>7103</v>
      </c>
      <c r="G342" s="3" t="s">
        <v>74</v>
      </c>
      <c r="H342" s="3" t="s">
        <v>74</v>
      </c>
      <c r="I342" s="3" t="s">
        <v>7104</v>
      </c>
      <c r="J342" s="3" t="s">
        <v>7105</v>
      </c>
      <c r="K342" s="3" t="s">
        <v>74</v>
      </c>
      <c r="L342" s="3" t="s">
        <v>74</v>
      </c>
      <c r="M342" s="3" t="s">
        <v>110</v>
      </c>
      <c r="N342" s="3" t="s">
        <v>111</v>
      </c>
      <c r="O342" s="3" t="s">
        <v>7106</v>
      </c>
      <c r="P342" s="3" t="s">
        <v>7107</v>
      </c>
      <c r="Q342" s="3" t="s">
        <v>7108</v>
      </c>
      <c r="R342" s="3" t="s">
        <v>74</v>
      </c>
      <c r="S342" s="3" t="s">
        <v>74</v>
      </c>
      <c r="T342" s="3" t="s">
        <v>7109</v>
      </c>
      <c r="U342" s="3" t="s">
        <v>74</v>
      </c>
      <c r="V342" s="3" t="s">
        <v>7110</v>
      </c>
      <c r="W342" s="3" t="s">
        <v>7111</v>
      </c>
      <c r="X342" s="3" t="s">
        <v>7112</v>
      </c>
      <c r="Y342" s="3" t="s">
        <v>7113</v>
      </c>
      <c r="Z342" s="3" t="s">
        <v>7114</v>
      </c>
      <c r="AA342" s="3" t="s">
        <v>74</v>
      </c>
      <c r="AB342" s="3" t="s">
        <v>74</v>
      </c>
      <c r="AC342" s="3" t="s">
        <v>74</v>
      </c>
      <c r="AD342" s="3" t="s">
        <v>74</v>
      </c>
      <c r="AE342" s="3" t="s">
        <v>74</v>
      </c>
      <c r="AF342" s="3" t="s">
        <v>74</v>
      </c>
      <c r="AG342" s="3">
        <v>12</v>
      </c>
      <c r="AH342" s="3">
        <v>0</v>
      </c>
      <c r="AI342" s="3">
        <v>0</v>
      </c>
      <c r="AJ342" s="3">
        <v>4</v>
      </c>
      <c r="AK342" s="3">
        <v>4</v>
      </c>
      <c r="AL342" s="3" t="s">
        <v>199</v>
      </c>
      <c r="AM342" s="3" t="s">
        <v>200</v>
      </c>
      <c r="AN342" s="3" t="s">
        <v>201</v>
      </c>
      <c r="AO342" s="3" t="s">
        <v>74</v>
      </c>
      <c r="AP342" s="3" t="s">
        <v>74</v>
      </c>
      <c r="AQ342" s="3" t="s">
        <v>7115</v>
      </c>
      <c r="AR342" s="3" t="s">
        <v>74</v>
      </c>
      <c r="AS342" s="3" t="s">
        <v>74</v>
      </c>
      <c r="AT342" s="3" t="s">
        <v>74</v>
      </c>
      <c r="AU342" s="3">
        <v>2024</v>
      </c>
      <c r="AV342" s="3" t="s">
        <v>74</v>
      </c>
      <c r="AW342" s="3" t="s">
        <v>74</v>
      </c>
      <c r="AX342" s="3" t="s">
        <v>74</v>
      </c>
      <c r="AY342" s="3" t="s">
        <v>74</v>
      </c>
      <c r="AZ342" s="3" t="s">
        <v>74</v>
      </c>
      <c r="BA342" s="3" t="s">
        <v>74</v>
      </c>
      <c r="BB342" s="3">
        <v>297</v>
      </c>
      <c r="BC342" s="3">
        <v>299</v>
      </c>
      <c r="BD342" s="3" t="s">
        <v>74</v>
      </c>
      <c r="BE342" s="3" t="s">
        <v>7116</v>
      </c>
      <c r="BF342" s="3" t="str">
        <f>HYPERLINK("http://dx.doi.org/10.1109/POWERAFRICA61624.2024.10759478","http://dx.doi.org/10.1109/POWERAFRICA61624.2024.10759478")</f>
        <v>http://dx.doi.org/10.1109/POWERAFRICA61624.2024.10759478</v>
      </c>
      <c r="BG342" s="3" t="s">
        <v>74</v>
      </c>
      <c r="BH342" s="3" t="s">
        <v>74</v>
      </c>
      <c r="BI342" s="3">
        <v>3</v>
      </c>
      <c r="BJ342" s="3" t="s">
        <v>4060</v>
      </c>
      <c r="BK342" s="3" t="s">
        <v>208</v>
      </c>
      <c r="BL342" s="3" t="s">
        <v>4061</v>
      </c>
      <c r="BM342" s="3" t="s">
        <v>7117</v>
      </c>
      <c r="BN342" s="3" t="s">
        <v>74</v>
      </c>
      <c r="BO342" s="3" t="s">
        <v>74</v>
      </c>
      <c r="BP342" s="3" t="s">
        <v>74</v>
      </c>
      <c r="BQ342" s="3" t="s">
        <v>74</v>
      </c>
      <c r="BR342" s="3" t="s">
        <v>101</v>
      </c>
      <c r="BS342" s="3" t="s">
        <v>7118</v>
      </c>
      <c r="BT342" s="3" t="str">
        <f>HYPERLINK("https%3A%2F%2Fwww.webofscience.com%2Fwos%2Fwoscc%2Ffull-record%2FWOS:001454278600049","View Full Record in Web of Science")</f>
        <v>View Full Record in Web of Science</v>
      </c>
      <c r="BU342" s="3"/>
      <c r="BV342" s="3"/>
      <c r="BW342" s="1"/>
    </row>
    <row r="343" spans="1:75" x14ac:dyDescent="0.25">
      <c r="A343" s="3" t="s">
        <v>103</v>
      </c>
      <c r="B343" s="3" t="s">
        <v>7119</v>
      </c>
      <c r="C343" s="3" t="s">
        <v>74</v>
      </c>
      <c r="D343" s="3" t="s">
        <v>74</v>
      </c>
      <c r="E343" s="3" t="s">
        <v>199</v>
      </c>
      <c r="F343" s="3" t="s">
        <v>7120</v>
      </c>
      <c r="G343" s="3" t="s">
        <v>74</v>
      </c>
      <c r="H343" s="3" t="s">
        <v>74</v>
      </c>
      <c r="I343" s="3" t="s">
        <v>7121</v>
      </c>
      <c r="J343" s="3" t="s">
        <v>7122</v>
      </c>
      <c r="K343" s="3" t="s">
        <v>7123</v>
      </c>
      <c r="L343" s="3" t="s">
        <v>74</v>
      </c>
      <c r="M343" s="3" t="s">
        <v>110</v>
      </c>
      <c r="N343" s="3" t="s">
        <v>111</v>
      </c>
      <c r="O343" s="3" t="s">
        <v>7124</v>
      </c>
      <c r="P343" s="3" t="s">
        <v>7125</v>
      </c>
      <c r="Q343" s="3" t="s">
        <v>7126</v>
      </c>
      <c r="R343" s="3" t="s">
        <v>74</v>
      </c>
      <c r="S343" s="3" t="s">
        <v>74</v>
      </c>
      <c r="T343" s="3" t="s">
        <v>7127</v>
      </c>
      <c r="U343" s="3" t="s">
        <v>74</v>
      </c>
      <c r="V343" s="3" t="s">
        <v>7128</v>
      </c>
      <c r="W343" s="3" t="s">
        <v>7129</v>
      </c>
      <c r="X343" s="3" t="s">
        <v>7130</v>
      </c>
      <c r="Y343" s="3" t="s">
        <v>7131</v>
      </c>
      <c r="Z343" s="3" t="s">
        <v>7132</v>
      </c>
      <c r="AA343" s="3" t="s">
        <v>74</v>
      </c>
      <c r="AB343" s="3" t="s">
        <v>7133</v>
      </c>
      <c r="AC343" s="3" t="s">
        <v>7134</v>
      </c>
      <c r="AD343" s="3" t="s">
        <v>7135</v>
      </c>
      <c r="AE343" s="3" t="s">
        <v>7136</v>
      </c>
      <c r="AF343" s="3" t="s">
        <v>74</v>
      </c>
      <c r="AG343" s="3">
        <v>19</v>
      </c>
      <c r="AH343" s="3">
        <v>0</v>
      </c>
      <c r="AI343" s="3">
        <v>0</v>
      </c>
      <c r="AJ343" s="3">
        <v>0</v>
      </c>
      <c r="AK343" s="3">
        <v>1</v>
      </c>
      <c r="AL343" s="3" t="s">
        <v>199</v>
      </c>
      <c r="AM343" s="3" t="s">
        <v>200</v>
      </c>
      <c r="AN343" s="3" t="s">
        <v>201</v>
      </c>
      <c r="AO343" s="3" t="s">
        <v>7137</v>
      </c>
      <c r="AP343" s="3" t="s">
        <v>74</v>
      </c>
      <c r="AQ343" s="3" t="s">
        <v>7138</v>
      </c>
      <c r="AR343" s="3" t="s">
        <v>7139</v>
      </c>
      <c r="AS343" s="3" t="s">
        <v>74</v>
      </c>
      <c r="AT343" s="3" t="s">
        <v>74</v>
      </c>
      <c r="AU343" s="3">
        <v>2024</v>
      </c>
      <c r="AV343" s="3" t="s">
        <v>74</v>
      </c>
      <c r="AW343" s="3" t="s">
        <v>74</v>
      </c>
      <c r="AX343" s="3" t="s">
        <v>74</v>
      </c>
      <c r="AY343" s="3" t="s">
        <v>74</v>
      </c>
      <c r="AZ343" s="3" t="s">
        <v>74</v>
      </c>
      <c r="BA343" s="3" t="s">
        <v>74</v>
      </c>
      <c r="BB343" s="3">
        <v>276</v>
      </c>
      <c r="BC343" s="3">
        <v>282</v>
      </c>
      <c r="BD343" s="3" t="s">
        <v>74</v>
      </c>
      <c r="BE343" s="3" t="s">
        <v>7140</v>
      </c>
      <c r="BF343" s="3" t="str">
        <f>HYPERLINK("http://dx.doi.org/10.1109/ISCAIE61308.2024.10576310","http://dx.doi.org/10.1109/ISCAIE61308.2024.10576310")</f>
        <v>http://dx.doi.org/10.1109/ISCAIE61308.2024.10576310</v>
      </c>
      <c r="BG343" s="3" t="s">
        <v>74</v>
      </c>
      <c r="BH343" s="3" t="s">
        <v>74</v>
      </c>
      <c r="BI343" s="3">
        <v>7</v>
      </c>
      <c r="BJ343" s="3" t="s">
        <v>7141</v>
      </c>
      <c r="BK343" s="3" t="s">
        <v>208</v>
      </c>
      <c r="BL343" s="3" t="s">
        <v>383</v>
      </c>
      <c r="BM343" s="3" t="s">
        <v>7142</v>
      </c>
      <c r="BN343" s="3" t="s">
        <v>74</v>
      </c>
      <c r="BO343" s="3" t="s">
        <v>74</v>
      </c>
      <c r="BP343" s="3" t="s">
        <v>74</v>
      </c>
      <c r="BQ343" s="3" t="s">
        <v>74</v>
      </c>
      <c r="BR343" s="3" t="s">
        <v>101</v>
      </c>
      <c r="BS343" s="3" t="s">
        <v>7143</v>
      </c>
      <c r="BT343" s="3" t="str">
        <f>HYPERLINK("https%3A%2F%2Fwww.webofscience.com%2Fwos%2Fwoscc%2Ffull-record%2FWOS:001283898700027","View Full Record in Web of Science")</f>
        <v>View Full Record in Web of Science</v>
      </c>
      <c r="BU343" s="3"/>
      <c r="BV343" s="3"/>
      <c r="BW343" s="1"/>
    </row>
    <row r="344" spans="1:75" x14ac:dyDescent="0.25">
      <c r="A344" s="3" t="s">
        <v>72</v>
      </c>
      <c r="B344" s="3" t="s">
        <v>7144</v>
      </c>
      <c r="C344" s="3" t="s">
        <v>74</v>
      </c>
      <c r="D344" s="3" t="s">
        <v>74</v>
      </c>
      <c r="E344" s="3" t="s">
        <v>74</v>
      </c>
      <c r="F344" s="3" t="s">
        <v>7145</v>
      </c>
      <c r="G344" s="3" t="s">
        <v>74</v>
      </c>
      <c r="H344" s="3" t="s">
        <v>74</v>
      </c>
      <c r="I344" s="3" t="s">
        <v>7146</v>
      </c>
      <c r="J344" s="3" t="s">
        <v>7147</v>
      </c>
      <c r="K344" s="3" t="s">
        <v>74</v>
      </c>
      <c r="L344" s="3" t="s">
        <v>74</v>
      </c>
      <c r="M344" s="3" t="s">
        <v>110</v>
      </c>
      <c r="N344" s="3" t="s">
        <v>216</v>
      </c>
      <c r="O344" s="3" t="s">
        <v>74</v>
      </c>
      <c r="P344" s="3" t="s">
        <v>74</v>
      </c>
      <c r="Q344" s="3" t="s">
        <v>74</v>
      </c>
      <c r="R344" s="3" t="s">
        <v>74</v>
      </c>
      <c r="S344" s="3" t="s">
        <v>74</v>
      </c>
      <c r="T344" s="3" t="s">
        <v>7148</v>
      </c>
      <c r="U344" s="3" t="s">
        <v>7149</v>
      </c>
      <c r="V344" s="3" t="s">
        <v>7150</v>
      </c>
      <c r="W344" s="3" t="s">
        <v>7151</v>
      </c>
      <c r="X344" s="3" t="s">
        <v>7152</v>
      </c>
      <c r="Y344" s="3" t="s">
        <v>7153</v>
      </c>
      <c r="Z344" s="3" t="s">
        <v>7154</v>
      </c>
      <c r="AA344" s="3" t="s">
        <v>7155</v>
      </c>
      <c r="AB344" s="3" t="s">
        <v>74</v>
      </c>
      <c r="AC344" s="3" t="s">
        <v>7156</v>
      </c>
      <c r="AD344" s="3" t="s">
        <v>7157</v>
      </c>
      <c r="AE344" s="3" t="s">
        <v>7158</v>
      </c>
      <c r="AF344" s="3" t="s">
        <v>74</v>
      </c>
      <c r="AG344" s="3">
        <v>53</v>
      </c>
      <c r="AH344" s="3">
        <v>121</v>
      </c>
      <c r="AI344" s="3">
        <v>135</v>
      </c>
      <c r="AJ344" s="3">
        <v>3</v>
      </c>
      <c r="AK344" s="3">
        <v>327</v>
      </c>
      <c r="AL344" s="3" t="s">
        <v>7159</v>
      </c>
      <c r="AM344" s="3" t="s">
        <v>2162</v>
      </c>
      <c r="AN344" s="3" t="s">
        <v>7160</v>
      </c>
      <c r="AO344" s="3" t="s">
        <v>7161</v>
      </c>
      <c r="AP344" s="3" t="s">
        <v>7162</v>
      </c>
      <c r="AQ344" s="3" t="s">
        <v>74</v>
      </c>
      <c r="AR344" s="3" t="s">
        <v>7163</v>
      </c>
      <c r="AS344" s="3" t="s">
        <v>7164</v>
      </c>
      <c r="AT344" s="3" t="s">
        <v>151</v>
      </c>
      <c r="AU344" s="3">
        <v>2012</v>
      </c>
      <c r="AV344" s="3">
        <v>55</v>
      </c>
      <c r="AW344" s="3">
        <v>12</v>
      </c>
      <c r="AX344" s="3" t="s">
        <v>74</v>
      </c>
      <c r="AY344" s="3" t="s">
        <v>74</v>
      </c>
      <c r="AZ344" s="3" t="s">
        <v>74</v>
      </c>
      <c r="BA344" s="3" t="s">
        <v>74</v>
      </c>
      <c r="BB344" s="3">
        <v>2908</v>
      </c>
      <c r="BC344" s="3">
        <v>2914</v>
      </c>
      <c r="BD344" s="3" t="s">
        <v>74</v>
      </c>
      <c r="BE344" s="3" t="s">
        <v>7165</v>
      </c>
      <c r="BF344" s="3" t="str">
        <f>HYPERLINK("http://dx.doi.org/10.1007/s11432-012-4725-1","http://dx.doi.org/10.1007/s11432-012-4725-1")</f>
        <v>http://dx.doi.org/10.1007/s11432-012-4725-1</v>
      </c>
      <c r="BG344" s="3" t="s">
        <v>74</v>
      </c>
      <c r="BH344" s="3" t="s">
        <v>74</v>
      </c>
      <c r="BI344" s="3">
        <v>7</v>
      </c>
      <c r="BJ344" s="3" t="s">
        <v>7166</v>
      </c>
      <c r="BK344" s="3" t="s">
        <v>179</v>
      </c>
      <c r="BL344" s="3" t="s">
        <v>383</v>
      </c>
      <c r="BM344" s="3" t="s">
        <v>7167</v>
      </c>
      <c r="BN344" s="3" t="s">
        <v>74</v>
      </c>
      <c r="BO344" s="3" t="s">
        <v>74</v>
      </c>
      <c r="BP344" s="3" t="s">
        <v>74</v>
      </c>
      <c r="BQ344" s="3" t="s">
        <v>74</v>
      </c>
      <c r="BR344" s="3" t="s">
        <v>101</v>
      </c>
      <c r="BS344" s="3" t="s">
        <v>7168</v>
      </c>
      <c r="BT344" s="3" t="str">
        <f>HYPERLINK("https%3A%2F%2Fwww.webofscience.com%2Fwos%2Fwoscc%2Ffull-record%2FWOS:000312884300019","View Full Record in Web of Science")</f>
        <v>View Full Record in Web of Science</v>
      </c>
      <c r="BU344" s="3"/>
      <c r="BV344" s="3"/>
      <c r="BW344" s="1"/>
    </row>
    <row r="345" spans="1:75" x14ac:dyDescent="0.25">
      <c r="A345" s="3" t="s">
        <v>103</v>
      </c>
      <c r="B345" s="3" t="s">
        <v>7169</v>
      </c>
      <c r="C345" s="3" t="s">
        <v>74</v>
      </c>
      <c r="D345" s="3" t="s">
        <v>7170</v>
      </c>
      <c r="E345" s="3" t="s">
        <v>74</v>
      </c>
      <c r="F345" s="3" t="s">
        <v>7171</v>
      </c>
      <c r="G345" s="3" t="s">
        <v>74</v>
      </c>
      <c r="H345" s="3" t="s">
        <v>74</v>
      </c>
      <c r="I345" s="3" t="s">
        <v>7172</v>
      </c>
      <c r="J345" s="3" t="s">
        <v>7173</v>
      </c>
      <c r="K345" s="3" t="s">
        <v>1326</v>
      </c>
      <c r="L345" s="3" t="s">
        <v>74</v>
      </c>
      <c r="M345" s="3" t="s">
        <v>110</v>
      </c>
      <c r="N345" s="3" t="s">
        <v>111</v>
      </c>
      <c r="O345" s="3" t="s">
        <v>7174</v>
      </c>
      <c r="P345" s="3" t="s">
        <v>7175</v>
      </c>
      <c r="Q345" s="3" t="s">
        <v>7176</v>
      </c>
      <c r="R345" s="3" t="s">
        <v>74</v>
      </c>
      <c r="S345" s="3" t="s">
        <v>74</v>
      </c>
      <c r="T345" s="3" t="s">
        <v>7177</v>
      </c>
      <c r="U345" s="3" t="s">
        <v>74</v>
      </c>
      <c r="V345" s="3" t="s">
        <v>7178</v>
      </c>
      <c r="W345" s="3" t="s">
        <v>7179</v>
      </c>
      <c r="X345" s="3" t="s">
        <v>7180</v>
      </c>
      <c r="Y345" s="3" t="s">
        <v>7181</v>
      </c>
      <c r="Z345" s="3" t="s">
        <v>7182</v>
      </c>
      <c r="AA345" s="3" t="s">
        <v>7183</v>
      </c>
      <c r="AB345" s="3" t="s">
        <v>7184</v>
      </c>
      <c r="AC345" s="3" t="s">
        <v>74</v>
      </c>
      <c r="AD345" s="3" t="s">
        <v>74</v>
      </c>
      <c r="AE345" s="3" t="s">
        <v>74</v>
      </c>
      <c r="AF345" s="3" t="s">
        <v>74</v>
      </c>
      <c r="AG345" s="3">
        <v>14</v>
      </c>
      <c r="AH345" s="3">
        <v>0</v>
      </c>
      <c r="AI345" s="3">
        <v>0</v>
      </c>
      <c r="AJ345" s="3">
        <v>1</v>
      </c>
      <c r="AK345" s="3">
        <v>1</v>
      </c>
      <c r="AL345" s="3" t="s">
        <v>2522</v>
      </c>
      <c r="AM345" s="3" t="s">
        <v>2523</v>
      </c>
      <c r="AN345" s="3" t="s">
        <v>7185</v>
      </c>
      <c r="AO345" s="3" t="s">
        <v>1340</v>
      </c>
      <c r="AP345" s="3" t="s">
        <v>1341</v>
      </c>
      <c r="AQ345" s="3" t="s">
        <v>7186</v>
      </c>
      <c r="AR345" s="3" t="s">
        <v>1343</v>
      </c>
      <c r="AS345" s="3" t="s">
        <v>74</v>
      </c>
      <c r="AT345" s="3" t="s">
        <v>74</v>
      </c>
      <c r="AU345" s="3">
        <v>2024</v>
      </c>
      <c r="AV345" s="3">
        <v>14518</v>
      </c>
      <c r="AW345" s="3" t="s">
        <v>74</v>
      </c>
      <c r="AX345" s="3" t="s">
        <v>74</v>
      </c>
      <c r="AY345" s="3" t="s">
        <v>74</v>
      </c>
      <c r="AZ345" s="3" t="s">
        <v>74</v>
      </c>
      <c r="BA345" s="3" t="s">
        <v>74</v>
      </c>
      <c r="BB345" s="3">
        <v>229</v>
      </c>
      <c r="BC345" s="3">
        <v>240</v>
      </c>
      <c r="BD345" s="3" t="s">
        <v>74</v>
      </c>
      <c r="BE345" s="3" t="s">
        <v>7187</v>
      </c>
      <c r="BF345" s="3" t="str">
        <f>HYPERLINK("http://dx.doi.org/10.1007/978-981-97-0989-2_18","http://dx.doi.org/10.1007/978-981-97-0989-2_18")</f>
        <v>http://dx.doi.org/10.1007/978-981-97-0989-2_18</v>
      </c>
      <c r="BG345" s="3" t="s">
        <v>74</v>
      </c>
      <c r="BH345" s="3" t="s">
        <v>74</v>
      </c>
      <c r="BI345" s="3">
        <v>12</v>
      </c>
      <c r="BJ345" s="3" t="s">
        <v>7188</v>
      </c>
      <c r="BK345" s="3" t="s">
        <v>208</v>
      </c>
      <c r="BL345" s="3" t="s">
        <v>486</v>
      </c>
      <c r="BM345" s="3" t="s">
        <v>7189</v>
      </c>
      <c r="BN345" s="3" t="s">
        <v>74</v>
      </c>
      <c r="BO345" s="3" t="s">
        <v>74</v>
      </c>
      <c r="BP345" s="3" t="s">
        <v>74</v>
      </c>
      <c r="BQ345" s="3" t="s">
        <v>74</v>
      </c>
      <c r="BR345" s="3" t="s">
        <v>101</v>
      </c>
      <c r="BS345" s="3" t="s">
        <v>7190</v>
      </c>
      <c r="BT345" s="3" t="str">
        <f>HYPERLINK("https%3A%2F%2Fwww.webofscience.com%2Fwos%2Fwoscc%2Ffull-record%2FWOS:001213987000018","View Full Record in Web of Science")</f>
        <v>View Full Record in Web of Science</v>
      </c>
      <c r="BU345" s="3"/>
      <c r="BV345" s="3"/>
      <c r="BW345" s="1"/>
    </row>
    <row r="346" spans="1:75" x14ac:dyDescent="0.25">
      <c r="A346" s="3" t="s">
        <v>72</v>
      </c>
      <c r="B346" s="3" t="s">
        <v>7191</v>
      </c>
      <c r="C346" s="3" t="s">
        <v>74</v>
      </c>
      <c r="D346" s="3" t="s">
        <v>74</v>
      </c>
      <c r="E346" s="3" t="s">
        <v>74</v>
      </c>
      <c r="F346" s="3" t="s">
        <v>7192</v>
      </c>
      <c r="G346" s="3" t="s">
        <v>74</v>
      </c>
      <c r="H346" s="3" t="s">
        <v>74</v>
      </c>
      <c r="I346" s="3" t="s">
        <v>7193</v>
      </c>
      <c r="J346" s="3" t="s">
        <v>7194</v>
      </c>
      <c r="K346" s="3" t="s">
        <v>74</v>
      </c>
      <c r="L346" s="3" t="s">
        <v>74</v>
      </c>
      <c r="M346" s="3" t="s">
        <v>110</v>
      </c>
      <c r="N346" s="3" t="s">
        <v>79</v>
      </c>
      <c r="O346" s="3" t="s">
        <v>74</v>
      </c>
      <c r="P346" s="3" t="s">
        <v>74</v>
      </c>
      <c r="Q346" s="3" t="s">
        <v>74</v>
      </c>
      <c r="R346" s="3" t="s">
        <v>74</v>
      </c>
      <c r="S346" s="3" t="s">
        <v>74</v>
      </c>
      <c r="T346" s="3" t="s">
        <v>7195</v>
      </c>
      <c r="U346" s="3" t="s">
        <v>74</v>
      </c>
      <c r="V346" s="3" t="s">
        <v>7196</v>
      </c>
      <c r="W346" s="3" t="s">
        <v>7197</v>
      </c>
      <c r="X346" s="3" t="s">
        <v>7198</v>
      </c>
      <c r="Y346" s="3" t="s">
        <v>7199</v>
      </c>
      <c r="Z346" s="3" t="s">
        <v>7200</v>
      </c>
      <c r="AA346" s="3" t="s">
        <v>7201</v>
      </c>
      <c r="AB346" s="3" t="s">
        <v>74</v>
      </c>
      <c r="AC346" s="3" t="s">
        <v>74</v>
      </c>
      <c r="AD346" s="3" t="s">
        <v>74</v>
      </c>
      <c r="AE346" s="3" t="s">
        <v>74</v>
      </c>
      <c r="AF346" s="3" t="s">
        <v>74</v>
      </c>
      <c r="AG346" s="3">
        <v>32</v>
      </c>
      <c r="AH346" s="3">
        <v>0</v>
      </c>
      <c r="AI346" s="3">
        <v>0</v>
      </c>
      <c r="AJ346" s="3">
        <v>10</v>
      </c>
      <c r="AK346" s="3">
        <v>10</v>
      </c>
      <c r="AL346" s="3" t="s">
        <v>671</v>
      </c>
      <c r="AM346" s="3" t="s">
        <v>124</v>
      </c>
      <c r="AN346" s="3" t="s">
        <v>672</v>
      </c>
      <c r="AO346" s="3" t="s">
        <v>7202</v>
      </c>
      <c r="AP346" s="3" t="s">
        <v>7203</v>
      </c>
      <c r="AQ346" s="3" t="s">
        <v>74</v>
      </c>
      <c r="AR346" s="3" t="s">
        <v>7204</v>
      </c>
      <c r="AS346" s="3" t="s">
        <v>7205</v>
      </c>
      <c r="AT346" s="3" t="s">
        <v>7206</v>
      </c>
      <c r="AU346" s="3">
        <v>2026</v>
      </c>
      <c r="AV346" s="3">
        <v>472</v>
      </c>
      <c r="AW346" s="3" t="s">
        <v>74</v>
      </c>
      <c r="AX346" s="3" t="s">
        <v>74</v>
      </c>
      <c r="AY346" s="3" t="s">
        <v>74</v>
      </c>
      <c r="AZ346" s="3" t="s">
        <v>74</v>
      </c>
      <c r="BA346" s="3" t="s">
        <v>74</v>
      </c>
      <c r="BB346" s="3" t="s">
        <v>74</v>
      </c>
      <c r="BC346" s="3" t="s">
        <v>74</v>
      </c>
      <c r="BD346" s="3">
        <v>116775</v>
      </c>
      <c r="BE346" s="3" t="s">
        <v>7207</v>
      </c>
      <c r="BF346" s="3" t="str">
        <f>HYPERLINK("http://dx.doi.org/10.1016/j.cam.2025.116775","http://dx.doi.org/10.1016/j.cam.2025.116775")</f>
        <v>http://dx.doi.org/10.1016/j.cam.2025.116775</v>
      </c>
      <c r="BG346" s="3" t="s">
        <v>74</v>
      </c>
      <c r="BH346" s="3" t="s">
        <v>1643</v>
      </c>
      <c r="BI346" s="3">
        <v>15</v>
      </c>
      <c r="BJ346" s="3" t="s">
        <v>7208</v>
      </c>
      <c r="BK346" s="3" t="s">
        <v>179</v>
      </c>
      <c r="BL346" s="3" t="s">
        <v>7209</v>
      </c>
      <c r="BM346" s="3" t="s">
        <v>7210</v>
      </c>
      <c r="BN346" s="3" t="s">
        <v>74</v>
      </c>
      <c r="BO346" s="3" t="s">
        <v>74</v>
      </c>
      <c r="BP346" s="3" t="s">
        <v>74</v>
      </c>
      <c r="BQ346" s="3" t="s">
        <v>74</v>
      </c>
      <c r="BR346" s="3" t="s">
        <v>101</v>
      </c>
      <c r="BS346" s="3" t="s">
        <v>7211</v>
      </c>
      <c r="BT346" s="3" t="str">
        <f>HYPERLINK("https%3A%2F%2Fwww.webofscience.com%2Fwos%2Fwoscc%2Ffull-record%2FWOS:001509073400006","View Full Record in Web of Science")</f>
        <v>View Full Record in Web of Science</v>
      </c>
      <c r="BU346" s="3"/>
      <c r="BV346" s="3"/>
      <c r="BW346" s="1"/>
    </row>
    <row r="347" spans="1:75" x14ac:dyDescent="0.25">
      <c r="A347" s="3" t="s">
        <v>72</v>
      </c>
      <c r="B347" s="3" t="s">
        <v>7212</v>
      </c>
      <c r="C347" s="3" t="s">
        <v>74</v>
      </c>
      <c r="D347" s="3" t="s">
        <v>74</v>
      </c>
      <c r="E347" s="3" t="s">
        <v>74</v>
      </c>
      <c r="F347" s="3" t="s">
        <v>7213</v>
      </c>
      <c r="G347" s="3" t="s">
        <v>74</v>
      </c>
      <c r="H347" s="3" t="s">
        <v>74</v>
      </c>
      <c r="I347" s="3" t="s">
        <v>7214</v>
      </c>
      <c r="J347" s="3" t="s">
        <v>1261</v>
      </c>
      <c r="K347" s="3" t="s">
        <v>74</v>
      </c>
      <c r="L347" s="3" t="s">
        <v>74</v>
      </c>
      <c r="M347" s="3" t="s">
        <v>110</v>
      </c>
      <c r="N347" s="3" t="s">
        <v>216</v>
      </c>
      <c r="O347" s="3" t="s">
        <v>74</v>
      </c>
      <c r="P347" s="3" t="s">
        <v>74</v>
      </c>
      <c r="Q347" s="3" t="s">
        <v>74</v>
      </c>
      <c r="R347" s="3" t="s">
        <v>74</v>
      </c>
      <c r="S347" s="3" t="s">
        <v>74</v>
      </c>
      <c r="T347" s="3" t="s">
        <v>7215</v>
      </c>
      <c r="U347" s="3" t="s">
        <v>7216</v>
      </c>
      <c r="V347" s="3" t="s">
        <v>7217</v>
      </c>
      <c r="W347" s="3" t="s">
        <v>7218</v>
      </c>
      <c r="X347" s="3" t="s">
        <v>7219</v>
      </c>
      <c r="Y347" s="3" t="s">
        <v>7220</v>
      </c>
      <c r="Z347" s="3" t="s">
        <v>7221</v>
      </c>
      <c r="AA347" s="3" t="s">
        <v>7222</v>
      </c>
      <c r="AB347" s="3" t="s">
        <v>74</v>
      </c>
      <c r="AC347" s="3" t="s">
        <v>74</v>
      </c>
      <c r="AD347" s="3" t="s">
        <v>74</v>
      </c>
      <c r="AE347" s="3" t="s">
        <v>74</v>
      </c>
      <c r="AF347" s="3" t="s">
        <v>74</v>
      </c>
      <c r="AG347" s="3">
        <v>64</v>
      </c>
      <c r="AH347" s="3">
        <v>0</v>
      </c>
      <c r="AI347" s="3">
        <v>0</v>
      </c>
      <c r="AJ347" s="3">
        <v>2</v>
      </c>
      <c r="AK347" s="3">
        <v>2</v>
      </c>
      <c r="AL347" s="3" t="s">
        <v>145</v>
      </c>
      <c r="AM347" s="3" t="s">
        <v>146</v>
      </c>
      <c r="AN347" s="3" t="s">
        <v>147</v>
      </c>
      <c r="AO347" s="3" t="s">
        <v>74</v>
      </c>
      <c r="AP347" s="3" t="s">
        <v>1274</v>
      </c>
      <c r="AQ347" s="3" t="s">
        <v>74</v>
      </c>
      <c r="AR347" s="3" t="s">
        <v>1275</v>
      </c>
      <c r="AS347" s="3" t="s">
        <v>1276</v>
      </c>
      <c r="AT347" s="3" t="s">
        <v>6795</v>
      </c>
      <c r="AU347" s="3">
        <v>2025</v>
      </c>
      <c r="AV347" s="3">
        <v>5</v>
      </c>
      <c r="AW347" s="3">
        <v>3</v>
      </c>
      <c r="AX347" s="3" t="s">
        <v>74</v>
      </c>
      <c r="AY347" s="3" t="s">
        <v>74</v>
      </c>
      <c r="AZ347" s="3" t="s">
        <v>74</v>
      </c>
      <c r="BA347" s="3" t="s">
        <v>74</v>
      </c>
      <c r="BB347" s="3" t="s">
        <v>74</v>
      </c>
      <c r="BC347" s="3" t="s">
        <v>74</v>
      </c>
      <c r="BD347" s="3">
        <v>94</v>
      </c>
      <c r="BE347" s="3" t="s">
        <v>7223</v>
      </c>
      <c r="BF347" s="3" t="str">
        <f>HYPERLINK("http://dx.doi.org/10.3390/futuretransp5030094","http://dx.doi.org/10.3390/futuretransp5030094")</f>
        <v>http://dx.doi.org/10.3390/futuretransp5030094</v>
      </c>
      <c r="BG347" s="3" t="s">
        <v>74</v>
      </c>
      <c r="BH347" s="3" t="s">
        <v>74</v>
      </c>
      <c r="BI347" s="3">
        <v>27</v>
      </c>
      <c r="BJ347" s="3" t="s">
        <v>129</v>
      </c>
      <c r="BK347" s="3" t="s">
        <v>97</v>
      </c>
      <c r="BL347" s="3" t="s">
        <v>131</v>
      </c>
      <c r="BM347" s="3" t="s">
        <v>7224</v>
      </c>
      <c r="BN347" s="3" t="s">
        <v>74</v>
      </c>
      <c r="BO347" s="3" t="s">
        <v>100</v>
      </c>
      <c r="BP347" s="3" t="s">
        <v>74</v>
      </c>
      <c r="BQ347" s="3" t="s">
        <v>74</v>
      </c>
      <c r="BR347" s="3" t="s">
        <v>101</v>
      </c>
      <c r="BS347" s="3" t="s">
        <v>7225</v>
      </c>
      <c r="BT347" s="3" t="str">
        <f>HYPERLINK("https%3A%2F%2Fwww.webofscience.com%2Fwos%2Fwoscc%2Ffull-record%2FWOS:001580973100001","View Full Record in Web of Science")</f>
        <v>View Full Record in Web of Science</v>
      </c>
      <c r="BU347" s="3"/>
      <c r="BV347" s="3"/>
      <c r="BW347" s="1"/>
    </row>
    <row r="348" spans="1:75" x14ac:dyDescent="0.25">
      <c r="A348" s="3" t="s">
        <v>72</v>
      </c>
      <c r="B348" s="3" t="s">
        <v>7226</v>
      </c>
      <c r="C348" s="3" t="s">
        <v>74</v>
      </c>
      <c r="D348" s="3" t="s">
        <v>74</v>
      </c>
      <c r="E348" s="3" t="s">
        <v>74</v>
      </c>
      <c r="F348" s="3" t="s">
        <v>7227</v>
      </c>
      <c r="G348" s="3" t="s">
        <v>74</v>
      </c>
      <c r="H348" s="3" t="s">
        <v>74</v>
      </c>
      <c r="I348" s="3" t="s">
        <v>7228</v>
      </c>
      <c r="J348" s="3" t="s">
        <v>7229</v>
      </c>
      <c r="K348" s="3" t="s">
        <v>74</v>
      </c>
      <c r="L348" s="3" t="s">
        <v>74</v>
      </c>
      <c r="M348" s="3" t="s">
        <v>110</v>
      </c>
      <c r="N348" s="3" t="s">
        <v>79</v>
      </c>
      <c r="O348" s="3" t="s">
        <v>74</v>
      </c>
      <c r="P348" s="3" t="s">
        <v>74</v>
      </c>
      <c r="Q348" s="3" t="s">
        <v>74</v>
      </c>
      <c r="R348" s="3" t="s">
        <v>74</v>
      </c>
      <c r="S348" s="3" t="s">
        <v>74</v>
      </c>
      <c r="T348" s="3" t="s">
        <v>7230</v>
      </c>
      <c r="U348" s="3" t="s">
        <v>7231</v>
      </c>
      <c r="V348" s="3" t="s">
        <v>7232</v>
      </c>
      <c r="W348" s="3" t="s">
        <v>7233</v>
      </c>
      <c r="X348" s="3" t="s">
        <v>7234</v>
      </c>
      <c r="Y348" s="3" t="s">
        <v>7235</v>
      </c>
      <c r="Z348" s="3" t="s">
        <v>7236</v>
      </c>
      <c r="AA348" s="3" t="s">
        <v>7237</v>
      </c>
      <c r="AB348" s="3" t="s">
        <v>74</v>
      </c>
      <c r="AC348" s="3" t="s">
        <v>74</v>
      </c>
      <c r="AD348" s="3" t="s">
        <v>74</v>
      </c>
      <c r="AE348" s="3" t="s">
        <v>74</v>
      </c>
      <c r="AF348" s="3" t="s">
        <v>74</v>
      </c>
      <c r="AG348" s="3">
        <v>88</v>
      </c>
      <c r="AH348" s="3">
        <v>0</v>
      </c>
      <c r="AI348" s="3">
        <v>0</v>
      </c>
      <c r="AJ348" s="3">
        <v>3</v>
      </c>
      <c r="AK348" s="3">
        <v>3</v>
      </c>
      <c r="AL348" s="3" t="s">
        <v>304</v>
      </c>
      <c r="AM348" s="3" t="s">
        <v>305</v>
      </c>
      <c r="AN348" s="3" t="s">
        <v>306</v>
      </c>
      <c r="AO348" s="3" t="s">
        <v>7238</v>
      </c>
      <c r="AP348" s="3" t="s">
        <v>7239</v>
      </c>
      <c r="AQ348" s="3" t="s">
        <v>74</v>
      </c>
      <c r="AR348" s="3" t="s">
        <v>7240</v>
      </c>
      <c r="AS348" s="3" t="s">
        <v>7241</v>
      </c>
      <c r="AT348" s="3" t="s">
        <v>7242</v>
      </c>
      <c r="AU348" s="3">
        <v>2025</v>
      </c>
      <c r="AV348" s="3">
        <v>162</v>
      </c>
      <c r="AW348" s="3" t="s">
        <v>74</v>
      </c>
      <c r="AX348" s="3" t="s">
        <v>7243</v>
      </c>
      <c r="AY348" s="3" t="s">
        <v>74</v>
      </c>
      <c r="AZ348" s="3" t="s">
        <v>74</v>
      </c>
      <c r="BA348" s="3" t="s">
        <v>74</v>
      </c>
      <c r="BB348" s="3" t="s">
        <v>74</v>
      </c>
      <c r="BC348" s="3" t="s">
        <v>74</v>
      </c>
      <c r="BD348" s="3">
        <v>112700</v>
      </c>
      <c r="BE348" s="3" t="s">
        <v>7244</v>
      </c>
      <c r="BF348" s="3" t="str">
        <f>HYPERLINK("http://dx.doi.org/10.1016/j.engappai.2025.112700","http://dx.doi.org/10.1016/j.engappai.2025.112700")</f>
        <v>http://dx.doi.org/10.1016/j.engappai.2025.112700</v>
      </c>
      <c r="BG348" s="3" t="s">
        <v>74</v>
      </c>
      <c r="BH348" s="3" t="s">
        <v>7245</v>
      </c>
      <c r="BI348" s="3">
        <v>17</v>
      </c>
      <c r="BJ348" s="3" t="s">
        <v>7246</v>
      </c>
      <c r="BK348" s="3" t="s">
        <v>179</v>
      </c>
      <c r="BL348" s="3" t="s">
        <v>7247</v>
      </c>
      <c r="BM348" s="3" t="s">
        <v>7248</v>
      </c>
      <c r="BN348" s="3" t="s">
        <v>74</v>
      </c>
      <c r="BO348" s="3" t="s">
        <v>74</v>
      </c>
      <c r="BP348" s="3" t="s">
        <v>74</v>
      </c>
      <c r="BQ348" s="3" t="s">
        <v>74</v>
      </c>
      <c r="BR348" s="3" t="s">
        <v>101</v>
      </c>
      <c r="BS348" s="3" t="s">
        <v>7249</v>
      </c>
      <c r="BT348" s="3" t="str">
        <f>HYPERLINK("https%3A%2F%2Fwww.webofscience.com%2Fwos%2Fwoscc%2Ffull-record%2FWOS:001597487800001","View Full Record in Web of Science")</f>
        <v>View Full Record in Web of Science</v>
      </c>
      <c r="BU348" s="3"/>
      <c r="BV348" s="3"/>
      <c r="BW348" s="1"/>
    </row>
    <row r="349" spans="1:75" x14ac:dyDescent="0.25">
      <c r="A349" s="3" t="s">
        <v>72</v>
      </c>
      <c r="B349" s="3" t="s">
        <v>7250</v>
      </c>
      <c r="C349" s="3" t="s">
        <v>74</v>
      </c>
      <c r="D349" s="3" t="s">
        <v>74</v>
      </c>
      <c r="E349" s="3" t="s">
        <v>74</v>
      </c>
      <c r="F349" s="3" t="s">
        <v>7251</v>
      </c>
      <c r="G349" s="3" t="s">
        <v>74</v>
      </c>
      <c r="H349" s="3" t="s">
        <v>74</v>
      </c>
      <c r="I349" s="3" t="s">
        <v>7252</v>
      </c>
      <c r="J349" s="3" t="s">
        <v>7253</v>
      </c>
      <c r="K349" s="3" t="s">
        <v>74</v>
      </c>
      <c r="L349" s="3" t="s">
        <v>74</v>
      </c>
      <c r="M349" s="3" t="s">
        <v>110</v>
      </c>
      <c r="N349" s="3" t="s">
        <v>79</v>
      </c>
      <c r="O349" s="3" t="s">
        <v>74</v>
      </c>
      <c r="P349" s="3" t="s">
        <v>74</v>
      </c>
      <c r="Q349" s="3" t="s">
        <v>74</v>
      </c>
      <c r="R349" s="3" t="s">
        <v>74</v>
      </c>
      <c r="S349" s="3" t="s">
        <v>74</v>
      </c>
      <c r="T349" s="3" t="s">
        <v>7254</v>
      </c>
      <c r="U349" s="3" t="s">
        <v>7255</v>
      </c>
      <c r="V349" s="3" t="s">
        <v>7256</v>
      </c>
      <c r="W349" s="3" t="s">
        <v>7257</v>
      </c>
      <c r="X349" s="3" t="s">
        <v>7258</v>
      </c>
      <c r="Y349" s="3" t="s">
        <v>7259</v>
      </c>
      <c r="Z349" s="3" t="s">
        <v>7260</v>
      </c>
      <c r="AA349" s="3" t="s">
        <v>7261</v>
      </c>
      <c r="AB349" s="3" t="s">
        <v>7262</v>
      </c>
      <c r="AC349" s="3" t="s">
        <v>7263</v>
      </c>
      <c r="AD349" s="3" t="s">
        <v>7264</v>
      </c>
      <c r="AE349" s="3" t="s">
        <v>7265</v>
      </c>
      <c r="AF349" s="3" t="s">
        <v>74</v>
      </c>
      <c r="AG349" s="3">
        <v>56</v>
      </c>
      <c r="AH349" s="3">
        <v>0</v>
      </c>
      <c r="AI349" s="3">
        <v>0</v>
      </c>
      <c r="AJ349" s="3">
        <v>8</v>
      </c>
      <c r="AK349" s="3">
        <v>8</v>
      </c>
      <c r="AL349" s="3" t="s">
        <v>671</v>
      </c>
      <c r="AM349" s="3" t="s">
        <v>124</v>
      </c>
      <c r="AN349" s="3" t="s">
        <v>672</v>
      </c>
      <c r="AO349" s="3" t="s">
        <v>7266</v>
      </c>
      <c r="AP349" s="3" t="s">
        <v>7267</v>
      </c>
      <c r="AQ349" s="3" t="s">
        <v>74</v>
      </c>
      <c r="AR349" s="3" t="s">
        <v>7268</v>
      </c>
      <c r="AS349" s="3" t="s">
        <v>7269</v>
      </c>
      <c r="AT349" s="3" t="s">
        <v>333</v>
      </c>
      <c r="AU349" s="3">
        <v>2025</v>
      </c>
      <c r="AV349" s="3">
        <v>47</v>
      </c>
      <c r="AW349" s="3" t="s">
        <v>74</v>
      </c>
      <c r="AX349" s="3" t="s">
        <v>74</v>
      </c>
      <c r="AY349" s="3" t="s">
        <v>74</v>
      </c>
      <c r="AZ349" s="3" t="s">
        <v>74</v>
      </c>
      <c r="BA349" s="3" t="s">
        <v>74</v>
      </c>
      <c r="BB349" s="3" t="s">
        <v>74</v>
      </c>
      <c r="BC349" s="3" t="s">
        <v>74</v>
      </c>
      <c r="BD349" s="3">
        <v>101137</v>
      </c>
      <c r="BE349" s="3" t="s">
        <v>7270</v>
      </c>
      <c r="BF349" s="3" t="str">
        <f>HYPERLINK("http://dx.doi.org/10.1016/j.suscom.2025.101137","http://dx.doi.org/10.1016/j.suscom.2025.101137")</f>
        <v>http://dx.doi.org/10.1016/j.suscom.2025.101137</v>
      </c>
      <c r="BG349" s="3" t="s">
        <v>74</v>
      </c>
      <c r="BH349" s="3" t="s">
        <v>1643</v>
      </c>
      <c r="BI349" s="3">
        <v>12</v>
      </c>
      <c r="BJ349" s="3" t="s">
        <v>7271</v>
      </c>
      <c r="BK349" s="3" t="s">
        <v>179</v>
      </c>
      <c r="BL349" s="3" t="s">
        <v>486</v>
      </c>
      <c r="BM349" s="3" t="s">
        <v>7272</v>
      </c>
      <c r="BN349" s="3" t="s">
        <v>74</v>
      </c>
      <c r="BO349" s="3" t="s">
        <v>74</v>
      </c>
      <c r="BP349" s="3" t="s">
        <v>74</v>
      </c>
      <c r="BQ349" s="3" t="s">
        <v>74</v>
      </c>
      <c r="BR349" s="3" t="s">
        <v>101</v>
      </c>
      <c r="BS349" s="3" t="s">
        <v>7273</v>
      </c>
      <c r="BT349" s="3" t="str">
        <f>HYPERLINK("https%3A%2F%2Fwww.webofscience.com%2Fwos%2Fwoscc%2Ffull-record%2FWOS:001517260600001","View Full Record in Web of Science")</f>
        <v>View Full Record in Web of Science</v>
      </c>
      <c r="BU349" s="3"/>
      <c r="BV349" s="3"/>
      <c r="BW349" s="1"/>
    </row>
    <row r="350" spans="1:75" x14ac:dyDescent="0.25">
      <c r="A350" s="3" t="s">
        <v>72</v>
      </c>
      <c r="B350" s="3" t="s">
        <v>7274</v>
      </c>
      <c r="C350" s="3" t="s">
        <v>74</v>
      </c>
      <c r="D350" s="3" t="s">
        <v>74</v>
      </c>
      <c r="E350" s="3" t="s">
        <v>74</v>
      </c>
      <c r="F350" s="3" t="s">
        <v>7275</v>
      </c>
      <c r="G350" s="3" t="s">
        <v>74</v>
      </c>
      <c r="H350" s="3" t="s">
        <v>74</v>
      </c>
      <c r="I350" s="3" t="s">
        <v>7276</v>
      </c>
      <c r="J350" s="3" t="s">
        <v>417</v>
      </c>
      <c r="K350" s="3" t="s">
        <v>74</v>
      </c>
      <c r="L350" s="3" t="s">
        <v>74</v>
      </c>
      <c r="M350" s="3" t="s">
        <v>110</v>
      </c>
      <c r="N350" s="3" t="s">
        <v>79</v>
      </c>
      <c r="O350" s="3" t="s">
        <v>74</v>
      </c>
      <c r="P350" s="3" t="s">
        <v>74</v>
      </c>
      <c r="Q350" s="3" t="s">
        <v>74</v>
      </c>
      <c r="R350" s="3" t="s">
        <v>74</v>
      </c>
      <c r="S350" s="3" t="s">
        <v>74</v>
      </c>
      <c r="T350" s="3" t="s">
        <v>7277</v>
      </c>
      <c r="U350" s="3" t="s">
        <v>74</v>
      </c>
      <c r="V350" s="3" t="s">
        <v>7278</v>
      </c>
      <c r="W350" s="3" t="s">
        <v>7279</v>
      </c>
      <c r="X350" s="3" t="s">
        <v>7280</v>
      </c>
      <c r="Y350" s="3" t="s">
        <v>7281</v>
      </c>
      <c r="Z350" s="3" t="s">
        <v>7282</v>
      </c>
      <c r="AA350" s="3" t="s">
        <v>7283</v>
      </c>
      <c r="AB350" s="3" t="s">
        <v>74</v>
      </c>
      <c r="AC350" s="3" t="s">
        <v>7284</v>
      </c>
      <c r="AD350" s="3" t="s">
        <v>7285</v>
      </c>
      <c r="AE350" s="3" t="s">
        <v>7286</v>
      </c>
      <c r="AF350" s="3" t="s">
        <v>74</v>
      </c>
      <c r="AG350" s="3">
        <v>47</v>
      </c>
      <c r="AH350" s="3">
        <v>0</v>
      </c>
      <c r="AI350" s="3">
        <v>0</v>
      </c>
      <c r="AJ350" s="3">
        <v>0</v>
      </c>
      <c r="AK350" s="3">
        <v>0</v>
      </c>
      <c r="AL350" s="3" t="s">
        <v>145</v>
      </c>
      <c r="AM350" s="3" t="s">
        <v>146</v>
      </c>
      <c r="AN350" s="3" t="s">
        <v>147</v>
      </c>
      <c r="AO350" s="3" t="s">
        <v>74</v>
      </c>
      <c r="AP350" s="3" t="s">
        <v>430</v>
      </c>
      <c r="AQ350" s="3" t="s">
        <v>74</v>
      </c>
      <c r="AR350" s="3" t="s">
        <v>431</v>
      </c>
      <c r="AS350" s="3" t="s">
        <v>432</v>
      </c>
      <c r="AT350" s="3" t="s">
        <v>7287</v>
      </c>
      <c r="AU350" s="3">
        <v>2025</v>
      </c>
      <c r="AV350" s="3">
        <v>9</v>
      </c>
      <c r="AW350" s="3">
        <v>9</v>
      </c>
      <c r="AX350" s="3" t="s">
        <v>74</v>
      </c>
      <c r="AY350" s="3" t="s">
        <v>74</v>
      </c>
      <c r="AZ350" s="3" t="s">
        <v>74</v>
      </c>
      <c r="BA350" s="3" t="s">
        <v>74</v>
      </c>
      <c r="BB350" s="3" t="s">
        <v>74</v>
      </c>
      <c r="BC350" s="3" t="s">
        <v>74</v>
      </c>
      <c r="BD350" s="3">
        <v>364</v>
      </c>
      <c r="BE350" s="3" t="s">
        <v>7288</v>
      </c>
      <c r="BF350" s="3" t="str">
        <f>HYPERLINK("http://dx.doi.org/10.3390/urbansci9090364","http://dx.doi.org/10.3390/urbansci9090364")</f>
        <v>http://dx.doi.org/10.3390/urbansci9090364</v>
      </c>
      <c r="BG350" s="3" t="s">
        <v>74</v>
      </c>
      <c r="BH350" s="3" t="s">
        <v>74</v>
      </c>
      <c r="BI350" s="3">
        <v>25</v>
      </c>
      <c r="BJ350" s="3" t="s">
        <v>434</v>
      </c>
      <c r="BK350" s="3" t="s">
        <v>97</v>
      </c>
      <c r="BL350" s="3" t="s">
        <v>435</v>
      </c>
      <c r="BM350" s="3" t="s">
        <v>7289</v>
      </c>
      <c r="BN350" s="3" t="s">
        <v>74</v>
      </c>
      <c r="BO350" s="3" t="s">
        <v>100</v>
      </c>
      <c r="BP350" s="3" t="s">
        <v>74</v>
      </c>
      <c r="BQ350" s="3" t="s">
        <v>74</v>
      </c>
      <c r="BR350" s="3" t="s">
        <v>101</v>
      </c>
      <c r="BS350" s="3" t="s">
        <v>7290</v>
      </c>
      <c r="BT350" s="3" t="str">
        <f>HYPERLINK("https%3A%2F%2Fwww.webofscience.com%2Fwos%2Fwoscc%2Ffull-record%2FWOS:001581465300001","View Full Record in Web of Science")</f>
        <v>View Full Record in Web of Science</v>
      </c>
      <c r="BU350" s="3"/>
      <c r="BV350" s="3"/>
      <c r="BW350" s="1"/>
    </row>
    <row r="351" spans="1:75" x14ac:dyDescent="0.25">
      <c r="A351" s="3" t="s">
        <v>72</v>
      </c>
      <c r="B351" s="3" t="s">
        <v>7291</v>
      </c>
      <c r="C351" s="3" t="s">
        <v>74</v>
      </c>
      <c r="D351" s="3" t="s">
        <v>74</v>
      </c>
      <c r="E351" s="3" t="s">
        <v>74</v>
      </c>
      <c r="F351" s="3" t="s">
        <v>7292</v>
      </c>
      <c r="G351" s="3" t="s">
        <v>74</v>
      </c>
      <c r="H351" s="3" t="s">
        <v>74</v>
      </c>
      <c r="I351" s="3" t="s">
        <v>7293</v>
      </c>
      <c r="J351" s="3" t="s">
        <v>2825</v>
      </c>
      <c r="K351" s="3" t="s">
        <v>74</v>
      </c>
      <c r="L351" s="3" t="s">
        <v>74</v>
      </c>
      <c r="M351" s="3" t="s">
        <v>110</v>
      </c>
      <c r="N351" s="3" t="s">
        <v>79</v>
      </c>
      <c r="O351" s="3" t="s">
        <v>74</v>
      </c>
      <c r="P351" s="3" t="s">
        <v>74</v>
      </c>
      <c r="Q351" s="3" t="s">
        <v>74</v>
      </c>
      <c r="R351" s="3" t="s">
        <v>74</v>
      </c>
      <c r="S351" s="3" t="s">
        <v>74</v>
      </c>
      <c r="T351" s="3" t="s">
        <v>7294</v>
      </c>
      <c r="U351" s="3" t="s">
        <v>7295</v>
      </c>
      <c r="V351" s="3" t="s">
        <v>7296</v>
      </c>
      <c r="W351" s="3" t="s">
        <v>7297</v>
      </c>
      <c r="X351" s="3" t="s">
        <v>7298</v>
      </c>
      <c r="Y351" s="3" t="s">
        <v>7299</v>
      </c>
      <c r="Z351" s="3" t="s">
        <v>7300</v>
      </c>
      <c r="AA351" s="3" t="s">
        <v>74</v>
      </c>
      <c r="AB351" s="3" t="s">
        <v>74</v>
      </c>
      <c r="AC351" s="3" t="s">
        <v>74</v>
      </c>
      <c r="AD351" s="3" t="s">
        <v>74</v>
      </c>
      <c r="AE351" s="3" t="s">
        <v>74</v>
      </c>
      <c r="AF351" s="3" t="s">
        <v>74</v>
      </c>
      <c r="AG351" s="3">
        <v>42</v>
      </c>
      <c r="AH351" s="3">
        <v>0</v>
      </c>
      <c r="AI351" s="3">
        <v>0</v>
      </c>
      <c r="AJ351" s="3">
        <v>1</v>
      </c>
      <c r="AK351" s="3">
        <v>1</v>
      </c>
      <c r="AL351" s="3" t="s">
        <v>2834</v>
      </c>
      <c r="AM351" s="3" t="s">
        <v>2835</v>
      </c>
      <c r="AN351" s="3" t="s">
        <v>2836</v>
      </c>
      <c r="AO351" s="3" t="s">
        <v>74</v>
      </c>
      <c r="AP351" s="3" t="s">
        <v>2837</v>
      </c>
      <c r="AQ351" s="3" t="s">
        <v>74</v>
      </c>
      <c r="AR351" s="3" t="s">
        <v>2838</v>
      </c>
      <c r="AS351" s="3" t="s">
        <v>2839</v>
      </c>
      <c r="AT351" s="3" t="s">
        <v>7301</v>
      </c>
      <c r="AU351" s="3">
        <v>2025</v>
      </c>
      <c r="AV351" s="3">
        <v>7</v>
      </c>
      <c r="AW351" s="3" t="s">
        <v>74</v>
      </c>
      <c r="AX351" s="3" t="s">
        <v>74</v>
      </c>
      <c r="AY351" s="3" t="s">
        <v>74</v>
      </c>
      <c r="AZ351" s="3" t="s">
        <v>74</v>
      </c>
      <c r="BA351" s="3" t="s">
        <v>74</v>
      </c>
      <c r="BB351" s="3" t="s">
        <v>74</v>
      </c>
      <c r="BC351" s="3" t="s">
        <v>74</v>
      </c>
      <c r="BD351" s="3">
        <v>1687580</v>
      </c>
      <c r="BE351" s="3" t="s">
        <v>7302</v>
      </c>
      <c r="BF351" s="3" t="str">
        <f>HYPERLINK("http://dx.doi.org/10.3389/frsc.2025.1687580","http://dx.doi.org/10.3389/frsc.2025.1687580")</f>
        <v>http://dx.doi.org/10.3389/frsc.2025.1687580</v>
      </c>
      <c r="BG351" s="3" t="s">
        <v>74</v>
      </c>
      <c r="BH351" s="3" t="s">
        <v>74</v>
      </c>
      <c r="BI351" s="3">
        <v>11</v>
      </c>
      <c r="BJ351" s="3" t="s">
        <v>2842</v>
      </c>
      <c r="BK351" s="3" t="s">
        <v>97</v>
      </c>
      <c r="BL351" s="3" t="s">
        <v>2843</v>
      </c>
      <c r="BM351" s="3" t="s">
        <v>7303</v>
      </c>
      <c r="BN351" s="3" t="s">
        <v>74</v>
      </c>
      <c r="BO351" s="3" t="s">
        <v>100</v>
      </c>
      <c r="BP351" s="3" t="s">
        <v>74</v>
      </c>
      <c r="BQ351" s="3" t="s">
        <v>74</v>
      </c>
      <c r="BR351" s="3" t="s">
        <v>101</v>
      </c>
      <c r="BS351" s="3" t="s">
        <v>7304</v>
      </c>
      <c r="BT351" s="3" t="str">
        <f>HYPERLINK("https%3A%2F%2Fwww.webofscience.com%2Fwos%2Fwoscc%2Ffull-record%2FWOS:001613971100001","View Full Record in Web of Science")</f>
        <v>View Full Record in Web of Science</v>
      </c>
      <c r="BU351" s="3"/>
      <c r="BV351" s="3"/>
      <c r="BW351" s="1"/>
    </row>
    <row r="352" spans="1:75" x14ac:dyDescent="0.25">
      <c r="A352" s="3" t="s">
        <v>72</v>
      </c>
      <c r="B352" s="3" t="s">
        <v>7305</v>
      </c>
      <c r="C352" s="3" t="s">
        <v>74</v>
      </c>
      <c r="D352" s="3" t="s">
        <v>74</v>
      </c>
      <c r="E352" s="3" t="s">
        <v>74</v>
      </c>
      <c r="F352" s="3" t="s">
        <v>7306</v>
      </c>
      <c r="G352" s="3" t="s">
        <v>74</v>
      </c>
      <c r="H352" s="3" t="s">
        <v>74</v>
      </c>
      <c r="I352" s="3" t="s">
        <v>7307</v>
      </c>
      <c r="J352" s="3" t="s">
        <v>3721</v>
      </c>
      <c r="K352" s="3" t="s">
        <v>74</v>
      </c>
      <c r="L352" s="3" t="s">
        <v>74</v>
      </c>
      <c r="M352" s="3" t="s">
        <v>110</v>
      </c>
      <c r="N352" s="3" t="s">
        <v>79</v>
      </c>
      <c r="O352" s="3" t="s">
        <v>74</v>
      </c>
      <c r="P352" s="3" t="s">
        <v>74</v>
      </c>
      <c r="Q352" s="3" t="s">
        <v>74</v>
      </c>
      <c r="R352" s="3" t="s">
        <v>74</v>
      </c>
      <c r="S352" s="3" t="s">
        <v>74</v>
      </c>
      <c r="T352" s="3" t="s">
        <v>7308</v>
      </c>
      <c r="U352" s="3" t="s">
        <v>7309</v>
      </c>
      <c r="V352" s="3" t="s">
        <v>7310</v>
      </c>
      <c r="W352" s="3" t="s">
        <v>7311</v>
      </c>
      <c r="X352" s="3" t="s">
        <v>7312</v>
      </c>
      <c r="Y352" s="3" t="s">
        <v>7313</v>
      </c>
      <c r="Z352" s="3" t="s">
        <v>7314</v>
      </c>
      <c r="AA352" s="3" t="s">
        <v>7315</v>
      </c>
      <c r="AB352" s="3" t="s">
        <v>7316</v>
      </c>
      <c r="AC352" s="3" t="s">
        <v>7317</v>
      </c>
      <c r="AD352" s="3" t="s">
        <v>7318</v>
      </c>
      <c r="AE352" s="3" t="s">
        <v>7319</v>
      </c>
      <c r="AF352" s="3" t="s">
        <v>74</v>
      </c>
      <c r="AG352" s="3">
        <v>181</v>
      </c>
      <c r="AH352" s="3">
        <v>5</v>
      </c>
      <c r="AI352" s="3">
        <v>6</v>
      </c>
      <c r="AJ352" s="3">
        <v>3</v>
      </c>
      <c r="AK352" s="3">
        <v>12</v>
      </c>
      <c r="AL352" s="3" t="s">
        <v>1120</v>
      </c>
      <c r="AM352" s="3" t="s">
        <v>1121</v>
      </c>
      <c r="AN352" s="3" t="s">
        <v>1122</v>
      </c>
      <c r="AO352" s="3" t="s">
        <v>3732</v>
      </c>
      <c r="AP352" s="3" t="s">
        <v>3733</v>
      </c>
      <c r="AQ352" s="3" t="s">
        <v>74</v>
      </c>
      <c r="AR352" s="3" t="s">
        <v>3721</v>
      </c>
      <c r="AS352" s="3" t="s">
        <v>3734</v>
      </c>
      <c r="AT352" s="3" t="s">
        <v>7320</v>
      </c>
      <c r="AU352" s="3">
        <v>2024</v>
      </c>
      <c r="AV352" s="3">
        <v>89</v>
      </c>
      <c r="AW352" s="3">
        <v>3</v>
      </c>
      <c r="AX352" s="3" t="s">
        <v>74</v>
      </c>
      <c r="AY352" s="3" t="s">
        <v>74</v>
      </c>
      <c r="AZ352" s="3" t="s">
        <v>74</v>
      </c>
      <c r="BA352" s="3" t="s">
        <v>74</v>
      </c>
      <c r="BB352" s="3" t="s">
        <v>74</v>
      </c>
      <c r="BC352" s="3" t="s">
        <v>74</v>
      </c>
      <c r="BD352" s="3">
        <v>94</v>
      </c>
      <c r="BE352" s="3" t="s">
        <v>7321</v>
      </c>
      <c r="BF352" s="3" t="str">
        <f>HYPERLINK("http://dx.doi.org/10.1007/s10708-024-11084-9","http://dx.doi.org/10.1007/s10708-024-11084-9")</f>
        <v>http://dx.doi.org/10.1007/s10708-024-11084-9</v>
      </c>
      <c r="BG352" s="3" t="s">
        <v>74</v>
      </c>
      <c r="BH352" s="3" t="s">
        <v>74</v>
      </c>
      <c r="BI352" s="3">
        <v>24</v>
      </c>
      <c r="BJ352" s="3" t="s">
        <v>460</v>
      </c>
      <c r="BK352" s="3" t="s">
        <v>97</v>
      </c>
      <c r="BL352" s="3" t="s">
        <v>460</v>
      </c>
      <c r="BM352" s="3" t="s">
        <v>7322</v>
      </c>
      <c r="BN352" s="3" t="s">
        <v>74</v>
      </c>
      <c r="BO352" s="3" t="s">
        <v>74</v>
      </c>
      <c r="BP352" s="3" t="s">
        <v>74</v>
      </c>
      <c r="BQ352" s="3" t="s">
        <v>74</v>
      </c>
      <c r="BR352" s="3" t="s">
        <v>101</v>
      </c>
      <c r="BS352" s="3" t="s">
        <v>7323</v>
      </c>
      <c r="BT352" s="3" t="str">
        <f>HYPERLINK("https%3A%2F%2Fwww.webofscience.com%2Fwos%2Fwoscc%2Ffull-record%2FWOS:001209755100001","View Full Record in Web of Science")</f>
        <v>View Full Record in Web of Science</v>
      </c>
      <c r="BU352" s="3"/>
      <c r="BV352" s="3"/>
      <c r="BW352" s="1"/>
    </row>
    <row r="353" spans="1:75" x14ac:dyDescent="0.25">
      <c r="A353" s="3" t="s">
        <v>103</v>
      </c>
      <c r="B353" s="3" t="s">
        <v>7324</v>
      </c>
      <c r="C353" s="3" t="s">
        <v>74</v>
      </c>
      <c r="D353" s="3" t="s">
        <v>7325</v>
      </c>
      <c r="E353" s="3" t="s">
        <v>74</v>
      </c>
      <c r="F353" s="3" t="s">
        <v>7326</v>
      </c>
      <c r="G353" s="3" t="s">
        <v>74</v>
      </c>
      <c r="H353" s="3" t="s">
        <v>74</v>
      </c>
      <c r="I353" s="3" t="s">
        <v>7327</v>
      </c>
      <c r="J353" s="3" t="s">
        <v>7328</v>
      </c>
      <c r="K353" s="3" t="s">
        <v>7329</v>
      </c>
      <c r="L353" s="3" t="s">
        <v>74</v>
      </c>
      <c r="M353" s="3" t="s">
        <v>110</v>
      </c>
      <c r="N353" s="3" t="s">
        <v>111</v>
      </c>
      <c r="O353" s="3" t="s">
        <v>7330</v>
      </c>
      <c r="P353" s="3" t="s">
        <v>7331</v>
      </c>
      <c r="Q353" s="3" t="s">
        <v>7332</v>
      </c>
      <c r="R353" s="3" t="s">
        <v>74</v>
      </c>
      <c r="S353" s="3" t="s">
        <v>74</v>
      </c>
      <c r="T353" s="3" t="s">
        <v>7333</v>
      </c>
      <c r="U353" s="3" t="s">
        <v>74</v>
      </c>
      <c r="V353" s="3" t="s">
        <v>7334</v>
      </c>
      <c r="W353" s="3" t="s">
        <v>7335</v>
      </c>
      <c r="X353" s="3" t="s">
        <v>7336</v>
      </c>
      <c r="Y353" s="3" t="s">
        <v>7337</v>
      </c>
      <c r="Z353" s="3" t="s">
        <v>7338</v>
      </c>
      <c r="AA353" s="3" t="s">
        <v>74</v>
      </c>
      <c r="AB353" s="3" t="s">
        <v>74</v>
      </c>
      <c r="AC353" s="3" t="s">
        <v>7339</v>
      </c>
      <c r="AD353" s="3" t="s">
        <v>7340</v>
      </c>
      <c r="AE353" s="3" t="s">
        <v>7341</v>
      </c>
      <c r="AF353" s="3" t="s">
        <v>74</v>
      </c>
      <c r="AG353" s="3">
        <v>15</v>
      </c>
      <c r="AH353" s="3">
        <v>0</v>
      </c>
      <c r="AI353" s="3">
        <v>0</v>
      </c>
      <c r="AJ353" s="3">
        <v>0</v>
      </c>
      <c r="AK353" s="3">
        <v>0</v>
      </c>
      <c r="AL353" s="3" t="s">
        <v>374</v>
      </c>
      <c r="AM353" s="3" t="s">
        <v>375</v>
      </c>
      <c r="AN353" s="3" t="s">
        <v>376</v>
      </c>
      <c r="AO353" s="3" t="s">
        <v>7342</v>
      </c>
      <c r="AP353" s="3" t="s">
        <v>7343</v>
      </c>
      <c r="AQ353" s="3" t="s">
        <v>7344</v>
      </c>
      <c r="AR353" s="3" t="s">
        <v>7345</v>
      </c>
      <c r="AS353" s="3" t="s">
        <v>74</v>
      </c>
      <c r="AT353" s="3" t="s">
        <v>74</v>
      </c>
      <c r="AU353" s="3">
        <v>2025</v>
      </c>
      <c r="AV353" s="3" t="s">
        <v>74</v>
      </c>
      <c r="AW353" s="3" t="s">
        <v>74</v>
      </c>
      <c r="AX353" s="3" t="s">
        <v>74</v>
      </c>
      <c r="AY353" s="3" t="s">
        <v>74</v>
      </c>
      <c r="AZ353" s="3" t="s">
        <v>74</v>
      </c>
      <c r="BA353" s="3" t="s">
        <v>74</v>
      </c>
      <c r="BB353" s="3">
        <v>536</v>
      </c>
      <c r="BC353" s="3">
        <v>542</v>
      </c>
      <c r="BD353" s="3" t="s">
        <v>74</v>
      </c>
      <c r="BE353" s="3" t="s">
        <v>7346</v>
      </c>
      <c r="BF353" s="3" t="str">
        <f>HYPERLINK("http://dx.doi.org/10.1007/978-3-031-95284-5_76","http://dx.doi.org/10.1007/978-3-031-95284-5_76")</f>
        <v>http://dx.doi.org/10.1007/978-3-031-95284-5_76</v>
      </c>
      <c r="BG353" s="3" t="s">
        <v>74</v>
      </c>
      <c r="BH353" s="3" t="s">
        <v>74</v>
      </c>
      <c r="BI353" s="3">
        <v>7</v>
      </c>
      <c r="BJ353" s="3" t="s">
        <v>129</v>
      </c>
      <c r="BK353" s="3" t="s">
        <v>130</v>
      </c>
      <c r="BL353" s="3" t="s">
        <v>131</v>
      </c>
      <c r="BM353" s="3" t="s">
        <v>7347</v>
      </c>
      <c r="BN353" s="3" t="s">
        <v>74</v>
      </c>
      <c r="BO353" s="3" t="s">
        <v>884</v>
      </c>
      <c r="BP353" s="3" t="s">
        <v>74</v>
      </c>
      <c r="BQ353" s="3" t="s">
        <v>74</v>
      </c>
      <c r="BR353" s="3" t="s">
        <v>101</v>
      </c>
      <c r="BS353" s="3" t="s">
        <v>7348</v>
      </c>
      <c r="BT353" s="3" t="str">
        <f>HYPERLINK("https%3A%2F%2Fwww.webofscience.com%2Fwos%2Fwoscc%2Ffull-record%2FWOS:001576316800076","View Full Record in Web of Science")</f>
        <v>View Full Record in Web of Science</v>
      </c>
      <c r="BU353" s="3"/>
      <c r="BV353" s="3"/>
      <c r="BW353" s="1"/>
    </row>
    <row r="354" spans="1:75" x14ac:dyDescent="0.25">
      <c r="A354" s="3" t="s">
        <v>72</v>
      </c>
      <c r="B354" s="3" t="s">
        <v>7349</v>
      </c>
      <c r="C354" s="3" t="s">
        <v>74</v>
      </c>
      <c r="D354" s="3" t="s">
        <v>74</v>
      </c>
      <c r="E354" s="3" t="s">
        <v>74</v>
      </c>
      <c r="F354" s="3" t="s">
        <v>7350</v>
      </c>
      <c r="G354" s="3" t="s">
        <v>74</v>
      </c>
      <c r="H354" s="3" t="s">
        <v>74</v>
      </c>
      <c r="I354" s="3" t="s">
        <v>7351</v>
      </c>
      <c r="J354" s="3" t="s">
        <v>7352</v>
      </c>
      <c r="K354" s="3" t="s">
        <v>74</v>
      </c>
      <c r="L354" s="3" t="s">
        <v>74</v>
      </c>
      <c r="M354" s="3" t="s">
        <v>110</v>
      </c>
      <c r="N354" s="3" t="s">
        <v>2802</v>
      </c>
      <c r="O354" s="3" t="s">
        <v>74</v>
      </c>
      <c r="P354" s="3" t="s">
        <v>74</v>
      </c>
      <c r="Q354" s="3" t="s">
        <v>74</v>
      </c>
      <c r="R354" s="3" t="s">
        <v>74</v>
      </c>
      <c r="S354" s="3" t="s">
        <v>74</v>
      </c>
      <c r="T354" s="3" t="s">
        <v>7353</v>
      </c>
      <c r="U354" s="3" t="s">
        <v>74</v>
      </c>
      <c r="V354" s="3" t="s">
        <v>7354</v>
      </c>
      <c r="W354" s="3" t="s">
        <v>7355</v>
      </c>
      <c r="X354" s="3" t="s">
        <v>7356</v>
      </c>
      <c r="Y354" s="3" t="s">
        <v>7357</v>
      </c>
      <c r="Z354" s="3" t="s">
        <v>7358</v>
      </c>
      <c r="AA354" s="3" t="s">
        <v>7359</v>
      </c>
      <c r="AB354" s="3" t="s">
        <v>74</v>
      </c>
      <c r="AC354" s="3" t="s">
        <v>74</v>
      </c>
      <c r="AD354" s="3" t="s">
        <v>74</v>
      </c>
      <c r="AE354" s="3" t="s">
        <v>74</v>
      </c>
      <c r="AF354" s="3" t="s">
        <v>74</v>
      </c>
      <c r="AG354" s="3">
        <v>49</v>
      </c>
      <c r="AH354" s="3">
        <v>0</v>
      </c>
      <c r="AI354" s="3">
        <v>0</v>
      </c>
      <c r="AJ354" s="3">
        <v>0</v>
      </c>
      <c r="AK354" s="3">
        <v>0</v>
      </c>
      <c r="AL354" s="3" t="s">
        <v>2239</v>
      </c>
      <c r="AM354" s="3" t="s">
        <v>7360</v>
      </c>
      <c r="AN354" s="3" t="s">
        <v>7361</v>
      </c>
      <c r="AO354" s="3" t="s">
        <v>7362</v>
      </c>
      <c r="AP354" s="3" t="s">
        <v>7363</v>
      </c>
      <c r="AQ354" s="3" t="s">
        <v>74</v>
      </c>
      <c r="AR354" s="3" t="s">
        <v>7364</v>
      </c>
      <c r="AS354" s="3" t="s">
        <v>7365</v>
      </c>
      <c r="AT354" s="3" t="s">
        <v>7366</v>
      </c>
      <c r="AU354" s="3">
        <v>2025</v>
      </c>
      <c r="AV354" s="3" t="s">
        <v>74</v>
      </c>
      <c r="AW354" s="3" t="s">
        <v>74</v>
      </c>
      <c r="AX354" s="3" t="s">
        <v>74</v>
      </c>
      <c r="AY354" s="3" t="s">
        <v>74</v>
      </c>
      <c r="AZ354" s="3" t="s">
        <v>74</v>
      </c>
      <c r="BA354" s="3" t="s">
        <v>74</v>
      </c>
      <c r="BB354" s="3" t="s">
        <v>74</v>
      </c>
      <c r="BC354" s="3" t="s">
        <v>74</v>
      </c>
      <c r="BD354" s="3" t="s">
        <v>74</v>
      </c>
      <c r="BE354" s="3" t="s">
        <v>7367</v>
      </c>
      <c r="BF354" s="3" t="str">
        <f>HYPERLINK("http://dx.doi.org/10.1680/jtran.23.00104","http://dx.doi.org/10.1680/jtran.23.00104")</f>
        <v>http://dx.doi.org/10.1680/jtran.23.00104</v>
      </c>
      <c r="BG354" s="3" t="s">
        <v>74</v>
      </c>
      <c r="BH354" s="3" t="s">
        <v>1016</v>
      </c>
      <c r="BI354" s="3">
        <v>16</v>
      </c>
      <c r="BJ354" s="3" t="s">
        <v>410</v>
      </c>
      <c r="BK354" s="3" t="s">
        <v>179</v>
      </c>
      <c r="BL354" s="3" t="s">
        <v>411</v>
      </c>
      <c r="BM354" s="3" t="s">
        <v>7368</v>
      </c>
      <c r="BN354" s="3" t="s">
        <v>74</v>
      </c>
      <c r="BO354" s="3" t="s">
        <v>74</v>
      </c>
      <c r="BP354" s="3" t="s">
        <v>74</v>
      </c>
      <c r="BQ354" s="3" t="s">
        <v>74</v>
      </c>
      <c r="BR354" s="3" t="s">
        <v>101</v>
      </c>
      <c r="BS354" s="3" t="s">
        <v>7369</v>
      </c>
      <c r="BT354" s="3" t="str">
        <f>HYPERLINK("https%3A%2F%2Fwww.webofscience.com%2Fwos%2Fwoscc%2Ffull-record%2FWOS:001518855700001","View Full Record in Web of Science")</f>
        <v>View Full Record in Web of Science</v>
      </c>
      <c r="BU354" s="3"/>
      <c r="BV354" s="3"/>
      <c r="BW354" s="1"/>
    </row>
    <row r="355" spans="1:75" x14ac:dyDescent="0.25">
      <c r="A355" s="3" t="s">
        <v>72</v>
      </c>
      <c r="B355" s="3" t="s">
        <v>7370</v>
      </c>
      <c r="C355" s="3" t="s">
        <v>74</v>
      </c>
      <c r="D355" s="3" t="s">
        <v>74</v>
      </c>
      <c r="E355" s="3" t="s">
        <v>74</v>
      </c>
      <c r="F355" s="3" t="s">
        <v>7371</v>
      </c>
      <c r="G355" s="3" t="s">
        <v>74</v>
      </c>
      <c r="H355" s="3" t="s">
        <v>74</v>
      </c>
      <c r="I355" s="3" t="s">
        <v>7372</v>
      </c>
      <c r="J355" s="3" t="s">
        <v>270</v>
      </c>
      <c r="K355" s="3" t="s">
        <v>74</v>
      </c>
      <c r="L355" s="3" t="s">
        <v>74</v>
      </c>
      <c r="M355" s="3" t="s">
        <v>110</v>
      </c>
      <c r="N355" s="3" t="s">
        <v>216</v>
      </c>
      <c r="O355" s="3" t="s">
        <v>74</v>
      </c>
      <c r="P355" s="3" t="s">
        <v>74</v>
      </c>
      <c r="Q355" s="3" t="s">
        <v>74</v>
      </c>
      <c r="R355" s="3" t="s">
        <v>74</v>
      </c>
      <c r="S355" s="3" t="s">
        <v>74</v>
      </c>
      <c r="T355" s="3" t="s">
        <v>7373</v>
      </c>
      <c r="U355" s="3" t="s">
        <v>7374</v>
      </c>
      <c r="V355" s="3" t="s">
        <v>7375</v>
      </c>
      <c r="W355" s="3" t="s">
        <v>7376</v>
      </c>
      <c r="X355" s="3" t="s">
        <v>7377</v>
      </c>
      <c r="Y355" s="3" t="s">
        <v>7378</v>
      </c>
      <c r="Z355" s="3" t="s">
        <v>7379</v>
      </c>
      <c r="AA355" s="3" t="s">
        <v>7380</v>
      </c>
      <c r="AB355" s="3" t="s">
        <v>7381</v>
      </c>
      <c r="AC355" s="3" t="s">
        <v>7382</v>
      </c>
      <c r="AD355" s="3" t="s">
        <v>7383</v>
      </c>
      <c r="AE355" s="3" t="s">
        <v>7384</v>
      </c>
      <c r="AF355" s="3" t="s">
        <v>74</v>
      </c>
      <c r="AG355" s="3">
        <v>151</v>
      </c>
      <c r="AH355" s="3">
        <v>5</v>
      </c>
      <c r="AI355" s="3">
        <v>6</v>
      </c>
      <c r="AJ355" s="3">
        <v>16</v>
      </c>
      <c r="AK355" s="3">
        <v>17</v>
      </c>
      <c r="AL355" s="3" t="s">
        <v>145</v>
      </c>
      <c r="AM355" s="3" t="s">
        <v>146</v>
      </c>
      <c r="AN355" s="3" t="s">
        <v>147</v>
      </c>
      <c r="AO355" s="3" t="s">
        <v>74</v>
      </c>
      <c r="AP355" s="3" t="s">
        <v>280</v>
      </c>
      <c r="AQ355" s="3" t="s">
        <v>74</v>
      </c>
      <c r="AR355" s="3" t="s">
        <v>281</v>
      </c>
      <c r="AS355" s="3" t="s">
        <v>282</v>
      </c>
      <c r="AT355" s="3" t="s">
        <v>7385</v>
      </c>
      <c r="AU355" s="3">
        <v>2025</v>
      </c>
      <c r="AV355" s="3">
        <v>8</v>
      </c>
      <c r="AW355" s="3">
        <v>2</v>
      </c>
      <c r="AX355" s="3" t="s">
        <v>74</v>
      </c>
      <c r="AY355" s="3" t="s">
        <v>74</v>
      </c>
      <c r="AZ355" s="3" t="s">
        <v>74</v>
      </c>
      <c r="BA355" s="3" t="s">
        <v>74</v>
      </c>
      <c r="BB355" s="3" t="s">
        <v>74</v>
      </c>
      <c r="BC355" s="3" t="s">
        <v>74</v>
      </c>
      <c r="BD355" s="3">
        <v>51</v>
      </c>
      <c r="BE355" s="3" t="s">
        <v>7386</v>
      </c>
      <c r="BF355" s="3" t="str">
        <f>HYPERLINK("http://dx.doi.org/10.3390/smartcities8020051","http://dx.doi.org/10.3390/smartcities8020051")</f>
        <v>http://dx.doi.org/10.3390/smartcities8020051</v>
      </c>
      <c r="BG355" s="3" t="s">
        <v>74</v>
      </c>
      <c r="BH355" s="3" t="s">
        <v>74</v>
      </c>
      <c r="BI355" s="3">
        <v>29</v>
      </c>
      <c r="BJ355" s="3" t="s">
        <v>285</v>
      </c>
      <c r="BK355" s="3" t="s">
        <v>97</v>
      </c>
      <c r="BL355" s="3" t="s">
        <v>286</v>
      </c>
      <c r="BM355" s="3" t="s">
        <v>7387</v>
      </c>
      <c r="BN355" s="3" t="s">
        <v>74</v>
      </c>
      <c r="BO355" s="3" t="s">
        <v>100</v>
      </c>
      <c r="BP355" s="3" t="s">
        <v>74</v>
      </c>
      <c r="BQ355" s="3" t="s">
        <v>74</v>
      </c>
      <c r="BR355" s="3" t="s">
        <v>101</v>
      </c>
      <c r="BS355" s="3" t="s">
        <v>7388</v>
      </c>
      <c r="BT355" s="3" t="str">
        <f>HYPERLINK("https%3A%2F%2Fwww.webofscience.com%2Fwos%2Fwoscc%2Ffull-record%2FWOS:001475804800001","View Full Record in Web of Science")</f>
        <v>View Full Record in Web of Science</v>
      </c>
      <c r="BU355" s="3"/>
      <c r="BV355" s="3"/>
      <c r="BW355" s="1"/>
    </row>
    <row r="356" spans="1:75" x14ac:dyDescent="0.25">
      <c r="A356" s="3" t="s">
        <v>72</v>
      </c>
      <c r="B356" s="3" t="s">
        <v>7389</v>
      </c>
      <c r="C356" s="3" t="s">
        <v>74</v>
      </c>
      <c r="D356" s="3" t="s">
        <v>74</v>
      </c>
      <c r="E356" s="3" t="s">
        <v>74</v>
      </c>
      <c r="F356" s="3" t="s">
        <v>7390</v>
      </c>
      <c r="G356" s="3" t="s">
        <v>74</v>
      </c>
      <c r="H356" s="3" t="s">
        <v>74</v>
      </c>
      <c r="I356" s="3" t="s">
        <v>7391</v>
      </c>
      <c r="J356" s="3" t="s">
        <v>835</v>
      </c>
      <c r="K356" s="3" t="s">
        <v>74</v>
      </c>
      <c r="L356" s="3" t="s">
        <v>74</v>
      </c>
      <c r="M356" s="3" t="s">
        <v>110</v>
      </c>
      <c r="N356" s="3" t="s">
        <v>79</v>
      </c>
      <c r="O356" s="3" t="s">
        <v>74</v>
      </c>
      <c r="P356" s="3" t="s">
        <v>74</v>
      </c>
      <c r="Q356" s="3" t="s">
        <v>74</v>
      </c>
      <c r="R356" s="3" t="s">
        <v>74</v>
      </c>
      <c r="S356" s="3" t="s">
        <v>74</v>
      </c>
      <c r="T356" s="3" t="s">
        <v>7392</v>
      </c>
      <c r="U356" s="3" t="s">
        <v>7393</v>
      </c>
      <c r="V356" s="3" t="s">
        <v>7394</v>
      </c>
      <c r="W356" s="3" t="s">
        <v>7395</v>
      </c>
      <c r="X356" s="3" t="s">
        <v>7396</v>
      </c>
      <c r="Y356" s="3" t="s">
        <v>7397</v>
      </c>
      <c r="Z356" s="3" t="s">
        <v>7398</v>
      </c>
      <c r="AA356" s="3" t="s">
        <v>7399</v>
      </c>
      <c r="AB356" s="3" t="s">
        <v>7400</v>
      </c>
      <c r="AC356" s="3" t="s">
        <v>7401</v>
      </c>
      <c r="AD356" s="3" t="s">
        <v>7402</v>
      </c>
      <c r="AE356" s="3" t="s">
        <v>7403</v>
      </c>
      <c r="AF356" s="3" t="s">
        <v>74</v>
      </c>
      <c r="AG356" s="3">
        <v>66</v>
      </c>
      <c r="AH356" s="3">
        <v>2</v>
      </c>
      <c r="AI356" s="3">
        <v>3</v>
      </c>
      <c r="AJ356" s="3">
        <v>6</v>
      </c>
      <c r="AK356" s="3">
        <v>6</v>
      </c>
      <c r="AL356" s="3" t="s">
        <v>846</v>
      </c>
      <c r="AM356" s="3" t="s">
        <v>847</v>
      </c>
      <c r="AN356" s="3" t="s">
        <v>848</v>
      </c>
      <c r="AO356" s="3" t="s">
        <v>849</v>
      </c>
      <c r="AP356" s="3" t="s">
        <v>74</v>
      </c>
      <c r="AQ356" s="3" t="s">
        <v>74</v>
      </c>
      <c r="AR356" s="3" t="s">
        <v>835</v>
      </c>
      <c r="AS356" s="3" t="s">
        <v>850</v>
      </c>
      <c r="AT356" s="3" t="s">
        <v>74</v>
      </c>
      <c r="AU356" s="3">
        <v>2025</v>
      </c>
      <c r="AV356" s="3">
        <v>13</v>
      </c>
      <c r="AW356" s="3" t="s">
        <v>74</v>
      </c>
      <c r="AX356" s="3" t="s">
        <v>74</v>
      </c>
      <c r="AY356" s="3" t="s">
        <v>74</v>
      </c>
      <c r="AZ356" s="3" t="s">
        <v>74</v>
      </c>
      <c r="BA356" s="3" t="s">
        <v>74</v>
      </c>
      <c r="BB356" s="3">
        <v>76838</v>
      </c>
      <c r="BC356" s="3">
        <v>76856</v>
      </c>
      <c r="BD356" s="3" t="s">
        <v>74</v>
      </c>
      <c r="BE356" s="3" t="s">
        <v>7404</v>
      </c>
      <c r="BF356" s="3" t="str">
        <f>HYPERLINK("http://dx.doi.org/10.1109/ACCESS.2025.3562531","http://dx.doi.org/10.1109/ACCESS.2025.3562531")</f>
        <v>http://dx.doi.org/10.1109/ACCESS.2025.3562531</v>
      </c>
      <c r="BG356" s="3" t="s">
        <v>74</v>
      </c>
      <c r="BH356" s="3" t="s">
        <v>74</v>
      </c>
      <c r="BI356" s="3">
        <v>19</v>
      </c>
      <c r="BJ356" s="3" t="s">
        <v>852</v>
      </c>
      <c r="BK356" s="3" t="s">
        <v>179</v>
      </c>
      <c r="BL356" s="3" t="s">
        <v>853</v>
      </c>
      <c r="BM356" s="3" t="s">
        <v>7405</v>
      </c>
      <c r="BN356" s="3" t="s">
        <v>74</v>
      </c>
      <c r="BO356" s="3" t="s">
        <v>100</v>
      </c>
      <c r="BP356" s="3" t="s">
        <v>74</v>
      </c>
      <c r="BQ356" s="3" t="s">
        <v>74</v>
      </c>
      <c r="BR356" s="3" t="s">
        <v>101</v>
      </c>
      <c r="BS356" s="3" t="s">
        <v>7406</v>
      </c>
      <c r="BT356" s="3" t="str">
        <f>HYPERLINK("https%3A%2F%2Fwww.webofscience.com%2Fwos%2Fwoscc%2Ffull-record%2FWOS:001483881100029","View Full Record in Web of Science")</f>
        <v>View Full Record in Web of Science</v>
      </c>
      <c r="BU356" s="3"/>
      <c r="BV356" s="3"/>
      <c r="BW356" s="1"/>
    </row>
    <row r="357" spans="1:75" x14ac:dyDescent="0.25">
      <c r="A357" s="3" t="s">
        <v>72</v>
      </c>
      <c r="B357" s="3" t="s">
        <v>7407</v>
      </c>
      <c r="C357" s="3" t="s">
        <v>74</v>
      </c>
      <c r="D357" s="3" t="s">
        <v>74</v>
      </c>
      <c r="E357" s="3" t="s">
        <v>74</v>
      </c>
      <c r="F357" s="3" t="s">
        <v>7408</v>
      </c>
      <c r="G357" s="3" t="s">
        <v>74</v>
      </c>
      <c r="H357" s="3" t="s">
        <v>74</v>
      </c>
      <c r="I357" s="3" t="s">
        <v>7409</v>
      </c>
      <c r="J357" s="3" t="s">
        <v>1861</v>
      </c>
      <c r="K357" s="3" t="s">
        <v>74</v>
      </c>
      <c r="L357" s="3" t="s">
        <v>74</v>
      </c>
      <c r="M357" s="3" t="s">
        <v>110</v>
      </c>
      <c r="N357" s="3" t="s">
        <v>79</v>
      </c>
      <c r="O357" s="3" t="s">
        <v>74</v>
      </c>
      <c r="P357" s="3" t="s">
        <v>74</v>
      </c>
      <c r="Q357" s="3" t="s">
        <v>74</v>
      </c>
      <c r="R357" s="3" t="s">
        <v>74</v>
      </c>
      <c r="S357" s="3" t="s">
        <v>74</v>
      </c>
      <c r="T357" s="3" t="s">
        <v>7410</v>
      </c>
      <c r="U357" s="3" t="s">
        <v>7411</v>
      </c>
      <c r="V357" s="3" t="s">
        <v>7412</v>
      </c>
      <c r="W357" s="3" t="s">
        <v>7413</v>
      </c>
      <c r="X357" s="3" t="s">
        <v>7414</v>
      </c>
      <c r="Y357" s="3" t="s">
        <v>7415</v>
      </c>
      <c r="Z357" s="3" t="s">
        <v>7416</v>
      </c>
      <c r="AA357" s="3" t="s">
        <v>7417</v>
      </c>
      <c r="AB357" s="3" t="s">
        <v>7418</v>
      </c>
      <c r="AC357" s="3" t="s">
        <v>7419</v>
      </c>
      <c r="AD357" s="3" t="s">
        <v>7419</v>
      </c>
      <c r="AE357" s="3" t="s">
        <v>7420</v>
      </c>
      <c r="AF357" s="3" t="s">
        <v>74</v>
      </c>
      <c r="AG357" s="3">
        <v>60</v>
      </c>
      <c r="AH357" s="3">
        <v>11</v>
      </c>
      <c r="AI357" s="3">
        <v>11</v>
      </c>
      <c r="AJ357" s="3">
        <v>3</v>
      </c>
      <c r="AK357" s="3">
        <v>12</v>
      </c>
      <c r="AL357" s="3" t="s">
        <v>145</v>
      </c>
      <c r="AM357" s="3" t="s">
        <v>146</v>
      </c>
      <c r="AN357" s="3" t="s">
        <v>279</v>
      </c>
      <c r="AO357" s="3" t="s">
        <v>74</v>
      </c>
      <c r="AP357" s="3" t="s">
        <v>1873</v>
      </c>
      <c r="AQ357" s="3" t="s">
        <v>74</v>
      </c>
      <c r="AR357" s="3" t="s">
        <v>1874</v>
      </c>
      <c r="AS357" s="3" t="s">
        <v>1875</v>
      </c>
      <c r="AT357" s="3" t="s">
        <v>1450</v>
      </c>
      <c r="AU357" s="3">
        <v>2023</v>
      </c>
      <c r="AV357" s="3">
        <v>13</v>
      </c>
      <c r="AW357" s="3">
        <v>13</v>
      </c>
      <c r="AX357" s="3" t="s">
        <v>74</v>
      </c>
      <c r="AY357" s="3" t="s">
        <v>74</v>
      </c>
      <c r="AZ357" s="3" t="s">
        <v>74</v>
      </c>
      <c r="BA357" s="3" t="s">
        <v>74</v>
      </c>
      <c r="BB357" s="3" t="s">
        <v>74</v>
      </c>
      <c r="BC357" s="3" t="s">
        <v>74</v>
      </c>
      <c r="BD357" s="3">
        <v>7557</v>
      </c>
      <c r="BE357" s="3" t="s">
        <v>7421</v>
      </c>
      <c r="BF357" s="3" t="str">
        <f>HYPERLINK("http://dx.doi.org/10.3390/app13137557","http://dx.doi.org/10.3390/app13137557")</f>
        <v>http://dx.doi.org/10.3390/app13137557</v>
      </c>
      <c r="BG357" s="3" t="s">
        <v>74</v>
      </c>
      <c r="BH357" s="3" t="s">
        <v>74</v>
      </c>
      <c r="BI357" s="3">
        <v>24</v>
      </c>
      <c r="BJ357" s="3" t="s">
        <v>1877</v>
      </c>
      <c r="BK357" s="3" t="s">
        <v>179</v>
      </c>
      <c r="BL357" s="3" t="s">
        <v>1878</v>
      </c>
      <c r="BM357" s="3" t="s">
        <v>7422</v>
      </c>
      <c r="BN357" s="3" t="s">
        <v>74</v>
      </c>
      <c r="BO357" s="3" t="s">
        <v>133</v>
      </c>
      <c r="BP357" s="3" t="s">
        <v>74</v>
      </c>
      <c r="BQ357" s="3" t="s">
        <v>74</v>
      </c>
      <c r="BR357" s="3" t="s">
        <v>101</v>
      </c>
      <c r="BS357" s="3" t="s">
        <v>7423</v>
      </c>
      <c r="BT357" s="3" t="str">
        <f>HYPERLINK("https%3A%2F%2Fwww.webofscience.com%2Fwos%2Fwoscc%2Ffull-record%2FWOS:001086775500001","View Full Record in Web of Science")</f>
        <v>View Full Record in Web of Science</v>
      </c>
      <c r="BU357" s="3"/>
      <c r="BV357" s="3"/>
      <c r="BW357" s="1"/>
    </row>
    <row r="358" spans="1:75" x14ac:dyDescent="0.25">
      <c r="A358" s="3" t="s">
        <v>72</v>
      </c>
      <c r="B358" s="3" t="s">
        <v>7424</v>
      </c>
      <c r="C358" s="3" t="s">
        <v>74</v>
      </c>
      <c r="D358" s="3" t="s">
        <v>74</v>
      </c>
      <c r="E358" s="3" t="s">
        <v>74</v>
      </c>
      <c r="F358" s="3" t="s">
        <v>7425</v>
      </c>
      <c r="G358" s="3" t="s">
        <v>74</v>
      </c>
      <c r="H358" s="3" t="s">
        <v>74</v>
      </c>
      <c r="I358" s="3" t="s">
        <v>7426</v>
      </c>
      <c r="J358" s="3" t="s">
        <v>1435</v>
      </c>
      <c r="K358" s="3" t="s">
        <v>74</v>
      </c>
      <c r="L358" s="3" t="s">
        <v>74</v>
      </c>
      <c r="M358" s="3" t="s">
        <v>110</v>
      </c>
      <c r="N358" s="3" t="s">
        <v>79</v>
      </c>
      <c r="O358" s="3" t="s">
        <v>74</v>
      </c>
      <c r="P358" s="3" t="s">
        <v>74</v>
      </c>
      <c r="Q358" s="3" t="s">
        <v>74</v>
      </c>
      <c r="R358" s="3" t="s">
        <v>74</v>
      </c>
      <c r="S358" s="3" t="s">
        <v>74</v>
      </c>
      <c r="T358" s="3" t="s">
        <v>7427</v>
      </c>
      <c r="U358" s="3" t="s">
        <v>7428</v>
      </c>
      <c r="V358" s="3" t="s">
        <v>7429</v>
      </c>
      <c r="W358" s="3" t="s">
        <v>7430</v>
      </c>
      <c r="X358" s="3" t="s">
        <v>7431</v>
      </c>
      <c r="Y358" s="3" t="s">
        <v>7432</v>
      </c>
      <c r="Z358" s="3" t="s">
        <v>7433</v>
      </c>
      <c r="AA358" s="3" t="s">
        <v>74</v>
      </c>
      <c r="AB358" s="3" t="s">
        <v>74</v>
      </c>
      <c r="AC358" s="3" t="s">
        <v>74</v>
      </c>
      <c r="AD358" s="3" t="s">
        <v>74</v>
      </c>
      <c r="AE358" s="3" t="s">
        <v>74</v>
      </c>
      <c r="AF358" s="3" t="s">
        <v>74</v>
      </c>
      <c r="AG358" s="3">
        <v>46</v>
      </c>
      <c r="AH358" s="3">
        <v>2</v>
      </c>
      <c r="AI358" s="3">
        <v>3</v>
      </c>
      <c r="AJ358" s="3">
        <v>19</v>
      </c>
      <c r="AK358" s="3">
        <v>118</v>
      </c>
      <c r="AL358" s="3" t="s">
        <v>145</v>
      </c>
      <c r="AM358" s="3" t="s">
        <v>146</v>
      </c>
      <c r="AN358" s="3" t="s">
        <v>279</v>
      </c>
      <c r="AO358" s="3" t="s">
        <v>74</v>
      </c>
      <c r="AP358" s="3" t="s">
        <v>1447</v>
      </c>
      <c r="AQ358" s="3" t="s">
        <v>74</v>
      </c>
      <c r="AR358" s="3" t="s">
        <v>1448</v>
      </c>
      <c r="AS358" s="3" t="s">
        <v>1449</v>
      </c>
      <c r="AT358" s="3" t="s">
        <v>949</v>
      </c>
      <c r="AU358" s="3">
        <v>2024</v>
      </c>
      <c r="AV358" s="3">
        <v>24</v>
      </c>
      <c r="AW358" s="3">
        <v>6</v>
      </c>
      <c r="AX358" s="3" t="s">
        <v>74</v>
      </c>
      <c r="AY358" s="3" t="s">
        <v>74</v>
      </c>
      <c r="AZ358" s="3" t="s">
        <v>74</v>
      </c>
      <c r="BA358" s="3" t="s">
        <v>74</v>
      </c>
      <c r="BB358" s="3" t="s">
        <v>74</v>
      </c>
      <c r="BC358" s="3" t="s">
        <v>74</v>
      </c>
      <c r="BD358" s="3">
        <v>1878</v>
      </c>
      <c r="BE358" s="3" t="s">
        <v>7434</v>
      </c>
      <c r="BF358" s="3" t="str">
        <f>HYPERLINK("http://dx.doi.org/10.3390/s24061878","http://dx.doi.org/10.3390/s24061878")</f>
        <v>http://dx.doi.org/10.3390/s24061878</v>
      </c>
      <c r="BG358" s="3" t="s">
        <v>74</v>
      </c>
      <c r="BH358" s="3" t="s">
        <v>74</v>
      </c>
      <c r="BI358" s="3">
        <v>18</v>
      </c>
      <c r="BJ358" s="3" t="s">
        <v>1452</v>
      </c>
      <c r="BK358" s="3" t="s">
        <v>179</v>
      </c>
      <c r="BL358" s="3" t="s">
        <v>1453</v>
      </c>
      <c r="BM358" s="3" t="s">
        <v>7435</v>
      </c>
      <c r="BN358" s="3">
        <v>38544141</v>
      </c>
      <c r="BO358" s="3" t="s">
        <v>133</v>
      </c>
      <c r="BP358" s="3" t="s">
        <v>74</v>
      </c>
      <c r="BQ358" s="3" t="s">
        <v>74</v>
      </c>
      <c r="BR358" s="3" t="s">
        <v>101</v>
      </c>
      <c r="BS358" s="3" t="s">
        <v>7436</v>
      </c>
      <c r="BT358" s="3" t="str">
        <f>HYPERLINK("https%3A%2F%2Fwww.webofscience.com%2Fwos%2Fwoscc%2Ffull-record%2FWOS:001192488500001","View Full Record in Web of Science")</f>
        <v>View Full Record in Web of Science</v>
      </c>
      <c r="BU358" s="3"/>
      <c r="BV358" s="3"/>
      <c r="BW358" s="1"/>
    </row>
    <row r="359" spans="1:75" x14ac:dyDescent="0.25">
      <c r="A359" s="3" t="s">
        <v>72</v>
      </c>
      <c r="B359" s="3" t="s">
        <v>7437</v>
      </c>
      <c r="C359" s="3" t="s">
        <v>74</v>
      </c>
      <c r="D359" s="3" t="s">
        <v>74</v>
      </c>
      <c r="E359" s="3" t="s">
        <v>74</v>
      </c>
      <c r="F359" s="3" t="s">
        <v>7438</v>
      </c>
      <c r="G359" s="3" t="s">
        <v>74</v>
      </c>
      <c r="H359" s="3" t="s">
        <v>74</v>
      </c>
      <c r="I359" s="3" t="s">
        <v>7439</v>
      </c>
      <c r="J359" s="3" t="s">
        <v>138</v>
      </c>
      <c r="K359" s="3" t="s">
        <v>74</v>
      </c>
      <c r="L359" s="3" t="s">
        <v>74</v>
      </c>
      <c r="M359" s="3" t="s">
        <v>110</v>
      </c>
      <c r="N359" s="3" t="s">
        <v>79</v>
      </c>
      <c r="O359" s="3" t="s">
        <v>74</v>
      </c>
      <c r="P359" s="3" t="s">
        <v>74</v>
      </c>
      <c r="Q359" s="3" t="s">
        <v>74</v>
      </c>
      <c r="R359" s="3" t="s">
        <v>74</v>
      </c>
      <c r="S359" s="3" t="s">
        <v>74</v>
      </c>
      <c r="T359" s="3" t="s">
        <v>7440</v>
      </c>
      <c r="U359" s="3" t="s">
        <v>7441</v>
      </c>
      <c r="V359" s="3" t="s">
        <v>7442</v>
      </c>
      <c r="W359" s="3" t="s">
        <v>7443</v>
      </c>
      <c r="X359" s="3" t="s">
        <v>7444</v>
      </c>
      <c r="Y359" s="3" t="s">
        <v>7445</v>
      </c>
      <c r="Z359" s="3" t="s">
        <v>7446</v>
      </c>
      <c r="AA359" s="3" t="s">
        <v>7447</v>
      </c>
      <c r="AB359" s="3" t="s">
        <v>7448</v>
      </c>
      <c r="AC359" s="3" t="s">
        <v>74</v>
      </c>
      <c r="AD359" s="3" t="s">
        <v>74</v>
      </c>
      <c r="AE359" s="3" t="s">
        <v>74</v>
      </c>
      <c r="AF359" s="3" t="s">
        <v>74</v>
      </c>
      <c r="AG359" s="3">
        <v>48</v>
      </c>
      <c r="AH359" s="3">
        <v>79</v>
      </c>
      <c r="AI359" s="3">
        <v>83</v>
      </c>
      <c r="AJ359" s="3">
        <v>13</v>
      </c>
      <c r="AK359" s="3">
        <v>155</v>
      </c>
      <c r="AL359" s="3" t="s">
        <v>145</v>
      </c>
      <c r="AM359" s="3" t="s">
        <v>146</v>
      </c>
      <c r="AN359" s="3" t="s">
        <v>147</v>
      </c>
      <c r="AO359" s="3" t="s">
        <v>74</v>
      </c>
      <c r="AP359" s="3" t="s">
        <v>148</v>
      </c>
      <c r="AQ359" s="3" t="s">
        <v>74</v>
      </c>
      <c r="AR359" s="3" t="s">
        <v>149</v>
      </c>
      <c r="AS359" s="3" t="s">
        <v>150</v>
      </c>
      <c r="AT359" s="3" t="s">
        <v>807</v>
      </c>
      <c r="AU359" s="3">
        <v>2022</v>
      </c>
      <c r="AV359" s="3">
        <v>14</v>
      </c>
      <c r="AW359" s="3">
        <v>3</v>
      </c>
      <c r="AX359" s="3" t="s">
        <v>74</v>
      </c>
      <c r="AY359" s="3" t="s">
        <v>74</v>
      </c>
      <c r="AZ359" s="3" t="s">
        <v>74</v>
      </c>
      <c r="BA359" s="3" t="s">
        <v>74</v>
      </c>
      <c r="BB359" s="3" t="s">
        <v>74</v>
      </c>
      <c r="BC359" s="3" t="s">
        <v>74</v>
      </c>
      <c r="BD359" s="3">
        <v>1766</v>
      </c>
      <c r="BE359" s="3" t="s">
        <v>7449</v>
      </c>
      <c r="BF359" s="3" t="str">
        <f>HYPERLINK("http://dx.doi.org/10.3390/su14031766","http://dx.doi.org/10.3390/su14031766")</f>
        <v>http://dx.doi.org/10.3390/su14031766</v>
      </c>
      <c r="BG359" s="3" t="s">
        <v>74</v>
      </c>
      <c r="BH359" s="3" t="s">
        <v>74</v>
      </c>
      <c r="BI359" s="3">
        <v>19</v>
      </c>
      <c r="BJ359" s="3" t="s">
        <v>153</v>
      </c>
      <c r="BK359" s="3" t="s">
        <v>154</v>
      </c>
      <c r="BL359" s="3" t="s">
        <v>155</v>
      </c>
      <c r="BM359" s="3" t="s">
        <v>7450</v>
      </c>
      <c r="BN359" s="3" t="s">
        <v>74</v>
      </c>
      <c r="BO359" s="3" t="s">
        <v>133</v>
      </c>
      <c r="BP359" s="3" t="s">
        <v>74</v>
      </c>
      <c r="BQ359" s="3" t="s">
        <v>74</v>
      </c>
      <c r="BR359" s="3" t="s">
        <v>101</v>
      </c>
      <c r="BS359" s="3" t="s">
        <v>7451</v>
      </c>
      <c r="BT359" s="3" t="str">
        <f>HYPERLINK("https%3A%2F%2Fwww.webofscience.com%2Fwos%2Fwoscc%2Ffull-record%2FWOS:000755714200001","View Full Record in Web of Science")</f>
        <v>View Full Record in Web of Science</v>
      </c>
      <c r="BU359" s="3"/>
      <c r="BV359" s="3"/>
      <c r="BW359" s="1"/>
    </row>
    <row r="360" spans="1:75" x14ac:dyDescent="0.25">
      <c r="A360" s="3" t="s">
        <v>72</v>
      </c>
      <c r="B360" s="3" t="s">
        <v>7452</v>
      </c>
      <c r="C360" s="3" t="s">
        <v>74</v>
      </c>
      <c r="D360" s="3" t="s">
        <v>74</v>
      </c>
      <c r="E360" s="3" t="s">
        <v>74</v>
      </c>
      <c r="F360" s="3" t="s">
        <v>7453</v>
      </c>
      <c r="G360" s="3" t="s">
        <v>74</v>
      </c>
      <c r="H360" s="3" t="s">
        <v>74</v>
      </c>
      <c r="I360" s="3" t="s">
        <v>7454</v>
      </c>
      <c r="J360" s="3" t="s">
        <v>138</v>
      </c>
      <c r="K360" s="3" t="s">
        <v>74</v>
      </c>
      <c r="L360" s="3" t="s">
        <v>74</v>
      </c>
      <c r="M360" s="3" t="s">
        <v>110</v>
      </c>
      <c r="N360" s="3" t="s">
        <v>216</v>
      </c>
      <c r="O360" s="3" t="s">
        <v>74</v>
      </c>
      <c r="P360" s="3" t="s">
        <v>74</v>
      </c>
      <c r="Q360" s="3" t="s">
        <v>74</v>
      </c>
      <c r="R360" s="3" t="s">
        <v>74</v>
      </c>
      <c r="S360" s="3" t="s">
        <v>74</v>
      </c>
      <c r="T360" s="3" t="s">
        <v>7455</v>
      </c>
      <c r="U360" s="3" t="s">
        <v>7456</v>
      </c>
      <c r="V360" s="3" t="s">
        <v>7457</v>
      </c>
      <c r="W360" s="3" t="s">
        <v>7458</v>
      </c>
      <c r="X360" s="3" t="s">
        <v>7459</v>
      </c>
      <c r="Y360" s="3" t="s">
        <v>7460</v>
      </c>
      <c r="Z360" s="3" t="s">
        <v>7461</v>
      </c>
      <c r="AA360" s="3" t="s">
        <v>7462</v>
      </c>
      <c r="AB360" s="3" t="s">
        <v>7463</v>
      </c>
      <c r="AC360" s="3" t="s">
        <v>7464</v>
      </c>
      <c r="AD360" s="3" t="s">
        <v>7464</v>
      </c>
      <c r="AE360" s="3" t="s">
        <v>7465</v>
      </c>
      <c r="AF360" s="3" t="s">
        <v>74</v>
      </c>
      <c r="AG360" s="3">
        <v>141</v>
      </c>
      <c r="AH360" s="3">
        <v>43</v>
      </c>
      <c r="AI360" s="3">
        <v>46</v>
      </c>
      <c r="AJ360" s="3">
        <v>11</v>
      </c>
      <c r="AK360" s="3">
        <v>128</v>
      </c>
      <c r="AL360" s="3" t="s">
        <v>145</v>
      </c>
      <c r="AM360" s="3" t="s">
        <v>146</v>
      </c>
      <c r="AN360" s="3" t="s">
        <v>147</v>
      </c>
      <c r="AO360" s="3" t="s">
        <v>74</v>
      </c>
      <c r="AP360" s="3" t="s">
        <v>148</v>
      </c>
      <c r="AQ360" s="3" t="s">
        <v>74</v>
      </c>
      <c r="AR360" s="3" t="s">
        <v>149</v>
      </c>
      <c r="AS360" s="3" t="s">
        <v>150</v>
      </c>
      <c r="AT360" s="3" t="s">
        <v>283</v>
      </c>
      <c r="AU360" s="3">
        <v>2022</v>
      </c>
      <c r="AV360" s="3">
        <v>14</v>
      </c>
      <c r="AW360" s="3">
        <v>15</v>
      </c>
      <c r="AX360" s="3" t="s">
        <v>74</v>
      </c>
      <c r="AY360" s="3" t="s">
        <v>74</v>
      </c>
      <c r="AZ360" s="3" t="s">
        <v>74</v>
      </c>
      <c r="BA360" s="3" t="s">
        <v>74</v>
      </c>
      <c r="BB360" s="3" t="s">
        <v>74</v>
      </c>
      <c r="BC360" s="3" t="s">
        <v>74</v>
      </c>
      <c r="BD360" s="3">
        <v>9525</v>
      </c>
      <c r="BE360" s="3" t="s">
        <v>7466</v>
      </c>
      <c r="BF360" s="3" t="str">
        <f>HYPERLINK("http://dx.doi.org/10.3390/su14159525","http://dx.doi.org/10.3390/su14159525")</f>
        <v>http://dx.doi.org/10.3390/su14159525</v>
      </c>
      <c r="BG360" s="3" t="s">
        <v>74</v>
      </c>
      <c r="BH360" s="3" t="s">
        <v>74</v>
      </c>
      <c r="BI360" s="3">
        <v>23</v>
      </c>
      <c r="BJ360" s="3" t="s">
        <v>153</v>
      </c>
      <c r="BK360" s="3" t="s">
        <v>154</v>
      </c>
      <c r="BL360" s="3" t="s">
        <v>155</v>
      </c>
      <c r="BM360" s="3" t="s">
        <v>7467</v>
      </c>
      <c r="BN360" s="3" t="s">
        <v>74</v>
      </c>
      <c r="BO360" s="3" t="s">
        <v>133</v>
      </c>
      <c r="BP360" s="3" t="s">
        <v>74</v>
      </c>
      <c r="BQ360" s="3" t="s">
        <v>74</v>
      </c>
      <c r="BR360" s="3" t="s">
        <v>101</v>
      </c>
      <c r="BS360" s="3" t="s">
        <v>7468</v>
      </c>
      <c r="BT360" s="3" t="str">
        <f>HYPERLINK("https%3A%2F%2Fwww.webofscience.com%2Fwos%2Fwoscc%2Ffull-record%2FWOS:000839109300001","View Full Record in Web of Science")</f>
        <v>View Full Record in Web of Science</v>
      </c>
      <c r="BU360" s="3"/>
      <c r="BV360" s="3"/>
      <c r="BW360" s="1"/>
    </row>
    <row r="361" spans="1:75" x14ac:dyDescent="0.25">
      <c r="A361" s="3" t="s">
        <v>72</v>
      </c>
      <c r="B361" s="3" t="s">
        <v>7469</v>
      </c>
      <c r="C361" s="3" t="s">
        <v>74</v>
      </c>
      <c r="D361" s="3" t="s">
        <v>74</v>
      </c>
      <c r="E361" s="3" t="s">
        <v>74</v>
      </c>
      <c r="F361" s="3" t="s">
        <v>7470</v>
      </c>
      <c r="G361" s="3" t="s">
        <v>74</v>
      </c>
      <c r="H361" s="3" t="s">
        <v>74</v>
      </c>
      <c r="I361" s="3" t="s">
        <v>7471</v>
      </c>
      <c r="J361" s="3" t="s">
        <v>138</v>
      </c>
      <c r="K361" s="3" t="s">
        <v>74</v>
      </c>
      <c r="L361" s="3" t="s">
        <v>74</v>
      </c>
      <c r="M361" s="3" t="s">
        <v>110</v>
      </c>
      <c r="N361" s="3" t="s">
        <v>79</v>
      </c>
      <c r="O361" s="3" t="s">
        <v>74</v>
      </c>
      <c r="P361" s="3" t="s">
        <v>74</v>
      </c>
      <c r="Q361" s="3" t="s">
        <v>74</v>
      </c>
      <c r="R361" s="3" t="s">
        <v>74</v>
      </c>
      <c r="S361" s="3" t="s">
        <v>74</v>
      </c>
      <c r="T361" s="3" t="s">
        <v>7472</v>
      </c>
      <c r="U361" s="3" t="s">
        <v>7473</v>
      </c>
      <c r="V361" s="3" t="s">
        <v>7474</v>
      </c>
      <c r="W361" s="3" t="s">
        <v>7475</v>
      </c>
      <c r="X361" s="3" t="s">
        <v>7476</v>
      </c>
      <c r="Y361" s="3" t="s">
        <v>7477</v>
      </c>
      <c r="Z361" s="3" t="s">
        <v>7478</v>
      </c>
      <c r="AA361" s="3" t="s">
        <v>7479</v>
      </c>
      <c r="AB361" s="3" t="s">
        <v>7480</v>
      </c>
      <c r="AC361" s="3" t="s">
        <v>7481</v>
      </c>
      <c r="AD361" s="3" t="s">
        <v>7482</v>
      </c>
      <c r="AE361" s="3" t="s">
        <v>7483</v>
      </c>
      <c r="AF361" s="3" t="s">
        <v>74</v>
      </c>
      <c r="AG361" s="3">
        <v>61</v>
      </c>
      <c r="AH361" s="3">
        <v>5</v>
      </c>
      <c r="AI361" s="3">
        <v>5</v>
      </c>
      <c r="AJ361" s="3">
        <v>6</v>
      </c>
      <c r="AK361" s="3">
        <v>41</v>
      </c>
      <c r="AL361" s="3" t="s">
        <v>145</v>
      </c>
      <c r="AM361" s="3" t="s">
        <v>146</v>
      </c>
      <c r="AN361" s="3" t="s">
        <v>279</v>
      </c>
      <c r="AO361" s="3" t="s">
        <v>74</v>
      </c>
      <c r="AP361" s="3" t="s">
        <v>148</v>
      </c>
      <c r="AQ361" s="3" t="s">
        <v>74</v>
      </c>
      <c r="AR361" s="3" t="s">
        <v>149</v>
      </c>
      <c r="AS361" s="3" t="s">
        <v>150</v>
      </c>
      <c r="AT361" s="3" t="s">
        <v>807</v>
      </c>
      <c r="AU361" s="3">
        <v>2023</v>
      </c>
      <c r="AV361" s="3">
        <v>15</v>
      </c>
      <c r="AW361" s="3">
        <v>3</v>
      </c>
      <c r="AX361" s="3" t="s">
        <v>74</v>
      </c>
      <c r="AY361" s="3" t="s">
        <v>74</v>
      </c>
      <c r="AZ361" s="3" t="s">
        <v>74</v>
      </c>
      <c r="BA361" s="3" t="s">
        <v>74</v>
      </c>
      <c r="BB361" s="3" t="s">
        <v>74</v>
      </c>
      <c r="BC361" s="3" t="s">
        <v>74</v>
      </c>
      <c r="BD361" s="3">
        <v>2613</v>
      </c>
      <c r="BE361" s="3" t="s">
        <v>7484</v>
      </c>
      <c r="BF361" s="3" t="str">
        <f>HYPERLINK("http://dx.doi.org/10.3390/su15032613","http://dx.doi.org/10.3390/su15032613")</f>
        <v>http://dx.doi.org/10.3390/su15032613</v>
      </c>
      <c r="BG361" s="3" t="s">
        <v>74</v>
      </c>
      <c r="BH361" s="3" t="s">
        <v>74</v>
      </c>
      <c r="BI361" s="3">
        <v>23</v>
      </c>
      <c r="BJ361" s="3" t="s">
        <v>153</v>
      </c>
      <c r="BK361" s="3" t="s">
        <v>154</v>
      </c>
      <c r="BL361" s="3" t="s">
        <v>155</v>
      </c>
      <c r="BM361" s="3" t="s">
        <v>7485</v>
      </c>
      <c r="BN361" s="3" t="s">
        <v>74</v>
      </c>
      <c r="BO361" s="3" t="s">
        <v>7486</v>
      </c>
      <c r="BP361" s="3" t="s">
        <v>74</v>
      </c>
      <c r="BQ361" s="3" t="s">
        <v>74</v>
      </c>
      <c r="BR361" s="3" t="s">
        <v>101</v>
      </c>
      <c r="BS361" s="3" t="s">
        <v>7487</v>
      </c>
      <c r="BT361" s="3" t="str">
        <f>HYPERLINK("https%3A%2F%2Fwww.webofscience.com%2Fwos%2Fwoscc%2Ffull-record%2FWOS:000929706900001","View Full Record in Web of Science")</f>
        <v>View Full Record in Web of Science</v>
      </c>
      <c r="BU361" s="3"/>
      <c r="BV361" s="3"/>
      <c r="BW361" s="1"/>
    </row>
    <row r="362" spans="1:75" x14ac:dyDescent="0.25">
      <c r="A362" s="3" t="s">
        <v>72</v>
      </c>
      <c r="B362" s="3" t="s">
        <v>7488</v>
      </c>
      <c r="C362" s="3" t="s">
        <v>74</v>
      </c>
      <c r="D362" s="3" t="s">
        <v>74</v>
      </c>
      <c r="E362" s="3" t="s">
        <v>74</v>
      </c>
      <c r="F362" s="3" t="s">
        <v>7489</v>
      </c>
      <c r="G362" s="3" t="s">
        <v>74</v>
      </c>
      <c r="H362" s="3" t="s">
        <v>74</v>
      </c>
      <c r="I362" s="3" t="s">
        <v>7490</v>
      </c>
      <c r="J362" s="3" t="s">
        <v>1435</v>
      </c>
      <c r="K362" s="3" t="s">
        <v>74</v>
      </c>
      <c r="L362" s="3" t="s">
        <v>74</v>
      </c>
      <c r="M362" s="3" t="s">
        <v>110</v>
      </c>
      <c r="N362" s="3" t="s">
        <v>79</v>
      </c>
      <c r="O362" s="3" t="s">
        <v>74</v>
      </c>
      <c r="P362" s="3" t="s">
        <v>74</v>
      </c>
      <c r="Q362" s="3" t="s">
        <v>74</v>
      </c>
      <c r="R362" s="3" t="s">
        <v>74</v>
      </c>
      <c r="S362" s="3" t="s">
        <v>74</v>
      </c>
      <c r="T362" s="3" t="s">
        <v>7491</v>
      </c>
      <c r="U362" s="3" t="s">
        <v>7492</v>
      </c>
      <c r="V362" s="3" t="s">
        <v>7493</v>
      </c>
      <c r="W362" s="3" t="s">
        <v>7494</v>
      </c>
      <c r="X362" s="3" t="s">
        <v>7495</v>
      </c>
      <c r="Y362" s="3" t="s">
        <v>7496</v>
      </c>
      <c r="Z362" s="3" t="s">
        <v>7497</v>
      </c>
      <c r="AA362" s="3" t="s">
        <v>7498</v>
      </c>
      <c r="AB362" s="3" t="s">
        <v>7499</v>
      </c>
      <c r="AC362" s="3" t="s">
        <v>7500</v>
      </c>
      <c r="AD362" s="3" t="s">
        <v>7500</v>
      </c>
      <c r="AE362" s="3" t="s">
        <v>7500</v>
      </c>
      <c r="AF362" s="3" t="s">
        <v>74</v>
      </c>
      <c r="AG362" s="3">
        <v>49</v>
      </c>
      <c r="AH362" s="3">
        <v>4</v>
      </c>
      <c r="AI362" s="3">
        <v>4</v>
      </c>
      <c r="AJ362" s="3">
        <v>0</v>
      </c>
      <c r="AK362" s="3">
        <v>15</v>
      </c>
      <c r="AL362" s="3" t="s">
        <v>145</v>
      </c>
      <c r="AM362" s="3" t="s">
        <v>146</v>
      </c>
      <c r="AN362" s="3" t="s">
        <v>279</v>
      </c>
      <c r="AO362" s="3" t="s">
        <v>74</v>
      </c>
      <c r="AP362" s="3" t="s">
        <v>1447</v>
      </c>
      <c r="AQ362" s="3" t="s">
        <v>74</v>
      </c>
      <c r="AR362" s="3" t="s">
        <v>1448</v>
      </c>
      <c r="AS362" s="3" t="s">
        <v>1449</v>
      </c>
      <c r="AT362" s="3" t="s">
        <v>592</v>
      </c>
      <c r="AU362" s="3">
        <v>2023</v>
      </c>
      <c r="AV362" s="3">
        <v>23</v>
      </c>
      <c r="AW362" s="3">
        <v>21</v>
      </c>
      <c r="AX362" s="3" t="s">
        <v>74</v>
      </c>
      <c r="AY362" s="3" t="s">
        <v>74</v>
      </c>
      <c r="AZ362" s="3" t="s">
        <v>74</v>
      </c>
      <c r="BA362" s="3" t="s">
        <v>74</v>
      </c>
      <c r="BB362" s="3" t="s">
        <v>74</v>
      </c>
      <c r="BC362" s="3" t="s">
        <v>74</v>
      </c>
      <c r="BD362" s="3">
        <v>8941</v>
      </c>
      <c r="BE362" s="3" t="s">
        <v>7501</v>
      </c>
      <c r="BF362" s="3" t="str">
        <f>HYPERLINK("http://dx.doi.org/10.3390/s23218941","http://dx.doi.org/10.3390/s23218941")</f>
        <v>http://dx.doi.org/10.3390/s23218941</v>
      </c>
      <c r="BG362" s="3" t="s">
        <v>74</v>
      </c>
      <c r="BH362" s="3" t="s">
        <v>74</v>
      </c>
      <c r="BI362" s="3">
        <v>28</v>
      </c>
      <c r="BJ362" s="3" t="s">
        <v>1452</v>
      </c>
      <c r="BK362" s="3" t="s">
        <v>179</v>
      </c>
      <c r="BL362" s="3" t="s">
        <v>1453</v>
      </c>
      <c r="BM362" s="3" t="s">
        <v>7502</v>
      </c>
      <c r="BN362" s="3">
        <v>37960640</v>
      </c>
      <c r="BO362" s="3" t="s">
        <v>133</v>
      </c>
      <c r="BP362" s="3" t="s">
        <v>74</v>
      </c>
      <c r="BQ362" s="3" t="s">
        <v>74</v>
      </c>
      <c r="BR362" s="3" t="s">
        <v>101</v>
      </c>
      <c r="BS362" s="3" t="s">
        <v>7503</v>
      </c>
      <c r="BT362" s="3" t="str">
        <f>HYPERLINK("https%3A%2F%2Fwww.webofscience.com%2Fwos%2Fwoscc%2Ffull-record%2FWOS:001099521900001","View Full Record in Web of Science")</f>
        <v>View Full Record in Web of Science</v>
      </c>
      <c r="BU362" s="3"/>
      <c r="BV362" s="3"/>
      <c r="BW362" s="1"/>
    </row>
    <row r="363" spans="1:75" x14ac:dyDescent="0.25">
      <c r="A363" s="3" t="s">
        <v>72</v>
      </c>
      <c r="B363" s="3" t="s">
        <v>7504</v>
      </c>
      <c r="C363" s="3" t="s">
        <v>74</v>
      </c>
      <c r="D363" s="3" t="s">
        <v>74</v>
      </c>
      <c r="E363" s="3" t="s">
        <v>74</v>
      </c>
      <c r="F363" s="3" t="s">
        <v>7505</v>
      </c>
      <c r="G363" s="3" t="s">
        <v>74</v>
      </c>
      <c r="H363" s="3" t="s">
        <v>74</v>
      </c>
      <c r="I363" s="3" t="s">
        <v>7506</v>
      </c>
      <c r="J363" s="3" t="s">
        <v>215</v>
      </c>
      <c r="K363" s="3" t="s">
        <v>74</v>
      </c>
      <c r="L363" s="3" t="s">
        <v>74</v>
      </c>
      <c r="M363" s="3" t="s">
        <v>110</v>
      </c>
      <c r="N363" s="3" t="s">
        <v>79</v>
      </c>
      <c r="O363" s="3" t="s">
        <v>74</v>
      </c>
      <c r="P363" s="3" t="s">
        <v>74</v>
      </c>
      <c r="Q363" s="3" t="s">
        <v>74</v>
      </c>
      <c r="R363" s="3" t="s">
        <v>74</v>
      </c>
      <c r="S363" s="3" t="s">
        <v>74</v>
      </c>
      <c r="T363" s="3" t="s">
        <v>7507</v>
      </c>
      <c r="U363" s="3" t="s">
        <v>7508</v>
      </c>
      <c r="V363" s="3" t="s">
        <v>7509</v>
      </c>
      <c r="W363" s="3" t="s">
        <v>7510</v>
      </c>
      <c r="X363" s="3" t="s">
        <v>7511</v>
      </c>
      <c r="Y363" s="3" t="s">
        <v>7512</v>
      </c>
      <c r="Z363" s="3" t="s">
        <v>7513</v>
      </c>
      <c r="AA363" s="3" t="s">
        <v>7514</v>
      </c>
      <c r="AB363" s="3" t="s">
        <v>7515</v>
      </c>
      <c r="AC363" s="3" t="s">
        <v>74</v>
      </c>
      <c r="AD363" s="3" t="s">
        <v>74</v>
      </c>
      <c r="AE363" s="3" t="s">
        <v>74</v>
      </c>
      <c r="AF363" s="3" t="s">
        <v>74</v>
      </c>
      <c r="AG363" s="3">
        <v>77</v>
      </c>
      <c r="AH363" s="3">
        <v>4</v>
      </c>
      <c r="AI363" s="3">
        <v>6</v>
      </c>
      <c r="AJ363" s="3">
        <v>3</v>
      </c>
      <c r="AK363" s="3">
        <v>10</v>
      </c>
      <c r="AL363" s="3" t="s">
        <v>226</v>
      </c>
      <c r="AM363" s="3" t="s">
        <v>227</v>
      </c>
      <c r="AN363" s="3" t="s">
        <v>228</v>
      </c>
      <c r="AO363" s="3" t="s">
        <v>74</v>
      </c>
      <c r="AP363" s="3" t="s">
        <v>229</v>
      </c>
      <c r="AQ363" s="3" t="s">
        <v>74</v>
      </c>
      <c r="AR363" s="3" t="s">
        <v>215</v>
      </c>
      <c r="AS363" s="3" t="s">
        <v>230</v>
      </c>
      <c r="AT363" s="3" t="s">
        <v>283</v>
      </c>
      <c r="AU363" s="3">
        <v>2023</v>
      </c>
      <c r="AV363" s="3">
        <v>9</v>
      </c>
      <c r="AW363" s="3">
        <v>8</v>
      </c>
      <c r="AX363" s="3" t="s">
        <v>74</v>
      </c>
      <c r="AY363" s="3" t="s">
        <v>74</v>
      </c>
      <c r="AZ363" s="3" t="s">
        <v>74</v>
      </c>
      <c r="BA363" s="3" t="s">
        <v>74</v>
      </c>
      <c r="BB363" s="3" t="s">
        <v>74</v>
      </c>
      <c r="BC363" s="3" t="s">
        <v>74</v>
      </c>
      <c r="BD363" s="3" t="s">
        <v>7516</v>
      </c>
      <c r="BE363" s="3" t="s">
        <v>7517</v>
      </c>
      <c r="BF363" s="3" t="str">
        <f>HYPERLINK("http://dx.doi.org/10.1016/j.heliyon.2023.e19085","http://dx.doi.org/10.1016/j.heliyon.2023.e19085")</f>
        <v>http://dx.doi.org/10.1016/j.heliyon.2023.e19085</v>
      </c>
      <c r="BG363" s="3" t="s">
        <v>74</v>
      </c>
      <c r="BH363" s="3" t="s">
        <v>7518</v>
      </c>
      <c r="BI363" s="3">
        <v>13</v>
      </c>
      <c r="BJ363" s="3" t="s">
        <v>235</v>
      </c>
      <c r="BK363" s="3" t="s">
        <v>179</v>
      </c>
      <c r="BL363" s="3" t="s">
        <v>236</v>
      </c>
      <c r="BM363" s="3" t="s">
        <v>7519</v>
      </c>
      <c r="BN363" s="3">
        <v>37636356</v>
      </c>
      <c r="BO363" s="3" t="s">
        <v>133</v>
      </c>
      <c r="BP363" s="3" t="s">
        <v>74</v>
      </c>
      <c r="BQ363" s="3" t="s">
        <v>74</v>
      </c>
      <c r="BR363" s="3" t="s">
        <v>101</v>
      </c>
      <c r="BS363" s="3" t="s">
        <v>7520</v>
      </c>
      <c r="BT363" s="3" t="str">
        <f>HYPERLINK("https%3A%2F%2Fwww.webofscience.com%2Fwos%2Fwoscc%2Ffull-record%2FWOS:001141273600001","View Full Record in Web of Science")</f>
        <v>View Full Record in Web of Science</v>
      </c>
      <c r="BU363" s="3"/>
      <c r="BV363" s="3"/>
      <c r="BW363" s="1"/>
    </row>
    <row r="364" spans="1:75" x14ac:dyDescent="0.25">
      <c r="A364" s="3" t="s">
        <v>72</v>
      </c>
      <c r="B364" s="3" t="s">
        <v>7521</v>
      </c>
      <c r="C364" s="3" t="s">
        <v>74</v>
      </c>
      <c r="D364" s="3" t="s">
        <v>74</v>
      </c>
      <c r="E364" s="3" t="s">
        <v>74</v>
      </c>
      <c r="F364" s="3" t="s">
        <v>7522</v>
      </c>
      <c r="G364" s="3" t="s">
        <v>74</v>
      </c>
      <c r="H364" s="3" t="s">
        <v>74</v>
      </c>
      <c r="I364" s="3" t="s">
        <v>7523</v>
      </c>
      <c r="J364" s="3" t="s">
        <v>731</v>
      </c>
      <c r="K364" s="3" t="s">
        <v>74</v>
      </c>
      <c r="L364" s="3" t="s">
        <v>74</v>
      </c>
      <c r="M364" s="3" t="s">
        <v>110</v>
      </c>
      <c r="N364" s="3" t="s">
        <v>216</v>
      </c>
      <c r="O364" s="3" t="s">
        <v>74</v>
      </c>
      <c r="P364" s="3" t="s">
        <v>74</v>
      </c>
      <c r="Q364" s="3" t="s">
        <v>74</v>
      </c>
      <c r="R364" s="3" t="s">
        <v>74</v>
      </c>
      <c r="S364" s="3" t="s">
        <v>74</v>
      </c>
      <c r="T364" s="3" t="s">
        <v>7524</v>
      </c>
      <c r="U364" s="3" t="s">
        <v>7525</v>
      </c>
      <c r="V364" s="3" t="s">
        <v>7526</v>
      </c>
      <c r="W364" s="3" t="s">
        <v>7527</v>
      </c>
      <c r="X364" s="3" t="s">
        <v>6558</v>
      </c>
      <c r="Y364" s="3" t="s">
        <v>7528</v>
      </c>
      <c r="Z364" s="3" t="s">
        <v>7529</v>
      </c>
      <c r="AA364" s="3" t="s">
        <v>74</v>
      </c>
      <c r="AB364" s="3" t="s">
        <v>74</v>
      </c>
      <c r="AC364" s="3" t="s">
        <v>74</v>
      </c>
      <c r="AD364" s="3" t="s">
        <v>74</v>
      </c>
      <c r="AE364" s="3" t="s">
        <v>74</v>
      </c>
      <c r="AF364" s="3" t="s">
        <v>74</v>
      </c>
      <c r="AG364" s="3">
        <v>21</v>
      </c>
      <c r="AH364" s="3">
        <v>3</v>
      </c>
      <c r="AI364" s="3">
        <v>3</v>
      </c>
      <c r="AJ364" s="3">
        <v>1</v>
      </c>
      <c r="AK364" s="3">
        <v>10</v>
      </c>
      <c r="AL364" s="3" t="s">
        <v>740</v>
      </c>
      <c r="AM364" s="3" t="s">
        <v>741</v>
      </c>
      <c r="AN364" s="3" t="s">
        <v>742</v>
      </c>
      <c r="AO364" s="3" t="s">
        <v>743</v>
      </c>
      <c r="AP364" s="3" t="s">
        <v>744</v>
      </c>
      <c r="AQ364" s="3" t="s">
        <v>74</v>
      </c>
      <c r="AR364" s="3" t="s">
        <v>745</v>
      </c>
      <c r="AS364" s="3" t="s">
        <v>746</v>
      </c>
      <c r="AT364" s="3" t="s">
        <v>608</v>
      </c>
      <c r="AU364" s="3">
        <v>2023</v>
      </c>
      <c r="AV364" s="3">
        <v>16</v>
      </c>
      <c r="AW364" s="3">
        <v>1</v>
      </c>
      <c r="AX364" s="3" t="s">
        <v>74</v>
      </c>
      <c r="AY364" s="3" t="s">
        <v>74</v>
      </c>
      <c r="AZ364" s="3" t="s">
        <v>74</v>
      </c>
      <c r="BA364" s="3" t="s">
        <v>74</v>
      </c>
      <c r="BB364" s="3">
        <v>245</v>
      </c>
      <c r="BC364" s="3">
        <v>250</v>
      </c>
      <c r="BD364" s="3" t="s">
        <v>74</v>
      </c>
      <c r="BE364" s="3" t="s">
        <v>7530</v>
      </c>
      <c r="BF364" s="3" t="str">
        <f>HYPERLINK("http://dx.doi.org/10.6093/1970-9870/9814","http://dx.doi.org/10.6093/1970-9870/9814")</f>
        <v>http://dx.doi.org/10.6093/1970-9870/9814</v>
      </c>
      <c r="BG364" s="3" t="s">
        <v>74</v>
      </c>
      <c r="BH364" s="3" t="s">
        <v>74</v>
      </c>
      <c r="BI364" s="3">
        <v>11</v>
      </c>
      <c r="BJ364" s="3" t="s">
        <v>263</v>
      </c>
      <c r="BK364" s="3" t="s">
        <v>97</v>
      </c>
      <c r="BL364" s="3" t="s">
        <v>263</v>
      </c>
      <c r="BM364" s="3" t="s">
        <v>748</v>
      </c>
      <c r="BN364" s="3" t="s">
        <v>74</v>
      </c>
      <c r="BO364" s="3" t="s">
        <v>74</v>
      </c>
      <c r="BP364" s="3" t="s">
        <v>74</v>
      </c>
      <c r="BQ364" s="3" t="s">
        <v>74</v>
      </c>
      <c r="BR364" s="3" t="s">
        <v>101</v>
      </c>
      <c r="BS364" s="3" t="s">
        <v>7531</v>
      </c>
      <c r="BT364" s="3" t="str">
        <f>HYPERLINK("https%3A%2F%2Fwww.webofscience.com%2Fwos%2Fwoscc%2Ffull-record%2FWOS:000983269600017","View Full Record in Web of Science")</f>
        <v>View Full Record in Web of Science</v>
      </c>
      <c r="BU364" s="3"/>
      <c r="BV364" s="3"/>
      <c r="BW364" s="1"/>
    </row>
    <row r="365" spans="1:75" x14ac:dyDescent="0.25">
      <c r="A365" s="3" t="s">
        <v>103</v>
      </c>
      <c r="B365" s="3" t="s">
        <v>7532</v>
      </c>
      <c r="C365" s="3" t="s">
        <v>74</v>
      </c>
      <c r="D365" s="3" t="s">
        <v>7533</v>
      </c>
      <c r="E365" s="3" t="s">
        <v>74</v>
      </c>
      <c r="F365" s="3" t="s">
        <v>7534</v>
      </c>
      <c r="G365" s="3" t="s">
        <v>74</v>
      </c>
      <c r="H365" s="3" t="s">
        <v>74</v>
      </c>
      <c r="I365" s="3" t="s">
        <v>7535</v>
      </c>
      <c r="J365" s="3" t="s">
        <v>7536</v>
      </c>
      <c r="K365" s="3" t="s">
        <v>7537</v>
      </c>
      <c r="L365" s="3" t="s">
        <v>74</v>
      </c>
      <c r="M365" s="3" t="s">
        <v>110</v>
      </c>
      <c r="N365" s="3" t="s">
        <v>111</v>
      </c>
      <c r="O365" s="3" t="s">
        <v>7538</v>
      </c>
      <c r="P365" s="3" t="s">
        <v>7539</v>
      </c>
      <c r="Q365" s="3" t="s">
        <v>7540</v>
      </c>
      <c r="R365" s="3" t="s">
        <v>74</v>
      </c>
      <c r="S365" s="3" t="s">
        <v>7541</v>
      </c>
      <c r="T365" s="3" t="s">
        <v>7542</v>
      </c>
      <c r="U365" s="3" t="s">
        <v>7543</v>
      </c>
      <c r="V365" s="3" t="s">
        <v>7544</v>
      </c>
      <c r="W365" s="3" t="s">
        <v>7545</v>
      </c>
      <c r="X365" s="3" t="s">
        <v>7476</v>
      </c>
      <c r="Y365" s="3" t="s">
        <v>7546</v>
      </c>
      <c r="Z365" s="3" t="s">
        <v>7547</v>
      </c>
      <c r="AA365" s="3" t="s">
        <v>7548</v>
      </c>
      <c r="AB365" s="3" t="s">
        <v>7549</v>
      </c>
      <c r="AC365" s="3" t="s">
        <v>7550</v>
      </c>
      <c r="AD365" s="3" t="s">
        <v>7551</v>
      </c>
      <c r="AE365" s="3" t="s">
        <v>7552</v>
      </c>
      <c r="AF365" s="3" t="s">
        <v>74</v>
      </c>
      <c r="AG365" s="3">
        <v>16</v>
      </c>
      <c r="AH365" s="3">
        <v>0</v>
      </c>
      <c r="AI365" s="3">
        <v>0</v>
      </c>
      <c r="AJ365" s="3">
        <v>2</v>
      </c>
      <c r="AK365" s="3">
        <v>23</v>
      </c>
      <c r="AL365" s="3" t="s">
        <v>7553</v>
      </c>
      <c r="AM365" s="3" t="s">
        <v>146</v>
      </c>
      <c r="AN365" s="3" t="s">
        <v>7554</v>
      </c>
      <c r="AO365" s="3" t="s">
        <v>7555</v>
      </c>
      <c r="AP365" s="3" t="s">
        <v>7556</v>
      </c>
      <c r="AQ365" s="3" t="s">
        <v>7557</v>
      </c>
      <c r="AR365" s="3" t="s">
        <v>7558</v>
      </c>
      <c r="AS365" s="3" t="s">
        <v>74</v>
      </c>
      <c r="AT365" s="3" t="s">
        <v>74</v>
      </c>
      <c r="AU365" s="3">
        <v>2023</v>
      </c>
      <c r="AV365" s="3" t="s">
        <v>74</v>
      </c>
      <c r="AW365" s="3" t="s">
        <v>74</v>
      </c>
      <c r="AX365" s="3" t="s">
        <v>74</v>
      </c>
      <c r="AY365" s="3" t="s">
        <v>74</v>
      </c>
      <c r="AZ365" s="3" t="s">
        <v>74</v>
      </c>
      <c r="BA365" s="3" t="s">
        <v>74</v>
      </c>
      <c r="BB365" s="3">
        <v>347</v>
      </c>
      <c r="BC365" s="3">
        <v>359</v>
      </c>
      <c r="BD365" s="3" t="s">
        <v>74</v>
      </c>
      <c r="BE365" s="3" t="s">
        <v>7559</v>
      </c>
      <c r="BF365" s="3" t="str">
        <f>HYPERLINK("http://dx.doi.org/10.1007/978-3-031-12914-8_27","http://dx.doi.org/10.1007/978-3-031-12914-8_27")</f>
        <v>http://dx.doi.org/10.1007/978-3-031-12914-8_27</v>
      </c>
      <c r="BG365" s="3" t="s">
        <v>74</v>
      </c>
      <c r="BH365" s="3" t="s">
        <v>74</v>
      </c>
      <c r="BI365" s="3">
        <v>13</v>
      </c>
      <c r="BJ365" s="3" t="s">
        <v>7560</v>
      </c>
      <c r="BK365" s="3" t="s">
        <v>130</v>
      </c>
      <c r="BL365" s="3" t="s">
        <v>7561</v>
      </c>
      <c r="BM365" s="3" t="s">
        <v>7562</v>
      </c>
      <c r="BN365" s="3" t="s">
        <v>74</v>
      </c>
      <c r="BO365" s="3" t="s">
        <v>74</v>
      </c>
      <c r="BP365" s="3" t="s">
        <v>74</v>
      </c>
      <c r="BQ365" s="3" t="s">
        <v>74</v>
      </c>
      <c r="BR365" s="3" t="s">
        <v>101</v>
      </c>
      <c r="BS365" s="3" t="s">
        <v>7563</v>
      </c>
      <c r="BT365" s="3" t="str">
        <f>HYPERLINK("https%3A%2F%2Fwww.webofscience.com%2Fwos%2Fwoscc%2Ffull-record%2FWOS:000972876700027","View Full Record in Web of Science")</f>
        <v>View Full Record in Web of Science</v>
      </c>
      <c r="BU365" s="3"/>
      <c r="BV365" s="3"/>
      <c r="BW365" s="1"/>
    </row>
    <row r="366" spans="1:75" x14ac:dyDescent="0.25">
      <c r="A366" s="3" t="s">
        <v>103</v>
      </c>
      <c r="B366" s="3" t="s">
        <v>7564</v>
      </c>
      <c r="C366" s="3" t="s">
        <v>74</v>
      </c>
      <c r="D366" s="3" t="s">
        <v>74</v>
      </c>
      <c r="E366" s="3" t="s">
        <v>199</v>
      </c>
      <c r="F366" s="3" t="s">
        <v>7565</v>
      </c>
      <c r="G366" s="3" t="s">
        <v>74</v>
      </c>
      <c r="H366" s="3" t="s">
        <v>74</v>
      </c>
      <c r="I366" s="3" t="s">
        <v>7566</v>
      </c>
      <c r="J366" s="3" t="s">
        <v>7567</v>
      </c>
      <c r="K366" s="3" t="s">
        <v>2415</v>
      </c>
      <c r="L366" s="3" t="s">
        <v>74</v>
      </c>
      <c r="M366" s="3" t="s">
        <v>110</v>
      </c>
      <c r="N366" s="3" t="s">
        <v>111</v>
      </c>
      <c r="O366" s="3" t="s">
        <v>7568</v>
      </c>
      <c r="P366" s="3" t="s">
        <v>7569</v>
      </c>
      <c r="Q366" s="3" t="s">
        <v>7570</v>
      </c>
      <c r="R366" s="3" t="s">
        <v>74</v>
      </c>
      <c r="S366" s="3" t="s">
        <v>74</v>
      </c>
      <c r="T366" s="3" t="s">
        <v>7571</v>
      </c>
      <c r="U366" s="3" t="s">
        <v>74</v>
      </c>
      <c r="V366" s="3" t="s">
        <v>7572</v>
      </c>
      <c r="W366" s="3" t="s">
        <v>7573</v>
      </c>
      <c r="X366" s="3" t="s">
        <v>7574</v>
      </c>
      <c r="Y366" s="3" t="s">
        <v>7575</v>
      </c>
      <c r="Z366" s="3" t="s">
        <v>7576</v>
      </c>
      <c r="AA366" s="3" t="s">
        <v>7577</v>
      </c>
      <c r="AB366" s="3" t="s">
        <v>7578</v>
      </c>
      <c r="AC366" s="3" t="s">
        <v>74</v>
      </c>
      <c r="AD366" s="3" t="s">
        <v>74</v>
      </c>
      <c r="AE366" s="3" t="s">
        <v>74</v>
      </c>
      <c r="AF366" s="3" t="s">
        <v>74</v>
      </c>
      <c r="AG366" s="3">
        <v>12</v>
      </c>
      <c r="AH366" s="3">
        <v>0</v>
      </c>
      <c r="AI366" s="3">
        <v>0</v>
      </c>
      <c r="AJ366" s="3">
        <v>0</v>
      </c>
      <c r="AK366" s="3">
        <v>2</v>
      </c>
      <c r="AL366" s="3" t="s">
        <v>199</v>
      </c>
      <c r="AM366" s="3" t="s">
        <v>200</v>
      </c>
      <c r="AN366" s="3" t="s">
        <v>201</v>
      </c>
      <c r="AO366" s="3" t="s">
        <v>2424</v>
      </c>
      <c r="AP366" s="3" t="s">
        <v>74</v>
      </c>
      <c r="AQ366" s="3" t="s">
        <v>7579</v>
      </c>
      <c r="AR366" s="3" t="s">
        <v>2426</v>
      </c>
      <c r="AS366" s="3" t="s">
        <v>74</v>
      </c>
      <c r="AT366" s="3" t="s">
        <v>74</v>
      </c>
      <c r="AU366" s="3">
        <v>2023</v>
      </c>
      <c r="AV366" s="3" t="s">
        <v>74</v>
      </c>
      <c r="AW366" s="3" t="s">
        <v>74</v>
      </c>
      <c r="AX366" s="3" t="s">
        <v>74</v>
      </c>
      <c r="AY366" s="3" t="s">
        <v>74</v>
      </c>
      <c r="AZ366" s="3" t="s">
        <v>74</v>
      </c>
      <c r="BA366" s="3" t="s">
        <v>74</v>
      </c>
      <c r="BB366" s="3" t="s">
        <v>74</v>
      </c>
      <c r="BC366" s="3" t="s">
        <v>74</v>
      </c>
      <c r="BD366" s="3" t="s">
        <v>74</v>
      </c>
      <c r="BE366" s="3" t="s">
        <v>7580</v>
      </c>
      <c r="BF366" s="3" t="str">
        <f>HYPERLINK("http://dx.doi.org/10.1109/VTC2023-Fall60731.2023.10333813","http://dx.doi.org/10.1109/VTC2023-Fall60731.2023.10333813")</f>
        <v>http://dx.doi.org/10.1109/VTC2023-Fall60731.2023.10333813</v>
      </c>
      <c r="BG366" s="3" t="s">
        <v>74</v>
      </c>
      <c r="BH366" s="3" t="s">
        <v>74</v>
      </c>
      <c r="BI366" s="3">
        <v>7</v>
      </c>
      <c r="BJ366" s="3" t="s">
        <v>7581</v>
      </c>
      <c r="BK366" s="3" t="s">
        <v>208</v>
      </c>
      <c r="BL366" s="3" t="s">
        <v>7247</v>
      </c>
      <c r="BM366" s="3" t="s">
        <v>7582</v>
      </c>
      <c r="BN366" s="3" t="s">
        <v>74</v>
      </c>
      <c r="BO366" s="3" t="s">
        <v>683</v>
      </c>
      <c r="BP366" s="3" t="s">
        <v>74</v>
      </c>
      <c r="BQ366" s="3" t="s">
        <v>74</v>
      </c>
      <c r="BR366" s="3" t="s">
        <v>101</v>
      </c>
      <c r="BS366" s="3" t="s">
        <v>7583</v>
      </c>
      <c r="BT366" s="3" t="str">
        <f>HYPERLINK("https%3A%2F%2Fwww.webofscience.com%2Fwos%2Fwoscc%2Ffull-record%2FWOS:001133762500400","View Full Record in Web of Science")</f>
        <v>View Full Record in Web of Science</v>
      </c>
      <c r="BU366" s="3"/>
      <c r="BV366" s="3"/>
      <c r="BW366" s="1"/>
    </row>
    <row r="367" spans="1:75" x14ac:dyDescent="0.25">
      <c r="A367" s="3" t="s">
        <v>72</v>
      </c>
      <c r="B367" s="3" t="s">
        <v>7584</v>
      </c>
      <c r="C367" s="3" t="s">
        <v>74</v>
      </c>
      <c r="D367" s="3" t="s">
        <v>74</v>
      </c>
      <c r="E367" s="3" t="s">
        <v>74</v>
      </c>
      <c r="F367" s="3" t="s">
        <v>7585</v>
      </c>
      <c r="G367" s="3" t="s">
        <v>74</v>
      </c>
      <c r="H367" s="3" t="s">
        <v>74</v>
      </c>
      <c r="I367" s="3" t="s">
        <v>7586</v>
      </c>
      <c r="J367" s="3" t="s">
        <v>7587</v>
      </c>
      <c r="K367" s="3" t="s">
        <v>74</v>
      </c>
      <c r="L367" s="3" t="s">
        <v>74</v>
      </c>
      <c r="M367" s="3" t="s">
        <v>110</v>
      </c>
      <c r="N367" s="3" t="s">
        <v>79</v>
      </c>
      <c r="O367" s="3" t="s">
        <v>74</v>
      </c>
      <c r="P367" s="3" t="s">
        <v>74</v>
      </c>
      <c r="Q367" s="3" t="s">
        <v>74</v>
      </c>
      <c r="R367" s="3" t="s">
        <v>74</v>
      </c>
      <c r="S367" s="3" t="s">
        <v>74</v>
      </c>
      <c r="T367" s="3" t="s">
        <v>7588</v>
      </c>
      <c r="U367" s="3" t="s">
        <v>7589</v>
      </c>
      <c r="V367" s="3" t="s">
        <v>7590</v>
      </c>
      <c r="W367" s="3" t="s">
        <v>7591</v>
      </c>
      <c r="X367" s="3" t="s">
        <v>7592</v>
      </c>
      <c r="Y367" s="3" t="s">
        <v>7593</v>
      </c>
      <c r="Z367" s="3" t="s">
        <v>7594</v>
      </c>
      <c r="AA367" s="3" t="s">
        <v>7595</v>
      </c>
      <c r="AB367" s="3" t="s">
        <v>7596</v>
      </c>
      <c r="AC367" s="3" t="s">
        <v>74</v>
      </c>
      <c r="AD367" s="3" t="s">
        <v>74</v>
      </c>
      <c r="AE367" s="3" t="s">
        <v>74</v>
      </c>
      <c r="AF367" s="3" t="s">
        <v>74</v>
      </c>
      <c r="AG367" s="3">
        <v>34</v>
      </c>
      <c r="AH367" s="3">
        <v>59</v>
      </c>
      <c r="AI367" s="3">
        <v>75</v>
      </c>
      <c r="AJ367" s="3">
        <v>0</v>
      </c>
      <c r="AK367" s="3">
        <v>49</v>
      </c>
      <c r="AL367" s="3" t="s">
        <v>145</v>
      </c>
      <c r="AM367" s="3" t="s">
        <v>146</v>
      </c>
      <c r="AN367" s="3" t="s">
        <v>279</v>
      </c>
      <c r="AO367" s="3" t="s">
        <v>74</v>
      </c>
      <c r="AP367" s="3" t="s">
        <v>7597</v>
      </c>
      <c r="AQ367" s="3" t="s">
        <v>74</v>
      </c>
      <c r="AR367" s="3" t="s">
        <v>7587</v>
      </c>
      <c r="AS367" s="3" t="s">
        <v>7598</v>
      </c>
      <c r="AT367" s="3" t="s">
        <v>176</v>
      </c>
      <c r="AU367" s="3">
        <v>2021</v>
      </c>
      <c r="AV367" s="3">
        <v>9</v>
      </c>
      <c r="AW367" s="3">
        <v>2</v>
      </c>
      <c r="AX367" s="3" t="s">
        <v>74</v>
      </c>
      <c r="AY367" s="3" t="s">
        <v>74</v>
      </c>
      <c r="AZ367" s="3" t="s">
        <v>74</v>
      </c>
      <c r="BA367" s="3" t="s">
        <v>74</v>
      </c>
      <c r="BB367" s="3" t="s">
        <v>74</v>
      </c>
      <c r="BC367" s="3" t="s">
        <v>74</v>
      </c>
      <c r="BD367" s="3">
        <v>57</v>
      </c>
      <c r="BE367" s="3" t="s">
        <v>7599</v>
      </c>
      <c r="BF367" s="3" t="str">
        <f>HYPERLINK("http://dx.doi.org/10.3390/economies9020057","http://dx.doi.org/10.3390/economies9020057")</f>
        <v>http://dx.doi.org/10.3390/economies9020057</v>
      </c>
      <c r="BG367" s="3" t="s">
        <v>74</v>
      </c>
      <c r="BH367" s="3" t="s">
        <v>74</v>
      </c>
      <c r="BI367" s="3">
        <v>19</v>
      </c>
      <c r="BJ367" s="3" t="s">
        <v>7600</v>
      </c>
      <c r="BK367" s="3" t="s">
        <v>97</v>
      </c>
      <c r="BL367" s="3" t="s">
        <v>98</v>
      </c>
      <c r="BM367" s="3" t="s">
        <v>7601</v>
      </c>
      <c r="BN367" s="3" t="s">
        <v>74</v>
      </c>
      <c r="BO367" s="3" t="s">
        <v>133</v>
      </c>
      <c r="BP367" s="3" t="s">
        <v>74</v>
      </c>
      <c r="BQ367" s="3" t="s">
        <v>74</v>
      </c>
      <c r="BR367" s="3" t="s">
        <v>101</v>
      </c>
      <c r="BS367" s="3" t="s">
        <v>7602</v>
      </c>
      <c r="BT367" s="3" t="str">
        <f>HYPERLINK("https%3A%2F%2Fwww.webofscience.com%2Fwos%2Fwoscc%2Ffull-record%2FWOS:000665196000001","View Full Record in Web of Science")</f>
        <v>View Full Record in Web of Science</v>
      </c>
      <c r="BU367" s="3"/>
      <c r="BV367" s="3"/>
      <c r="BW367" s="1"/>
    </row>
    <row r="368" spans="1:75" x14ac:dyDescent="0.25">
      <c r="A368" s="3" t="s">
        <v>72</v>
      </c>
      <c r="B368" s="3" t="s">
        <v>7603</v>
      </c>
      <c r="C368" s="3" t="s">
        <v>74</v>
      </c>
      <c r="D368" s="3" t="s">
        <v>74</v>
      </c>
      <c r="E368" s="3" t="s">
        <v>74</v>
      </c>
      <c r="F368" s="3" t="s">
        <v>7604</v>
      </c>
      <c r="G368" s="3" t="s">
        <v>74</v>
      </c>
      <c r="H368" s="3" t="s">
        <v>74</v>
      </c>
      <c r="I368" s="3" t="s">
        <v>7605</v>
      </c>
      <c r="J368" s="3" t="s">
        <v>7606</v>
      </c>
      <c r="K368" s="3" t="s">
        <v>74</v>
      </c>
      <c r="L368" s="3" t="s">
        <v>74</v>
      </c>
      <c r="M368" s="3" t="s">
        <v>110</v>
      </c>
      <c r="N368" s="3" t="s">
        <v>79</v>
      </c>
      <c r="O368" s="3" t="s">
        <v>74</v>
      </c>
      <c r="P368" s="3" t="s">
        <v>74</v>
      </c>
      <c r="Q368" s="3" t="s">
        <v>74</v>
      </c>
      <c r="R368" s="3" t="s">
        <v>74</v>
      </c>
      <c r="S368" s="3" t="s">
        <v>74</v>
      </c>
      <c r="T368" s="3" t="s">
        <v>7607</v>
      </c>
      <c r="U368" s="3" t="s">
        <v>7608</v>
      </c>
      <c r="V368" s="3" t="s">
        <v>7609</v>
      </c>
      <c r="W368" s="3" t="s">
        <v>7610</v>
      </c>
      <c r="X368" s="3" t="s">
        <v>7611</v>
      </c>
      <c r="Y368" s="3" t="s">
        <v>7612</v>
      </c>
      <c r="Z368" s="3" t="s">
        <v>7613</v>
      </c>
      <c r="AA368" s="3" t="s">
        <v>7614</v>
      </c>
      <c r="AB368" s="3" t="s">
        <v>7615</v>
      </c>
      <c r="AC368" s="3" t="s">
        <v>7616</v>
      </c>
      <c r="AD368" s="3" t="s">
        <v>7616</v>
      </c>
      <c r="AE368" s="3" t="s">
        <v>7617</v>
      </c>
      <c r="AF368" s="3" t="s">
        <v>74</v>
      </c>
      <c r="AG368" s="3">
        <v>218</v>
      </c>
      <c r="AH368" s="3">
        <v>115</v>
      </c>
      <c r="AI368" s="3">
        <v>135</v>
      </c>
      <c r="AJ368" s="3">
        <v>4</v>
      </c>
      <c r="AK368" s="3">
        <v>174</v>
      </c>
      <c r="AL368" s="3" t="s">
        <v>304</v>
      </c>
      <c r="AM368" s="3" t="s">
        <v>305</v>
      </c>
      <c r="AN368" s="3" t="s">
        <v>306</v>
      </c>
      <c r="AO368" s="3" t="s">
        <v>7618</v>
      </c>
      <c r="AP368" s="3" t="s">
        <v>7619</v>
      </c>
      <c r="AQ368" s="3" t="s">
        <v>74</v>
      </c>
      <c r="AR368" s="3" t="s">
        <v>7620</v>
      </c>
      <c r="AS368" s="3" t="s">
        <v>7621</v>
      </c>
      <c r="AT368" s="3" t="s">
        <v>949</v>
      </c>
      <c r="AU368" s="3">
        <v>2020</v>
      </c>
      <c r="AV368" s="3">
        <v>133</v>
      </c>
      <c r="AW368" s="3" t="s">
        <v>74</v>
      </c>
      <c r="AX368" s="3" t="s">
        <v>74</v>
      </c>
      <c r="AY368" s="3" t="s">
        <v>74</v>
      </c>
      <c r="AZ368" s="3" t="s">
        <v>74</v>
      </c>
      <c r="BA368" s="3" t="s">
        <v>74</v>
      </c>
      <c r="BB368" s="3">
        <v>164</v>
      </c>
      <c r="BC368" s="3">
        <v>196</v>
      </c>
      <c r="BD368" s="3" t="s">
        <v>74</v>
      </c>
      <c r="BE368" s="3" t="s">
        <v>7622</v>
      </c>
      <c r="BF368" s="3" t="str">
        <f>HYPERLINK("http://dx.doi.org/10.1016/j.tra.2020.01.003","http://dx.doi.org/10.1016/j.tra.2020.01.003")</f>
        <v>http://dx.doi.org/10.1016/j.tra.2020.01.003</v>
      </c>
      <c r="BG368" s="3" t="s">
        <v>74</v>
      </c>
      <c r="BH368" s="3" t="s">
        <v>74</v>
      </c>
      <c r="BI368" s="3">
        <v>33</v>
      </c>
      <c r="BJ368" s="3" t="s">
        <v>7623</v>
      </c>
      <c r="BK368" s="3" t="s">
        <v>154</v>
      </c>
      <c r="BL368" s="3" t="s">
        <v>1187</v>
      </c>
      <c r="BM368" s="3" t="s">
        <v>7624</v>
      </c>
      <c r="BN368" s="3" t="s">
        <v>74</v>
      </c>
      <c r="BO368" s="3" t="s">
        <v>74</v>
      </c>
      <c r="BP368" s="3" t="s">
        <v>74</v>
      </c>
      <c r="BQ368" s="3" t="s">
        <v>74</v>
      </c>
      <c r="BR368" s="3" t="s">
        <v>101</v>
      </c>
      <c r="BS368" s="3" t="s">
        <v>7625</v>
      </c>
      <c r="BT368" s="3" t="str">
        <f>HYPERLINK("https%3A%2F%2Fwww.webofscience.com%2Fwos%2Fwoscc%2Ffull-record%2FWOS:000519335800013","View Full Record in Web of Science")</f>
        <v>View Full Record in Web of Science</v>
      </c>
      <c r="BU368" s="3"/>
      <c r="BV368" s="3"/>
      <c r="BW368" s="1"/>
    </row>
    <row r="369" spans="1:75" x14ac:dyDescent="0.25">
      <c r="A369" s="3" t="s">
        <v>72</v>
      </c>
      <c r="B369" s="3" t="s">
        <v>7626</v>
      </c>
      <c r="C369" s="3" t="s">
        <v>74</v>
      </c>
      <c r="D369" s="3" t="s">
        <v>74</v>
      </c>
      <c r="E369" s="3" t="s">
        <v>74</v>
      </c>
      <c r="F369" s="3" t="s">
        <v>7627</v>
      </c>
      <c r="G369" s="3" t="s">
        <v>74</v>
      </c>
      <c r="H369" s="3" t="s">
        <v>74</v>
      </c>
      <c r="I369" s="3" t="s">
        <v>7628</v>
      </c>
      <c r="J369" s="3" t="s">
        <v>835</v>
      </c>
      <c r="K369" s="3" t="s">
        <v>74</v>
      </c>
      <c r="L369" s="3" t="s">
        <v>74</v>
      </c>
      <c r="M369" s="3" t="s">
        <v>110</v>
      </c>
      <c r="N369" s="3" t="s">
        <v>216</v>
      </c>
      <c r="O369" s="3" t="s">
        <v>74</v>
      </c>
      <c r="P369" s="3" t="s">
        <v>74</v>
      </c>
      <c r="Q369" s="3" t="s">
        <v>74</v>
      </c>
      <c r="R369" s="3" t="s">
        <v>74</v>
      </c>
      <c r="S369" s="3" t="s">
        <v>74</v>
      </c>
      <c r="T369" s="3" t="s">
        <v>7629</v>
      </c>
      <c r="U369" s="3" t="s">
        <v>7630</v>
      </c>
      <c r="V369" s="3" t="s">
        <v>7631</v>
      </c>
      <c r="W369" s="3" t="s">
        <v>7632</v>
      </c>
      <c r="X369" s="3" t="s">
        <v>7633</v>
      </c>
      <c r="Y369" s="3" t="s">
        <v>7634</v>
      </c>
      <c r="Z369" s="3" t="s">
        <v>7635</v>
      </c>
      <c r="AA369" s="3" t="s">
        <v>7636</v>
      </c>
      <c r="AB369" s="3" t="s">
        <v>7637</v>
      </c>
      <c r="AC369" s="3" t="s">
        <v>7638</v>
      </c>
      <c r="AD369" s="3" t="s">
        <v>7639</v>
      </c>
      <c r="AE369" s="3" t="s">
        <v>7640</v>
      </c>
      <c r="AF369" s="3" t="s">
        <v>74</v>
      </c>
      <c r="AG369" s="3">
        <v>221</v>
      </c>
      <c r="AH369" s="3">
        <v>49</v>
      </c>
      <c r="AI369" s="3">
        <v>60</v>
      </c>
      <c r="AJ369" s="3">
        <v>7</v>
      </c>
      <c r="AK369" s="3">
        <v>112</v>
      </c>
      <c r="AL369" s="3" t="s">
        <v>846</v>
      </c>
      <c r="AM369" s="3" t="s">
        <v>847</v>
      </c>
      <c r="AN369" s="3" t="s">
        <v>848</v>
      </c>
      <c r="AO369" s="3" t="s">
        <v>849</v>
      </c>
      <c r="AP369" s="3" t="s">
        <v>74</v>
      </c>
      <c r="AQ369" s="3" t="s">
        <v>74</v>
      </c>
      <c r="AR369" s="3" t="s">
        <v>835</v>
      </c>
      <c r="AS369" s="3" t="s">
        <v>850</v>
      </c>
      <c r="AT369" s="3" t="s">
        <v>74</v>
      </c>
      <c r="AU369" s="3">
        <v>2021</v>
      </c>
      <c r="AV369" s="3">
        <v>9</v>
      </c>
      <c r="AW369" s="3" t="s">
        <v>74</v>
      </c>
      <c r="AX369" s="3" t="s">
        <v>74</v>
      </c>
      <c r="AY369" s="3" t="s">
        <v>74</v>
      </c>
      <c r="AZ369" s="3" t="s">
        <v>74</v>
      </c>
      <c r="BA369" s="3" t="s">
        <v>74</v>
      </c>
      <c r="BB369" s="3">
        <v>150060</v>
      </c>
      <c r="BC369" s="3">
        <v>150087</v>
      </c>
      <c r="BD369" s="3" t="s">
        <v>74</v>
      </c>
      <c r="BE369" s="3" t="s">
        <v>7641</v>
      </c>
      <c r="BF369" s="3" t="str">
        <f>HYPERLINK("http://dx.doi.org/10.1109/ACCESS.2021.3125527","http://dx.doi.org/10.1109/ACCESS.2021.3125527")</f>
        <v>http://dx.doi.org/10.1109/ACCESS.2021.3125527</v>
      </c>
      <c r="BG369" s="3" t="s">
        <v>74</v>
      </c>
      <c r="BH369" s="3" t="s">
        <v>74</v>
      </c>
      <c r="BI369" s="3">
        <v>28</v>
      </c>
      <c r="BJ369" s="3" t="s">
        <v>852</v>
      </c>
      <c r="BK369" s="3" t="s">
        <v>154</v>
      </c>
      <c r="BL369" s="3" t="s">
        <v>853</v>
      </c>
      <c r="BM369" s="3" t="s">
        <v>7642</v>
      </c>
      <c r="BN369" s="3" t="s">
        <v>74</v>
      </c>
      <c r="BO369" s="3" t="s">
        <v>100</v>
      </c>
      <c r="BP369" s="3" t="s">
        <v>74</v>
      </c>
      <c r="BQ369" s="3" t="s">
        <v>74</v>
      </c>
      <c r="BR369" s="3" t="s">
        <v>101</v>
      </c>
      <c r="BS369" s="3" t="s">
        <v>7643</v>
      </c>
      <c r="BT369" s="3" t="str">
        <f>HYPERLINK("https%3A%2F%2Fwww.webofscience.com%2Fwos%2Fwoscc%2Ffull-record%2FWOS:000717749300001","View Full Record in Web of Science")</f>
        <v>View Full Record in Web of Science</v>
      </c>
      <c r="BU369" s="3"/>
      <c r="BV369" s="3"/>
      <c r="BW369" s="1"/>
    </row>
    <row r="370" spans="1:75" x14ac:dyDescent="0.25">
      <c r="A370" s="3" t="s">
        <v>72</v>
      </c>
      <c r="B370" s="3" t="s">
        <v>7644</v>
      </c>
      <c r="C370" s="3" t="s">
        <v>74</v>
      </c>
      <c r="D370" s="3" t="s">
        <v>74</v>
      </c>
      <c r="E370" s="3" t="s">
        <v>74</v>
      </c>
      <c r="F370" s="3" t="s">
        <v>7645</v>
      </c>
      <c r="G370" s="3" t="s">
        <v>74</v>
      </c>
      <c r="H370" s="3" t="s">
        <v>74</v>
      </c>
      <c r="I370" s="3" t="s">
        <v>7646</v>
      </c>
      <c r="J370" s="3" t="s">
        <v>4126</v>
      </c>
      <c r="K370" s="3" t="s">
        <v>74</v>
      </c>
      <c r="L370" s="3" t="s">
        <v>74</v>
      </c>
      <c r="M370" s="3" t="s">
        <v>110</v>
      </c>
      <c r="N370" s="3" t="s">
        <v>79</v>
      </c>
      <c r="O370" s="3" t="s">
        <v>74</v>
      </c>
      <c r="P370" s="3" t="s">
        <v>74</v>
      </c>
      <c r="Q370" s="3" t="s">
        <v>74</v>
      </c>
      <c r="R370" s="3" t="s">
        <v>74</v>
      </c>
      <c r="S370" s="3" t="s">
        <v>74</v>
      </c>
      <c r="T370" s="3" t="s">
        <v>7647</v>
      </c>
      <c r="U370" s="3" t="s">
        <v>7648</v>
      </c>
      <c r="V370" s="3" t="s">
        <v>7649</v>
      </c>
      <c r="W370" s="3" t="s">
        <v>7650</v>
      </c>
      <c r="X370" s="3" t="s">
        <v>7651</v>
      </c>
      <c r="Y370" s="3" t="s">
        <v>7652</v>
      </c>
      <c r="Z370" s="3" t="s">
        <v>7653</v>
      </c>
      <c r="AA370" s="3" t="s">
        <v>74</v>
      </c>
      <c r="AB370" s="3" t="s">
        <v>7654</v>
      </c>
      <c r="AC370" s="3" t="s">
        <v>74</v>
      </c>
      <c r="AD370" s="3" t="s">
        <v>74</v>
      </c>
      <c r="AE370" s="3" t="s">
        <v>74</v>
      </c>
      <c r="AF370" s="3" t="s">
        <v>74</v>
      </c>
      <c r="AG370" s="3">
        <v>22</v>
      </c>
      <c r="AH370" s="3">
        <v>197</v>
      </c>
      <c r="AI370" s="3">
        <v>241</v>
      </c>
      <c r="AJ370" s="3">
        <v>10</v>
      </c>
      <c r="AK370" s="3">
        <v>292</v>
      </c>
      <c r="AL370" s="3" t="s">
        <v>671</v>
      </c>
      <c r="AM370" s="3" t="s">
        <v>124</v>
      </c>
      <c r="AN370" s="3" t="s">
        <v>672</v>
      </c>
      <c r="AO370" s="3" t="s">
        <v>4139</v>
      </c>
      <c r="AP370" s="3" t="s">
        <v>4140</v>
      </c>
      <c r="AQ370" s="3" t="s">
        <v>74</v>
      </c>
      <c r="AR370" s="3" t="s">
        <v>4141</v>
      </c>
      <c r="AS370" s="3" t="s">
        <v>4142</v>
      </c>
      <c r="AT370" s="3" t="s">
        <v>7655</v>
      </c>
      <c r="AU370" s="3">
        <v>2018</v>
      </c>
      <c r="AV370" s="3">
        <v>271</v>
      </c>
      <c r="AW370" s="3">
        <v>3</v>
      </c>
      <c r="AX370" s="3" t="s">
        <v>74</v>
      </c>
      <c r="AY370" s="3" t="s">
        <v>74</v>
      </c>
      <c r="AZ370" s="3" t="s">
        <v>74</v>
      </c>
      <c r="BA370" s="3" t="s">
        <v>74</v>
      </c>
      <c r="BB370" s="3">
        <v>1085</v>
      </c>
      <c r="BC370" s="3">
        <v>1099</v>
      </c>
      <c r="BD370" s="3" t="s">
        <v>74</v>
      </c>
      <c r="BE370" s="3" t="s">
        <v>7656</v>
      </c>
      <c r="BF370" s="3" t="str">
        <f>HYPERLINK("http://dx.doi.org/10.1016/j.ejor.2018.05.058","http://dx.doi.org/10.1016/j.ejor.2018.05.058")</f>
        <v>http://dx.doi.org/10.1016/j.ejor.2018.05.058</v>
      </c>
      <c r="BG370" s="3" t="s">
        <v>74</v>
      </c>
      <c r="BH370" s="3" t="s">
        <v>74</v>
      </c>
      <c r="BI370" s="3">
        <v>15</v>
      </c>
      <c r="BJ370" s="3" t="s">
        <v>3346</v>
      </c>
      <c r="BK370" s="3" t="s">
        <v>154</v>
      </c>
      <c r="BL370" s="3" t="s">
        <v>3347</v>
      </c>
      <c r="BM370" s="3" t="s">
        <v>7657</v>
      </c>
      <c r="BN370" s="3" t="s">
        <v>74</v>
      </c>
      <c r="BO370" s="3" t="s">
        <v>74</v>
      </c>
      <c r="BP370" s="3" t="s">
        <v>74</v>
      </c>
      <c r="BQ370" s="3" t="s">
        <v>74</v>
      </c>
      <c r="BR370" s="3" t="s">
        <v>101</v>
      </c>
      <c r="BS370" s="3" t="s">
        <v>7658</v>
      </c>
      <c r="BT370" s="3" t="str">
        <f>HYPERLINK("https%3A%2F%2Fwww.webofscience.com%2Fwos%2Fwoscc%2Ffull-record%2FWOS:000442060500022","View Full Record in Web of Science")</f>
        <v>View Full Record in Web of Science</v>
      </c>
      <c r="BU370" s="3"/>
      <c r="BV370" s="3"/>
      <c r="BW370" s="1"/>
    </row>
    <row r="371" spans="1:75" x14ac:dyDescent="0.25">
      <c r="A371" s="3" t="s">
        <v>72</v>
      </c>
      <c r="B371" s="3" t="s">
        <v>7659</v>
      </c>
      <c r="C371" s="3" t="s">
        <v>74</v>
      </c>
      <c r="D371" s="3" t="s">
        <v>74</v>
      </c>
      <c r="E371" s="3" t="s">
        <v>74</v>
      </c>
      <c r="F371" s="3" t="s">
        <v>7660</v>
      </c>
      <c r="G371" s="3" t="s">
        <v>74</v>
      </c>
      <c r="H371" s="3" t="s">
        <v>74</v>
      </c>
      <c r="I371" s="3" t="s">
        <v>7661</v>
      </c>
      <c r="J371" s="3" t="s">
        <v>7662</v>
      </c>
      <c r="K371" s="3" t="s">
        <v>74</v>
      </c>
      <c r="L371" s="3" t="s">
        <v>74</v>
      </c>
      <c r="M371" s="3" t="s">
        <v>110</v>
      </c>
      <c r="N371" s="3" t="s">
        <v>79</v>
      </c>
      <c r="O371" s="3" t="s">
        <v>74</v>
      </c>
      <c r="P371" s="3" t="s">
        <v>74</v>
      </c>
      <c r="Q371" s="3" t="s">
        <v>74</v>
      </c>
      <c r="R371" s="3" t="s">
        <v>74</v>
      </c>
      <c r="S371" s="3" t="s">
        <v>74</v>
      </c>
      <c r="T371" s="3" t="s">
        <v>7663</v>
      </c>
      <c r="U371" s="3" t="s">
        <v>7664</v>
      </c>
      <c r="V371" s="3" t="s">
        <v>7665</v>
      </c>
      <c r="W371" s="3" t="s">
        <v>7666</v>
      </c>
      <c r="X371" s="3" t="s">
        <v>7667</v>
      </c>
      <c r="Y371" s="3" t="s">
        <v>7652</v>
      </c>
      <c r="Z371" s="3" t="s">
        <v>7668</v>
      </c>
      <c r="AA371" s="3" t="s">
        <v>74</v>
      </c>
      <c r="AB371" s="3" t="s">
        <v>7669</v>
      </c>
      <c r="AC371" s="3" t="s">
        <v>74</v>
      </c>
      <c r="AD371" s="3" t="s">
        <v>74</v>
      </c>
      <c r="AE371" s="3" t="s">
        <v>74</v>
      </c>
      <c r="AF371" s="3" t="s">
        <v>74</v>
      </c>
      <c r="AG371" s="3">
        <v>56</v>
      </c>
      <c r="AH371" s="3">
        <v>17</v>
      </c>
      <c r="AI371" s="3">
        <v>18</v>
      </c>
      <c r="AJ371" s="3">
        <v>2</v>
      </c>
      <c r="AK371" s="3">
        <v>38</v>
      </c>
      <c r="AL371" s="3" t="s">
        <v>304</v>
      </c>
      <c r="AM371" s="3" t="s">
        <v>305</v>
      </c>
      <c r="AN371" s="3" t="s">
        <v>306</v>
      </c>
      <c r="AO371" s="3" t="s">
        <v>7670</v>
      </c>
      <c r="AP371" s="3" t="s">
        <v>7671</v>
      </c>
      <c r="AQ371" s="3" t="s">
        <v>74</v>
      </c>
      <c r="AR371" s="3" t="s">
        <v>7672</v>
      </c>
      <c r="AS371" s="3" t="s">
        <v>7673</v>
      </c>
      <c r="AT371" s="3" t="s">
        <v>949</v>
      </c>
      <c r="AU371" s="3">
        <v>2023</v>
      </c>
      <c r="AV371" s="3">
        <v>151</v>
      </c>
      <c r="AW371" s="3" t="s">
        <v>74</v>
      </c>
      <c r="AX371" s="3" t="s">
        <v>74</v>
      </c>
      <c r="AY371" s="3" t="s">
        <v>74</v>
      </c>
      <c r="AZ371" s="3" t="s">
        <v>74</v>
      </c>
      <c r="BA371" s="3" t="s">
        <v>74</v>
      </c>
      <c r="BB371" s="3" t="s">
        <v>74</v>
      </c>
      <c r="BC371" s="3" t="s">
        <v>74</v>
      </c>
      <c r="BD371" s="3">
        <v>106123</v>
      </c>
      <c r="BE371" s="3" t="s">
        <v>7674</v>
      </c>
      <c r="BF371" s="3" t="str">
        <f>HYPERLINK("http://dx.doi.org/10.1016/j.cor.2022.106123","http://dx.doi.org/10.1016/j.cor.2022.106123")</f>
        <v>http://dx.doi.org/10.1016/j.cor.2022.106123</v>
      </c>
      <c r="BG371" s="3" t="s">
        <v>74</v>
      </c>
      <c r="BH371" s="3" t="s">
        <v>7675</v>
      </c>
      <c r="BI371" s="3">
        <v>16</v>
      </c>
      <c r="BJ371" s="3" t="s">
        <v>7676</v>
      </c>
      <c r="BK371" s="3" t="s">
        <v>179</v>
      </c>
      <c r="BL371" s="3" t="s">
        <v>7677</v>
      </c>
      <c r="BM371" s="3" t="s">
        <v>7678</v>
      </c>
      <c r="BN371" s="3" t="s">
        <v>74</v>
      </c>
      <c r="BO371" s="3" t="s">
        <v>884</v>
      </c>
      <c r="BP371" s="3" t="s">
        <v>74</v>
      </c>
      <c r="BQ371" s="3" t="s">
        <v>74</v>
      </c>
      <c r="BR371" s="3" t="s">
        <v>101</v>
      </c>
      <c r="BS371" s="3" t="s">
        <v>7679</v>
      </c>
      <c r="BT371" s="3" t="str">
        <f>HYPERLINK("https%3A%2F%2Fwww.webofscience.com%2Fwos%2Fwoscc%2Ffull-record%2FWOS:000912346100001","View Full Record in Web of Science")</f>
        <v>View Full Record in Web of Science</v>
      </c>
      <c r="BU371" s="3"/>
      <c r="BV371" s="3"/>
      <c r="BW371" s="1"/>
    </row>
    <row r="372" spans="1:75" x14ac:dyDescent="0.25">
      <c r="A372" s="3" t="s">
        <v>72</v>
      </c>
      <c r="B372" s="3" t="s">
        <v>7680</v>
      </c>
      <c r="C372" s="3" t="s">
        <v>74</v>
      </c>
      <c r="D372" s="3" t="s">
        <v>74</v>
      </c>
      <c r="E372" s="3" t="s">
        <v>74</v>
      </c>
      <c r="F372" s="3" t="s">
        <v>7681</v>
      </c>
      <c r="G372" s="3" t="s">
        <v>74</v>
      </c>
      <c r="H372" s="3" t="s">
        <v>74</v>
      </c>
      <c r="I372" s="3" t="s">
        <v>7682</v>
      </c>
      <c r="J372" s="3" t="s">
        <v>3807</v>
      </c>
      <c r="K372" s="3" t="s">
        <v>74</v>
      </c>
      <c r="L372" s="3" t="s">
        <v>74</v>
      </c>
      <c r="M372" s="3" t="s">
        <v>110</v>
      </c>
      <c r="N372" s="3" t="s">
        <v>216</v>
      </c>
      <c r="O372" s="3" t="s">
        <v>74</v>
      </c>
      <c r="P372" s="3" t="s">
        <v>74</v>
      </c>
      <c r="Q372" s="3" t="s">
        <v>74</v>
      </c>
      <c r="R372" s="3" t="s">
        <v>74</v>
      </c>
      <c r="S372" s="3" t="s">
        <v>74</v>
      </c>
      <c r="T372" s="3" t="s">
        <v>7683</v>
      </c>
      <c r="U372" s="3" t="s">
        <v>74</v>
      </c>
      <c r="V372" s="3" t="s">
        <v>7684</v>
      </c>
      <c r="W372" s="3" t="s">
        <v>7685</v>
      </c>
      <c r="X372" s="3" t="s">
        <v>7686</v>
      </c>
      <c r="Y372" s="3" t="s">
        <v>7687</v>
      </c>
      <c r="Z372" s="3" t="s">
        <v>7688</v>
      </c>
      <c r="AA372" s="3" t="s">
        <v>7689</v>
      </c>
      <c r="AB372" s="3" t="s">
        <v>74</v>
      </c>
      <c r="AC372" s="3" t="s">
        <v>74</v>
      </c>
      <c r="AD372" s="3" t="s">
        <v>74</v>
      </c>
      <c r="AE372" s="3" t="s">
        <v>74</v>
      </c>
      <c r="AF372" s="3" t="s">
        <v>74</v>
      </c>
      <c r="AG372" s="3">
        <v>108</v>
      </c>
      <c r="AH372" s="3">
        <v>696</v>
      </c>
      <c r="AI372" s="3">
        <v>845</v>
      </c>
      <c r="AJ372" s="3">
        <v>11</v>
      </c>
      <c r="AK372" s="3">
        <v>631</v>
      </c>
      <c r="AL372" s="3" t="s">
        <v>671</v>
      </c>
      <c r="AM372" s="3" t="s">
        <v>124</v>
      </c>
      <c r="AN372" s="3" t="s">
        <v>672</v>
      </c>
      <c r="AO372" s="3" t="s">
        <v>3820</v>
      </c>
      <c r="AP372" s="3" t="s">
        <v>3821</v>
      </c>
      <c r="AQ372" s="3" t="s">
        <v>74</v>
      </c>
      <c r="AR372" s="3" t="s">
        <v>3822</v>
      </c>
      <c r="AS372" s="3" t="s">
        <v>3823</v>
      </c>
      <c r="AT372" s="3" t="s">
        <v>7690</v>
      </c>
      <c r="AU372" s="3">
        <v>2020</v>
      </c>
      <c r="AV372" s="3">
        <v>749</v>
      </c>
      <c r="AW372" s="3" t="s">
        <v>74</v>
      </c>
      <c r="AX372" s="3" t="s">
        <v>74</v>
      </c>
      <c r="AY372" s="3" t="s">
        <v>74</v>
      </c>
      <c r="AZ372" s="3" t="s">
        <v>74</v>
      </c>
      <c r="BA372" s="3" t="s">
        <v>74</v>
      </c>
      <c r="BB372" s="3" t="s">
        <v>74</v>
      </c>
      <c r="BC372" s="3" t="s">
        <v>74</v>
      </c>
      <c r="BD372" s="3">
        <v>142391</v>
      </c>
      <c r="BE372" s="3" t="s">
        <v>7691</v>
      </c>
      <c r="BF372" s="3" t="str">
        <f>HYPERLINK("http://dx.doi.org/10.1016/j.scitotenv.2020.142391","http://dx.doi.org/10.1016/j.scitotenv.2020.142391")</f>
        <v>http://dx.doi.org/10.1016/j.scitotenv.2020.142391</v>
      </c>
      <c r="BG372" s="3" t="s">
        <v>74</v>
      </c>
      <c r="BH372" s="3" t="s">
        <v>74</v>
      </c>
      <c r="BI372" s="3">
        <v>14</v>
      </c>
      <c r="BJ372" s="3" t="s">
        <v>704</v>
      </c>
      <c r="BK372" s="3" t="s">
        <v>154</v>
      </c>
      <c r="BL372" s="3" t="s">
        <v>705</v>
      </c>
      <c r="BM372" s="3" t="s">
        <v>7692</v>
      </c>
      <c r="BN372" s="3">
        <v>33370924</v>
      </c>
      <c r="BO372" s="3" t="s">
        <v>683</v>
      </c>
      <c r="BP372" s="3" t="s">
        <v>74</v>
      </c>
      <c r="BQ372" s="3" t="s">
        <v>74</v>
      </c>
      <c r="BR372" s="3" t="s">
        <v>101</v>
      </c>
      <c r="BS372" s="3" t="s">
        <v>7693</v>
      </c>
      <c r="BT372" s="3" t="str">
        <f>HYPERLINK("https%3A%2F%2Fwww.webofscience.com%2Fwos%2Fwoscc%2Ffull-record%2FWOS:000581793800144","View Full Record in Web of Science")</f>
        <v>View Full Record in Web of Science</v>
      </c>
      <c r="BU372" s="3"/>
      <c r="BV372" s="3"/>
      <c r="BW372" s="1"/>
    </row>
    <row r="373" spans="1:75" x14ac:dyDescent="0.25">
      <c r="A373" s="3" t="s">
        <v>72</v>
      </c>
      <c r="B373" s="3" t="s">
        <v>7694</v>
      </c>
      <c r="C373" s="3" t="s">
        <v>74</v>
      </c>
      <c r="D373" s="3" t="s">
        <v>74</v>
      </c>
      <c r="E373" s="3" t="s">
        <v>74</v>
      </c>
      <c r="F373" s="3" t="s">
        <v>7695</v>
      </c>
      <c r="G373" s="3" t="s">
        <v>74</v>
      </c>
      <c r="H373" s="3" t="s">
        <v>74</v>
      </c>
      <c r="I373" s="3" t="s">
        <v>7696</v>
      </c>
      <c r="J373" s="3" t="s">
        <v>7697</v>
      </c>
      <c r="K373" s="3" t="s">
        <v>74</v>
      </c>
      <c r="L373" s="3" t="s">
        <v>74</v>
      </c>
      <c r="M373" s="3" t="s">
        <v>110</v>
      </c>
      <c r="N373" s="3" t="s">
        <v>79</v>
      </c>
      <c r="O373" s="3" t="s">
        <v>74</v>
      </c>
      <c r="P373" s="3" t="s">
        <v>74</v>
      </c>
      <c r="Q373" s="3" t="s">
        <v>74</v>
      </c>
      <c r="R373" s="3" t="s">
        <v>74</v>
      </c>
      <c r="S373" s="3" t="s">
        <v>74</v>
      </c>
      <c r="T373" s="3" t="s">
        <v>7698</v>
      </c>
      <c r="U373" s="3" t="s">
        <v>7699</v>
      </c>
      <c r="V373" s="3" t="s">
        <v>7700</v>
      </c>
      <c r="W373" s="3" t="s">
        <v>7701</v>
      </c>
      <c r="X373" s="3" t="s">
        <v>7702</v>
      </c>
      <c r="Y373" s="3" t="s">
        <v>7703</v>
      </c>
      <c r="Z373" s="3" t="s">
        <v>7704</v>
      </c>
      <c r="AA373" s="3" t="s">
        <v>74</v>
      </c>
      <c r="AB373" s="3" t="s">
        <v>74</v>
      </c>
      <c r="AC373" s="3" t="s">
        <v>74</v>
      </c>
      <c r="AD373" s="3" t="s">
        <v>74</v>
      </c>
      <c r="AE373" s="3" t="s">
        <v>74</v>
      </c>
      <c r="AF373" s="3" t="s">
        <v>74</v>
      </c>
      <c r="AG373" s="3">
        <v>128</v>
      </c>
      <c r="AH373" s="3">
        <v>174</v>
      </c>
      <c r="AI373" s="3">
        <v>206</v>
      </c>
      <c r="AJ373" s="3">
        <v>3</v>
      </c>
      <c r="AK373" s="3">
        <v>221</v>
      </c>
      <c r="AL373" s="3" t="s">
        <v>254</v>
      </c>
      <c r="AM373" s="3" t="s">
        <v>255</v>
      </c>
      <c r="AN373" s="3" t="s">
        <v>256</v>
      </c>
      <c r="AO373" s="3" t="s">
        <v>7705</v>
      </c>
      <c r="AP373" s="3" t="s">
        <v>7706</v>
      </c>
      <c r="AQ373" s="3" t="s">
        <v>74</v>
      </c>
      <c r="AR373" s="3" t="s">
        <v>7697</v>
      </c>
      <c r="AS373" s="3" t="s">
        <v>7707</v>
      </c>
      <c r="AT373" s="3" t="s">
        <v>608</v>
      </c>
      <c r="AU373" s="3">
        <v>2018</v>
      </c>
      <c r="AV373" s="3">
        <v>63</v>
      </c>
      <c r="AW373" s="3" t="s">
        <v>74</v>
      </c>
      <c r="AX373" s="3" t="s">
        <v>74</v>
      </c>
      <c r="AY373" s="3" t="s">
        <v>74</v>
      </c>
      <c r="AZ373" s="3" t="s">
        <v>74</v>
      </c>
      <c r="BA373" s="3" t="s">
        <v>74</v>
      </c>
      <c r="BB373" s="3">
        <v>39</v>
      </c>
      <c r="BC373" s="3">
        <v>50</v>
      </c>
      <c r="BD373" s="3" t="s">
        <v>74</v>
      </c>
      <c r="BE373" s="3" t="s">
        <v>7708</v>
      </c>
      <c r="BF373" s="3" t="str">
        <f>HYPERLINK("http://dx.doi.org/10.1016/j.tranpol.2017.11.004","http://dx.doi.org/10.1016/j.tranpol.2017.11.004")</f>
        <v>http://dx.doi.org/10.1016/j.tranpol.2017.11.004</v>
      </c>
      <c r="BG373" s="3" t="s">
        <v>74</v>
      </c>
      <c r="BH373" s="3" t="s">
        <v>74</v>
      </c>
      <c r="BI373" s="3">
        <v>12</v>
      </c>
      <c r="BJ373" s="3" t="s">
        <v>3979</v>
      </c>
      <c r="BK373" s="3" t="s">
        <v>264</v>
      </c>
      <c r="BL373" s="3" t="s">
        <v>1187</v>
      </c>
      <c r="BM373" s="3" t="s">
        <v>7709</v>
      </c>
      <c r="BN373" s="3" t="s">
        <v>74</v>
      </c>
      <c r="BO373" s="3" t="s">
        <v>74</v>
      </c>
      <c r="BP373" s="3" t="s">
        <v>74</v>
      </c>
      <c r="BQ373" s="3" t="s">
        <v>74</v>
      </c>
      <c r="BR373" s="3" t="s">
        <v>101</v>
      </c>
      <c r="BS373" s="3" t="s">
        <v>7710</v>
      </c>
      <c r="BT373" s="3" t="str">
        <f>HYPERLINK("https%3A%2F%2Fwww.webofscience.com%2Fwos%2Fwoscc%2Ffull-record%2FWOS:000425478300004","View Full Record in Web of Science")</f>
        <v>View Full Record in Web of Science</v>
      </c>
      <c r="BU373" s="3"/>
      <c r="BV373" s="3"/>
      <c r="BW373" s="1"/>
    </row>
    <row r="374" spans="1:75" x14ac:dyDescent="0.25">
      <c r="A374" s="3" t="s">
        <v>72</v>
      </c>
      <c r="B374" s="3" t="s">
        <v>7711</v>
      </c>
      <c r="C374" s="3" t="s">
        <v>74</v>
      </c>
      <c r="D374" s="3" t="s">
        <v>74</v>
      </c>
      <c r="E374" s="3" t="s">
        <v>74</v>
      </c>
      <c r="F374" s="3" t="s">
        <v>7712</v>
      </c>
      <c r="G374" s="3" t="s">
        <v>74</v>
      </c>
      <c r="H374" s="3" t="s">
        <v>74</v>
      </c>
      <c r="I374" s="3" t="s">
        <v>7713</v>
      </c>
      <c r="J374" s="3" t="s">
        <v>7714</v>
      </c>
      <c r="K374" s="3" t="s">
        <v>74</v>
      </c>
      <c r="L374" s="3" t="s">
        <v>74</v>
      </c>
      <c r="M374" s="3" t="s">
        <v>110</v>
      </c>
      <c r="N374" s="3" t="s">
        <v>79</v>
      </c>
      <c r="O374" s="3" t="s">
        <v>74</v>
      </c>
      <c r="P374" s="3" t="s">
        <v>74</v>
      </c>
      <c r="Q374" s="3" t="s">
        <v>74</v>
      </c>
      <c r="R374" s="3" t="s">
        <v>74</v>
      </c>
      <c r="S374" s="3" t="s">
        <v>74</v>
      </c>
      <c r="T374" s="3" t="s">
        <v>7715</v>
      </c>
      <c r="U374" s="3" t="s">
        <v>7716</v>
      </c>
      <c r="V374" s="3" t="s">
        <v>7717</v>
      </c>
      <c r="W374" s="3" t="s">
        <v>7718</v>
      </c>
      <c r="X374" s="3" t="s">
        <v>7719</v>
      </c>
      <c r="Y374" s="3" t="s">
        <v>7720</v>
      </c>
      <c r="Z374" s="3" t="s">
        <v>7721</v>
      </c>
      <c r="AA374" s="3" t="s">
        <v>7722</v>
      </c>
      <c r="AB374" s="3" t="s">
        <v>7723</v>
      </c>
      <c r="AC374" s="3" t="s">
        <v>7724</v>
      </c>
      <c r="AD374" s="3" t="s">
        <v>7725</v>
      </c>
      <c r="AE374" s="3" t="s">
        <v>7726</v>
      </c>
      <c r="AF374" s="3" t="s">
        <v>74</v>
      </c>
      <c r="AG374" s="3">
        <v>49</v>
      </c>
      <c r="AH374" s="3">
        <v>41</v>
      </c>
      <c r="AI374" s="3">
        <v>51</v>
      </c>
      <c r="AJ374" s="3">
        <v>1</v>
      </c>
      <c r="AK374" s="3">
        <v>46</v>
      </c>
      <c r="AL374" s="3" t="s">
        <v>846</v>
      </c>
      <c r="AM374" s="3" t="s">
        <v>847</v>
      </c>
      <c r="AN374" s="3" t="s">
        <v>848</v>
      </c>
      <c r="AO374" s="3" t="s">
        <v>7727</v>
      </c>
      <c r="AP374" s="3" t="s">
        <v>74</v>
      </c>
      <c r="AQ374" s="3" t="s">
        <v>74</v>
      </c>
      <c r="AR374" s="3" t="s">
        <v>7728</v>
      </c>
      <c r="AS374" s="3" t="s">
        <v>7729</v>
      </c>
      <c r="AT374" s="3" t="s">
        <v>7730</v>
      </c>
      <c r="AU374" s="3">
        <v>2021</v>
      </c>
      <c r="AV374" s="3">
        <v>9</v>
      </c>
      <c r="AW374" s="3">
        <v>14</v>
      </c>
      <c r="AX374" s="3" t="s">
        <v>74</v>
      </c>
      <c r="AY374" s="3" t="s">
        <v>74</v>
      </c>
      <c r="AZ374" s="3" t="s">
        <v>74</v>
      </c>
      <c r="BA374" s="3" t="s">
        <v>74</v>
      </c>
      <c r="BB374" s="3">
        <v>11883</v>
      </c>
      <c r="BC374" s="3">
        <v>11892</v>
      </c>
      <c r="BD374" s="3" t="s">
        <v>74</v>
      </c>
      <c r="BE374" s="3" t="s">
        <v>7731</v>
      </c>
      <c r="BF374" s="3" t="str">
        <f>HYPERLINK("http://dx.doi.org/10.1109/JIOT.2021.3132126","http://dx.doi.org/10.1109/JIOT.2021.3132126")</f>
        <v>http://dx.doi.org/10.1109/JIOT.2021.3132126</v>
      </c>
      <c r="BG374" s="3" t="s">
        <v>74</v>
      </c>
      <c r="BH374" s="3" t="s">
        <v>74</v>
      </c>
      <c r="BI374" s="3">
        <v>10</v>
      </c>
      <c r="BJ374" s="3" t="s">
        <v>852</v>
      </c>
      <c r="BK374" s="3" t="s">
        <v>179</v>
      </c>
      <c r="BL374" s="3" t="s">
        <v>853</v>
      </c>
      <c r="BM374" s="3" t="s">
        <v>7732</v>
      </c>
      <c r="BN374" s="3" t="s">
        <v>74</v>
      </c>
      <c r="BO374" s="3" t="s">
        <v>3738</v>
      </c>
      <c r="BP374" s="3" t="s">
        <v>74</v>
      </c>
      <c r="BQ374" s="3" t="s">
        <v>74</v>
      </c>
      <c r="BR374" s="3" t="s">
        <v>101</v>
      </c>
      <c r="BS374" s="3" t="s">
        <v>7733</v>
      </c>
      <c r="BT374" s="3" t="str">
        <f>HYPERLINK("https%3A%2F%2Fwww.webofscience.com%2Fwos%2Fwoscc%2Ffull-record%2FWOS:000821527600011","View Full Record in Web of Science")</f>
        <v>View Full Record in Web of Science</v>
      </c>
      <c r="BU374" s="3"/>
      <c r="BV374" s="3"/>
      <c r="BW374" s="1"/>
    </row>
    <row r="375" spans="1:75" x14ac:dyDescent="0.25">
      <c r="A375" s="3" t="s">
        <v>72</v>
      </c>
      <c r="B375" s="3" t="s">
        <v>7734</v>
      </c>
      <c r="C375" s="3" t="s">
        <v>74</v>
      </c>
      <c r="D375" s="3" t="s">
        <v>74</v>
      </c>
      <c r="E375" s="3" t="s">
        <v>74</v>
      </c>
      <c r="F375" s="3" t="s">
        <v>7735</v>
      </c>
      <c r="G375" s="3" t="s">
        <v>74</v>
      </c>
      <c r="H375" s="3" t="s">
        <v>74</v>
      </c>
      <c r="I375" s="3" t="s">
        <v>7736</v>
      </c>
      <c r="J375" s="3" t="s">
        <v>7737</v>
      </c>
      <c r="K375" s="3" t="s">
        <v>74</v>
      </c>
      <c r="L375" s="3" t="s">
        <v>74</v>
      </c>
      <c r="M375" s="3" t="s">
        <v>110</v>
      </c>
      <c r="N375" s="3" t="s">
        <v>79</v>
      </c>
      <c r="O375" s="3" t="s">
        <v>74</v>
      </c>
      <c r="P375" s="3" t="s">
        <v>74</v>
      </c>
      <c r="Q375" s="3" t="s">
        <v>74</v>
      </c>
      <c r="R375" s="3" t="s">
        <v>74</v>
      </c>
      <c r="S375" s="3" t="s">
        <v>74</v>
      </c>
      <c r="T375" s="3" t="s">
        <v>7738</v>
      </c>
      <c r="U375" s="3" t="s">
        <v>7739</v>
      </c>
      <c r="V375" s="3" t="s">
        <v>7740</v>
      </c>
      <c r="W375" s="3" t="s">
        <v>7741</v>
      </c>
      <c r="X375" s="3" t="s">
        <v>7742</v>
      </c>
      <c r="Y375" s="3" t="s">
        <v>7743</v>
      </c>
      <c r="Z375" s="3" t="s">
        <v>7744</v>
      </c>
      <c r="AA375" s="3" t="s">
        <v>7745</v>
      </c>
      <c r="AB375" s="3" t="s">
        <v>7746</v>
      </c>
      <c r="AC375" s="3" t="s">
        <v>74</v>
      </c>
      <c r="AD375" s="3" t="s">
        <v>74</v>
      </c>
      <c r="AE375" s="3" t="s">
        <v>74</v>
      </c>
      <c r="AF375" s="3" t="s">
        <v>74</v>
      </c>
      <c r="AG375" s="3">
        <v>44</v>
      </c>
      <c r="AH375" s="3">
        <v>80</v>
      </c>
      <c r="AI375" s="3">
        <v>90</v>
      </c>
      <c r="AJ375" s="3">
        <v>9</v>
      </c>
      <c r="AK375" s="3">
        <v>99</v>
      </c>
      <c r="AL375" s="3" t="s">
        <v>7747</v>
      </c>
      <c r="AM375" s="3" t="s">
        <v>7748</v>
      </c>
      <c r="AN375" s="3" t="s">
        <v>7749</v>
      </c>
      <c r="AO375" s="3" t="s">
        <v>7750</v>
      </c>
      <c r="AP375" s="3" t="s">
        <v>7751</v>
      </c>
      <c r="AQ375" s="3" t="s">
        <v>74</v>
      </c>
      <c r="AR375" s="3" t="s">
        <v>7752</v>
      </c>
      <c r="AS375" s="3" t="s">
        <v>7753</v>
      </c>
      <c r="AT375" s="3" t="s">
        <v>7754</v>
      </c>
      <c r="AU375" s="3">
        <v>2022</v>
      </c>
      <c r="AV375" s="3">
        <v>16</v>
      </c>
      <c r="AW375" s="3">
        <v>1</v>
      </c>
      <c r="AX375" s="3" t="s">
        <v>74</v>
      </c>
      <c r="AY375" s="3" t="s">
        <v>74</v>
      </c>
      <c r="AZ375" s="3" t="s">
        <v>74</v>
      </c>
      <c r="BA375" s="3" t="s">
        <v>74</v>
      </c>
      <c r="BB375" s="3">
        <v>22</v>
      </c>
      <c r="BC375" s="3">
        <v>33</v>
      </c>
      <c r="BD375" s="3" t="s">
        <v>74</v>
      </c>
      <c r="BE375" s="3" t="s">
        <v>7755</v>
      </c>
      <c r="BF375" s="3" t="str">
        <f>HYPERLINK("http://dx.doi.org/10.1080/15568318.2020.1847367","http://dx.doi.org/10.1080/15568318.2020.1847367")</f>
        <v>http://dx.doi.org/10.1080/15568318.2020.1847367</v>
      </c>
      <c r="BG375" s="3" t="s">
        <v>74</v>
      </c>
      <c r="BH375" s="3" t="s">
        <v>7756</v>
      </c>
      <c r="BI375" s="3">
        <v>12</v>
      </c>
      <c r="BJ375" s="3" t="s">
        <v>7757</v>
      </c>
      <c r="BK375" s="3" t="s">
        <v>264</v>
      </c>
      <c r="BL375" s="3" t="s">
        <v>7758</v>
      </c>
      <c r="BM375" s="3" t="s">
        <v>7759</v>
      </c>
      <c r="BN375" s="3" t="s">
        <v>74</v>
      </c>
      <c r="BO375" s="3" t="s">
        <v>683</v>
      </c>
      <c r="BP375" s="3" t="s">
        <v>74</v>
      </c>
      <c r="BQ375" s="3" t="s">
        <v>74</v>
      </c>
      <c r="BR375" s="3" t="s">
        <v>101</v>
      </c>
      <c r="BS375" s="3" t="s">
        <v>7760</v>
      </c>
      <c r="BT375" s="3" t="str">
        <f>HYPERLINK("https%3A%2F%2Fwww.webofscience.com%2Fwos%2Fwoscc%2Ffull-record%2FWOS:000590363400001","View Full Record in Web of Science")</f>
        <v>View Full Record in Web of Science</v>
      </c>
      <c r="BU375" s="3"/>
      <c r="BV375" s="3"/>
      <c r="BW375" s="1"/>
    </row>
    <row r="376" spans="1:75" x14ac:dyDescent="0.25">
      <c r="A376" s="3" t="s">
        <v>72</v>
      </c>
      <c r="B376" s="3" t="s">
        <v>7761</v>
      </c>
      <c r="C376" s="3" t="s">
        <v>74</v>
      </c>
      <c r="D376" s="3" t="s">
        <v>74</v>
      </c>
      <c r="E376" s="3" t="s">
        <v>74</v>
      </c>
      <c r="F376" s="3" t="s">
        <v>7762</v>
      </c>
      <c r="G376" s="3" t="s">
        <v>74</v>
      </c>
      <c r="H376" s="3" t="s">
        <v>74</v>
      </c>
      <c r="I376" s="3" t="s">
        <v>7763</v>
      </c>
      <c r="J376" s="3" t="s">
        <v>7764</v>
      </c>
      <c r="K376" s="3" t="s">
        <v>74</v>
      </c>
      <c r="L376" s="3" t="s">
        <v>74</v>
      </c>
      <c r="M376" s="3" t="s">
        <v>110</v>
      </c>
      <c r="N376" s="3" t="s">
        <v>216</v>
      </c>
      <c r="O376" s="3" t="s">
        <v>74</v>
      </c>
      <c r="P376" s="3" t="s">
        <v>74</v>
      </c>
      <c r="Q376" s="3" t="s">
        <v>74</v>
      </c>
      <c r="R376" s="3" t="s">
        <v>74</v>
      </c>
      <c r="S376" s="3" t="s">
        <v>74</v>
      </c>
      <c r="T376" s="3" t="s">
        <v>7765</v>
      </c>
      <c r="U376" s="3" t="s">
        <v>7766</v>
      </c>
      <c r="V376" s="3" t="s">
        <v>7767</v>
      </c>
      <c r="W376" s="3" t="s">
        <v>7768</v>
      </c>
      <c r="X376" s="3" t="s">
        <v>7769</v>
      </c>
      <c r="Y376" s="3" t="s">
        <v>7770</v>
      </c>
      <c r="Z376" s="3" t="s">
        <v>7771</v>
      </c>
      <c r="AA376" s="3" t="s">
        <v>7772</v>
      </c>
      <c r="AB376" s="3" t="s">
        <v>7773</v>
      </c>
      <c r="AC376" s="3" t="s">
        <v>7774</v>
      </c>
      <c r="AD376" s="3" t="s">
        <v>7774</v>
      </c>
      <c r="AE376" s="3" t="s">
        <v>3342</v>
      </c>
      <c r="AF376" s="3" t="s">
        <v>74</v>
      </c>
      <c r="AG376" s="3">
        <v>312</v>
      </c>
      <c r="AH376" s="3">
        <v>9</v>
      </c>
      <c r="AI376" s="3">
        <v>11</v>
      </c>
      <c r="AJ376" s="3">
        <v>11</v>
      </c>
      <c r="AK376" s="3">
        <v>40</v>
      </c>
      <c r="AL376" s="3" t="s">
        <v>846</v>
      </c>
      <c r="AM376" s="3" t="s">
        <v>847</v>
      </c>
      <c r="AN376" s="3" t="s">
        <v>848</v>
      </c>
      <c r="AO376" s="3" t="s">
        <v>74</v>
      </c>
      <c r="AP376" s="3" t="s">
        <v>7775</v>
      </c>
      <c r="AQ376" s="3" t="s">
        <v>74</v>
      </c>
      <c r="AR376" s="3" t="s">
        <v>7776</v>
      </c>
      <c r="AS376" s="3" t="s">
        <v>7777</v>
      </c>
      <c r="AT376" s="3" t="s">
        <v>74</v>
      </c>
      <c r="AU376" s="3">
        <v>2023</v>
      </c>
      <c r="AV376" s="3">
        <v>4</v>
      </c>
      <c r="AW376" s="3" t="s">
        <v>74</v>
      </c>
      <c r="AX376" s="3" t="s">
        <v>74</v>
      </c>
      <c r="AY376" s="3" t="s">
        <v>74</v>
      </c>
      <c r="AZ376" s="3" t="s">
        <v>74</v>
      </c>
      <c r="BA376" s="3" t="s">
        <v>74</v>
      </c>
      <c r="BB376" s="3">
        <v>870</v>
      </c>
      <c r="BC376" s="3">
        <v>899</v>
      </c>
      <c r="BD376" s="3" t="s">
        <v>74</v>
      </c>
      <c r="BE376" s="3" t="s">
        <v>7778</v>
      </c>
      <c r="BF376" s="3" t="str">
        <f>HYPERLINK("http://dx.doi.org/10.1109/OJITS.2023.3334393","http://dx.doi.org/10.1109/OJITS.2023.3334393")</f>
        <v>http://dx.doi.org/10.1109/OJITS.2023.3334393</v>
      </c>
      <c r="BG376" s="3" t="s">
        <v>74</v>
      </c>
      <c r="BH376" s="3" t="s">
        <v>74</v>
      </c>
      <c r="BI376" s="3">
        <v>30</v>
      </c>
      <c r="BJ376" s="3" t="s">
        <v>7779</v>
      </c>
      <c r="BK376" s="3" t="s">
        <v>97</v>
      </c>
      <c r="BL376" s="3" t="s">
        <v>7780</v>
      </c>
      <c r="BM376" s="3" t="s">
        <v>7781</v>
      </c>
      <c r="BN376" s="3" t="s">
        <v>74</v>
      </c>
      <c r="BO376" s="3" t="s">
        <v>133</v>
      </c>
      <c r="BP376" s="3" t="s">
        <v>74</v>
      </c>
      <c r="BQ376" s="3" t="s">
        <v>74</v>
      </c>
      <c r="BR376" s="3" t="s">
        <v>101</v>
      </c>
      <c r="BS376" s="3" t="s">
        <v>7782</v>
      </c>
      <c r="BT376" s="3" t="str">
        <f>HYPERLINK("https%3A%2F%2Fwww.webofscience.com%2Fwos%2Fwoscc%2Ffull-record%2FWOS:001122770700001","View Full Record in Web of Science")</f>
        <v>View Full Record in Web of Science</v>
      </c>
      <c r="BU376" s="3"/>
      <c r="BV376" s="3"/>
      <c r="BW376" s="1"/>
    </row>
    <row r="377" spans="1:75" x14ac:dyDescent="0.25">
      <c r="A377" s="3" t="s">
        <v>72</v>
      </c>
      <c r="B377" s="3" t="s">
        <v>7783</v>
      </c>
      <c r="C377" s="3" t="s">
        <v>74</v>
      </c>
      <c r="D377" s="3" t="s">
        <v>74</v>
      </c>
      <c r="E377" s="3" t="s">
        <v>74</v>
      </c>
      <c r="F377" s="3" t="s">
        <v>7784</v>
      </c>
      <c r="G377" s="3" t="s">
        <v>74</v>
      </c>
      <c r="H377" s="3" t="s">
        <v>74</v>
      </c>
      <c r="I377" s="3" t="s">
        <v>7785</v>
      </c>
      <c r="J377" s="3" t="s">
        <v>1783</v>
      </c>
      <c r="K377" s="3" t="s">
        <v>74</v>
      </c>
      <c r="L377" s="3" t="s">
        <v>74</v>
      </c>
      <c r="M377" s="3" t="s">
        <v>110</v>
      </c>
      <c r="N377" s="3" t="s">
        <v>79</v>
      </c>
      <c r="O377" s="3" t="s">
        <v>74</v>
      </c>
      <c r="P377" s="3" t="s">
        <v>74</v>
      </c>
      <c r="Q377" s="3" t="s">
        <v>74</v>
      </c>
      <c r="R377" s="3" t="s">
        <v>74</v>
      </c>
      <c r="S377" s="3" t="s">
        <v>74</v>
      </c>
      <c r="T377" s="3" t="s">
        <v>7786</v>
      </c>
      <c r="U377" s="3" t="s">
        <v>7787</v>
      </c>
      <c r="V377" s="3" t="s">
        <v>7788</v>
      </c>
      <c r="W377" s="3" t="s">
        <v>7789</v>
      </c>
      <c r="X377" s="3" t="s">
        <v>7790</v>
      </c>
      <c r="Y377" s="3" t="s">
        <v>7791</v>
      </c>
      <c r="Z377" s="3" t="s">
        <v>7792</v>
      </c>
      <c r="AA377" s="3" t="s">
        <v>7793</v>
      </c>
      <c r="AB377" s="3" t="s">
        <v>7794</v>
      </c>
      <c r="AC377" s="3" t="s">
        <v>7795</v>
      </c>
      <c r="AD377" s="3" t="s">
        <v>7796</v>
      </c>
      <c r="AE377" s="3" t="s">
        <v>7797</v>
      </c>
      <c r="AF377" s="3" t="s">
        <v>74</v>
      </c>
      <c r="AG377" s="3">
        <v>55</v>
      </c>
      <c r="AH377" s="3">
        <v>99</v>
      </c>
      <c r="AI377" s="3">
        <v>112</v>
      </c>
      <c r="AJ377" s="3">
        <v>2</v>
      </c>
      <c r="AK377" s="3">
        <v>89</v>
      </c>
      <c r="AL377" s="3" t="s">
        <v>304</v>
      </c>
      <c r="AM377" s="3" t="s">
        <v>305</v>
      </c>
      <c r="AN377" s="3" t="s">
        <v>306</v>
      </c>
      <c r="AO377" s="3" t="s">
        <v>1798</v>
      </c>
      <c r="AP377" s="3" t="s">
        <v>5899</v>
      </c>
      <c r="AQ377" s="3" t="s">
        <v>74</v>
      </c>
      <c r="AR377" s="3" t="s">
        <v>1799</v>
      </c>
      <c r="AS377" s="3" t="s">
        <v>1800</v>
      </c>
      <c r="AT377" s="3" t="s">
        <v>807</v>
      </c>
      <c r="AU377" s="3">
        <v>2019</v>
      </c>
      <c r="AV377" s="3">
        <v>67</v>
      </c>
      <c r="AW377" s="3" t="s">
        <v>74</v>
      </c>
      <c r="AX377" s="3" t="s">
        <v>74</v>
      </c>
      <c r="AY377" s="3" t="s">
        <v>74</v>
      </c>
      <c r="AZ377" s="3" t="s">
        <v>74</v>
      </c>
      <c r="BA377" s="3" t="s">
        <v>74</v>
      </c>
      <c r="BB377" s="3">
        <v>491</v>
      </c>
      <c r="BC377" s="3">
        <v>502</v>
      </c>
      <c r="BD377" s="3" t="s">
        <v>74</v>
      </c>
      <c r="BE377" s="3" t="s">
        <v>7798</v>
      </c>
      <c r="BF377" s="3" t="str">
        <f>HYPERLINK("http://dx.doi.org/10.1016/j.trd.2018.12.017","http://dx.doi.org/10.1016/j.trd.2018.12.017")</f>
        <v>http://dx.doi.org/10.1016/j.trd.2018.12.017</v>
      </c>
      <c r="BG377" s="3" t="s">
        <v>74</v>
      </c>
      <c r="BH377" s="3" t="s">
        <v>74</v>
      </c>
      <c r="BI377" s="3">
        <v>12</v>
      </c>
      <c r="BJ377" s="3" t="s">
        <v>1802</v>
      </c>
      <c r="BK377" s="3" t="s">
        <v>154</v>
      </c>
      <c r="BL377" s="3" t="s">
        <v>1804</v>
      </c>
      <c r="BM377" s="3" t="s">
        <v>7799</v>
      </c>
      <c r="BN377" s="3" t="s">
        <v>74</v>
      </c>
      <c r="BO377" s="3" t="s">
        <v>74</v>
      </c>
      <c r="BP377" s="3" t="s">
        <v>74</v>
      </c>
      <c r="BQ377" s="3" t="s">
        <v>74</v>
      </c>
      <c r="BR377" s="3" t="s">
        <v>101</v>
      </c>
      <c r="BS377" s="3" t="s">
        <v>7800</v>
      </c>
      <c r="BT377" s="3" t="str">
        <f>HYPERLINK("https%3A%2F%2Fwww.webofscience.com%2Fwos%2Fwoscc%2Ffull-record%2FWOS:000464890900034","View Full Record in Web of Science")</f>
        <v>View Full Record in Web of Science</v>
      </c>
      <c r="BU377" s="3"/>
      <c r="BV377" s="3"/>
      <c r="BW377" s="1"/>
    </row>
    <row r="378" spans="1:75" x14ac:dyDescent="0.25">
      <c r="A378" s="3" t="s">
        <v>72</v>
      </c>
      <c r="B378" s="3" t="s">
        <v>7801</v>
      </c>
      <c r="C378" s="3" t="s">
        <v>74</v>
      </c>
      <c r="D378" s="3" t="s">
        <v>74</v>
      </c>
      <c r="E378" s="3" t="s">
        <v>74</v>
      </c>
      <c r="F378" s="3" t="s">
        <v>7802</v>
      </c>
      <c r="G378" s="3" t="s">
        <v>74</v>
      </c>
      <c r="H378" s="3" t="s">
        <v>74</v>
      </c>
      <c r="I378" s="3" t="s">
        <v>7803</v>
      </c>
      <c r="J378" s="3" t="s">
        <v>7804</v>
      </c>
      <c r="K378" s="3" t="s">
        <v>74</v>
      </c>
      <c r="L378" s="3" t="s">
        <v>74</v>
      </c>
      <c r="M378" s="3" t="s">
        <v>110</v>
      </c>
      <c r="N378" s="3" t="s">
        <v>79</v>
      </c>
      <c r="O378" s="3" t="s">
        <v>74</v>
      </c>
      <c r="P378" s="3" t="s">
        <v>74</v>
      </c>
      <c r="Q378" s="3" t="s">
        <v>74</v>
      </c>
      <c r="R378" s="3" t="s">
        <v>74</v>
      </c>
      <c r="S378" s="3" t="s">
        <v>74</v>
      </c>
      <c r="T378" s="3" t="s">
        <v>7805</v>
      </c>
      <c r="U378" s="3" t="s">
        <v>7806</v>
      </c>
      <c r="V378" s="3" t="s">
        <v>7807</v>
      </c>
      <c r="W378" s="3" t="s">
        <v>7808</v>
      </c>
      <c r="X378" s="3" t="s">
        <v>7651</v>
      </c>
      <c r="Y378" s="3" t="s">
        <v>7652</v>
      </c>
      <c r="Z378" s="3" t="s">
        <v>7809</v>
      </c>
      <c r="AA378" s="3" t="s">
        <v>74</v>
      </c>
      <c r="AB378" s="3" t="s">
        <v>7810</v>
      </c>
      <c r="AC378" s="3" t="s">
        <v>74</v>
      </c>
      <c r="AD378" s="3" t="s">
        <v>74</v>
      </c>
      <c r="AE378" s="3" t="s">
        <v>74</v>
      </c>
      <c r="AF378" s="3" t="s">
        <v>74</v>
      </c>
      <c r="AG378" s="3">
        <v>270</v>
      </c>
      <c r="AH378" s="3">
        <v>360</v>
      </c>
      <c r="AI378" s="3">
        <v>412</v>
      </c>
      <c r="AJ378" s="3">
        <v>40</v>
      </c>
      <c r="AK378" s="3">
        <v>425</v>
      </c>
      <c r="AL378" s="3" t="s">
        <v>1120</v>
      </c>
      <c r="AM378" s="3" t="s">
        <v>200</v>
      </c>
      <c r="AN378" s="3" t="s">
        <v>1559</v>
      </c>
      <c r="AO378" s="3" t="s">
        <v>7811</v>
      </c>
      <c r="AP378" s="3" t="s">
        <v>7812</v>
      </c>
      <c r="AQ378" s="3" t="s">
        <v>74</v>
      </c>
      <c r="AR378" s="3" t="s">
        <v>7804</v>
      </c>
      <c r="AS378" s="3" t="s">
        <v>7813</v>
      </c>
      <c r="AT378" s="3" t="s">
        <v>949</v>
      </c>
      <c r="AU378" s="3">
        <v>2021</v>
      </c>
      <c r="AV378" s="3">
        <v>43</v>
      </c>
      <c r="AW378" s="3">
        <v>1</v>
      </c>
      <c r="AX378" s="3" t="s">
        <v>74</v>
      </c>
      <c r="AY378" s="3" t="s">
        <v>74</v>
      </c>
      <c r="AZ378" s="3" t="s">
        <v>74</v>
      </c>
      <c r="BA378" s="3" t="s">
        <v>74</v>
      </c>
      <c r="BB378" s="3">
        <v>1</v>
      </c>
      <c r="BC378" s="3">
        <v>58</v>
      </c>
      <c r="BD378" s="3" t="s">
        <v>74</v>
      </c>
      <c r="BE378" s="3" t="s">
        <v>7814</v>
      </c>
      <c r="BF378" s="3" t="str">
        <f>HYPERLINK("http://dx.doi.org/10.1007/s00291-020-00607-8","http://dx.doi.org/10.1007/s00291-020-00607-8")</f>
        <v>http://dx.doi.org/10.1007/s00291-020-00607-8</v>
      </c>
      <c r="BG378" s="3" t="s">
        <v>74</v>
      </c>
      <c r="BH378" s="3" t="s">
        <v>6475</v>
      </c>
      <c r="BI378" s="3">
        <v>58</v>
      </c>
      <c r="BJ378" s="3" t="s">
        <v>1060</v>
      </c>
      <c r="BK378" s="3" t="s">
        <v>154</v>
      </c>
      <c r="BL378" s="3" t="s">
        <v>1060</v>
      </c>
      <c r="BM378" s="3" t="s">
        <v>7815</v>
      </c>
      <c r="BN378" s="3" t="s">
        <v>74</v>
      </c>
      <c r="BO378" s="3" t="s">
        <v>3738</v>
      </c>
      <c r="BP378" s="3" t="s">
        <v>74</v>
      </c>
      <c r="BQ378" s="3" t="s">
        <v>74</v>
      </c>
      <c r="BR378" s="3" t="s">
        <v>101</v>
      </c>
      <c r="BS378" s="3" t="s">
        <v>7816</v>
      </c>
      <c r="BT378" s="3" t="str">
        <f>HYPERLINK("https%3A%2F%2Fwww.webofscience.com%2Fwos%2Fwoscc%2Ffull-record%2FWOS:000571676700001","View Full Record in Web of Science")</f>
        <v>View Full Record in Web of Science</v>
      </c>
      <c r="BU378" s="3"/>
      <c r="BV378" s="3"/>
      <c r="BW378" s="1"/>
    </row>
    <row r="379" spans="1:75" x14ac:dyDescent="0.25">
      <c r="A379" s="3" t="s">
        <v>72</v>
      </c>
      <c r="B379" s="3" t="s">
        <v>7817</v>
      </c>
      <c r="C379" s="3" t="s">
        <v>74</v>
      </c>
      <c r="D379" s="3" t="s">
        <v>74</v>
      </c>
      <c r="E379" s="3" t="s">
        <v>74</v>
      </c>
      <c r="F379" s="3" t="s">
        <v>7818</v>
      </c>
      <c r="G379" s="3" t="s">
        <v>74</v>
      </c>
      <c r="H379" s="3" t="s">
        <v>74</v>
      </c>
      <c r="I379" s="3" t="s">
        <v>7819</v>
      </c>
      <c r="J379" s="3" t="s">
        <v>2631</v>
      </c>
      <c r="K379" s="3" t="s">
        <v>74</v>
      </c>
      <c r="L379" s="3" t="s">
        <v>74</v>
      </c>
      <c r="M379" s="3" t="s">
        <v>110</v>
      </c>
      <c r="N379" s="3" t="s">
        <v>79</v>
      </c>
      <c r="O379" s="3" t="s">
        <v>74</v>
      </c>
      <c r="P379" s="3" t="s">
        <v>74</v>
      </c>
      <c r="Q379" s="3" t="s">
        <v>74</v>
      </c>
      <c r="R379" s="3" t="s">
        <v>74</v>
      </c>
      <c r="S379" s="3" t="s">
        <v>74</v>
      </c>
      <c r="T379" s="3" t="s">
        <v>7820</v>
      </c>
      <c r="U379" s="3" t="s">
        <v>74</v>
      </c>
      <c r="V379" s="3" t="s">
        <v>7821</v>
      </c>
      <c r="W379" s="3" t="s">
        <v>7822</v>
      </c>
      <c r="X379" s="3" t="s">
        <v>7823</v>
      </c>
      <c r="Y379" s="3" t="s">
        <v>7824</v>
      </c>
      <c r="Z379" s="3" t="s">
        <v>7825</v>
      </c>
      <c r="AA379" s="3" t="s">
        <v>7826</v>
      </c>
      <c r="AB379" s="3" t="s">
        <v>7827</v>
      </c>
      <c r="AC379" s="3" t="s">
        <v>7828</v>
      </c>
      <c r="AD379" s="3" t="s">
        <v>7829</v>
      </c>
      <c r="AE379" s="3" t="s">
        <v>7830</v>
      </c>
      <c r="AF379" s="3" t="s">
        <v>74</v>
      </c>
      <c r="AG379" s="3">
        <v>29</v>
      </c>
      <c r="AH379" s="3">
        <v>27</v>
      </c>
      <c r="AI379" s="3">
        <v>30</v>
      </c>
      <c r="AJ379" s="3">
        <v>6</v>
      </c>
      <c r="AK379" s="3">
        <v>98</v>
      </c>
      <c r="AL379" s="3" t="s">
        <v>2641</v>
      </c>
      <c r="AM379" s="3" t="s">
        <v>2642</v>
      </c>
      <c r="AN379" s="3" t="s">
        <v>2643</v>
      </c>
      <c r="AO379" s="3" t="s">
        <v>2644</v>
      </c>
      <c r="AP379" s="3" t="s">
        <v>74</v>
      </c>
      <c r="AQ379" s="3" t="s">
        <v>74</v>
      </c>
      <c r="AR379" s="3" t="s">
        <v>2645</v>
      </c>
      <c r="AS379" s="3" t="s">
        <v>2646</v>
      </c>
      <c r="AT379" s="3" t="s">
        <v>7831</v>
      </c>
      <c r="AU379" s="3">
        <v>2022</v>
      </c>
      <c r="AV379" s="3">
        <v>56</v>
      </c>
      <c r="AW379" s="3">
        <v>3</v>
      </c>
      <c r="AX379" s="3" t="s">
        <v>74</v>
      </c>
      <c r="AY379" s="3" t="s">
        <v>74</v>
      </c>
      <c r="AZ379" s="3" t="s">
        <v>74</v>
      </c>
      <c r="BA379" s="3" t="s">
        <v>74</v>
      </c>
      <c r="BB379" s="3">
        <v>631</v>
      </c>
      <c r="BC379" s="3">
        <v>653</v>
      </c>
      <c r="BD379" s="3" t="s">
        <v>74</v>
      </c>
      <c r="BE379" s="3" t="s">
        <v>7832</v>
      </c>
      <c r="BF379" s="3" t="str">
        <f>HYPERLINK("http://dx.doi.org/10.1287/trsc.2021.1101","http://dx.doi.org/10.1287/trsc.2021.1101")</f>
        <v>http://dx.doi.org/10.1287/trsc.2021.1101</v>
      </c>
      <c r="BG379" s="3" t="s">
        <v>74</v>
      </c>
      <c r="BH379" s="3" t="s">
        <v>3759</v>
      </c>
      <c r="BI379" s="3">
        <v>24</v>
      </c>
      <c r="BJ379" s="3" t="s">
        <v>2648</v>
      </c>
      <c r="BK379" s="3" t="s">
        <v>154</v>
      </c>
      <c r="BL379" s="3" t="s">
        <v>2649</v>
      </c>
      <c r="BM379" s="3" t="s">
        <v>7833</v>
      </c>
      <c r="BN379" s="3" t="s">
        <v>74</v>
      </c>
      <c r="BO379" s="3" t="s">
        <v>74</v>
      </c>
      <c r="BP379" s="3" t="s">
        <v>74</v>
      </c>
      <c r="BQ379" s="3" t="s">
        <v>74</v>
      </c>
      <c r="BR379" s="3" t="s">
        <v>101</v>
      </c>
      <c r="BS379" s="3" t="s">
        <v>7834</v>
      </c>
      <c r="BT379" s="3" t="str">
        <f>HYPERLINK("https%3A%2F%2Fwww.webofscience.com%2Fwos%2Fwoscc%2Ffull-record%2FWOS:000733868800001","View Full Record in Web of Science")</f>
        <v>View Full Record in Web of Science</v>
      </c>
      <c r="BU379" s="3"/>
      <c r="BV379" s="3"/>
      <c r="BW379" s="1"/>
    </row>
    <row r="380" spans="1:75" x14ac:dyDescent="0.25">
      <c r="A380" s="3" t="s">
        <v>72</v>
      </c>
      <c r="B380" s="3" t="s">
        <v>7835</v>
      </c>
      <c r="C380" s="3" t="s">
        <v>74</v>
      </c>
      <c r="D380" s="3" t="s">
        <v>74</v>
      </c>
      <c r="E380" s="3" t="s">
        <v>74</v>
      </c>
      <c r="F380" s="3" t="s">
        <v>7836</v>
      </c>
      <c r="G380" s="3" t="s">
        <v>74</v>
      </c>
      <c r="H380" s="3" t="s">
        <v>74</v>
      </c>
      <c r="I380" s="3" t="s">
        <v>7837</v>
      </c>
      <c r="J380" s="3" t="s">
        <v>7838</v>
      </c>
      <c r="K380" s="3" t="s">
        <v>74</v>
      </c>
      <c r="L380" s="3" t="s">
        <v>74</v>
      </c>
      <c r="M380" s="3" t="s">
        <v>110</v>
      </c>
      <c r="N380" s="3" t="s">
        <v>79</v>
      </c>
      <c r="O380" s="3" t="s">
        <v>74</v>
      </c>
      <c r="P380" s="3" t="s">
        <v>74</v>
      </c>
      <c r="Q380" s="3" t="s">
        <v>74</v>
      </c>
      <c r="R380" s="3" t="s">
        <v>74</v>
      </c>
      <c r="S380" s="3" t="s">
        <v>74</v>
      </c>
      <c r="T380" s="3" t="s">
        <v>7839</v>
      </c>
      <c r="U380" s="3" t="s">
        <v>7840</v>
      </c>
      <c r="V380" s="3" t="s">
        <v>7841</v>
      </c>
      <c r="W380" s="3" t="s">
        <v>7842</v>
      </c>
      <c r="X380" s="3" t="s">
        <v>7843</v>
      </c>
      <c r="Y380" s="3" t="s">
        <v>7844</v>
      </c>
      <c r="Z380" s="3" t="s">
        <v>7845</v>
      </c>
      <c r="AA380" s="3" t="s">
        <v>7846</v>
      </c>
      <c r="AB380" s="3" t="s">
        <v>7847</v>
      </c>
      <c r="AC380" s="3" t="s">
        <v>7848</v>
      </c>
      <c r="AD380" s="3" t="s">
        <v>7849</v>
      </c>
      <c r="AE380" s="3" t="s">
        <v>7850</v>
      </c>
      <c r="AF380" s="3" t="s">
        <v>74</v>
      </c>
      <c r="AG380" s="3">
        <v>81</v>
      </c>
      <c r="AH380" s="3">
        <v>50</v>
      </c>
      <c r="AI380" s="3">
        <v>56</v>
      </c>
      <c r="AJ380" s="3">
        <v>16</v>
      </c>
      <c r="AK380" s="3">
        <v>171</v>
      </c>
      <c r="AL380" s="3" t="s">
        <v>254</v>
      </c>
      <c r="AM380" s="3" t="s">
        <v>255</v>
      </c>
      <c r="AN380" s="3" t="s">
        <v>256</v>
      </c>
      <c r="AO380" s="3" t="s">
        <v>7851</v>
      </c>
      <c r="AP380" s="3" t="s">
        <v>7852</v>
      </c>
      <c r="AQ380" s="3" t="s">
        <v>74</v>
      </c>
      <c r="AR380" s="3" t="s">
        <v>7853</v>
      </c>
      <c r="AS380" s="3" t="s">
        <v>7854</v>
      </c>
      <c r="AT380" s="3" t="s">
        <v>608</v>
      </c>
      <c r="AU380" s="3">
        <v>2022</v>
      </c>
      <c r="AV380" s="3">
        <v>100</v>
      </c>
      <c r="AW380" s="3" t="s">
        <v>74</v>
      </c>
      <c r="AX380" s="3" t="s">
        <v>74</v>
      </c>
      <c r="AY380" s="3" t="s">
        <v>74</v>
      </c>
      <c r="AZ380" s="3" t="s">
        <v>74</v>
      </c>
      <c r="BA380" s="3" t="s">
        <v>74</v>
      </c>
      <c r="BB380" s="3" t="s">
        <v>74</v>
      </c>
      <c r="BC380" s="3" t="s">
        <v>74</v>
      </c>
      <c r="BD380" s="3">
        <v>103318</v>
      </c>
      <c r="BE380" s="3" t="s">
        <v>7855</v>
      </c>
      <c r="BF380" s="3" t="str">
        <f>HYPERLINK("http://dx.doi.org/10.1016/j.jtrangeo.2022.103318","http://dx.doi.org/10.1016/j.jtrangeo.2022.103318")</f>
        <v>http://dx.doi.org/10.1016/j.jtrangeo.2022.103318</v>
      </c>
      <c r="BG380" s="3" t="s">
        <v>74</v>
      </c>
      <c r="BH380" s="3" t="s">
        <v>1059</v>
      </c>
      <c r="BI380" s="3">
        <v>12</v>
      </c>
      <c r="BJ380" s="3" t="s">
        <v>7856</v>
      </c>
      <c r="BK380" s="3" t="s">
        <v>264</v>
      </c>
      <c r="BL380" s="3" t="s">
        <v>7857</v>
      </c>
      <c r="BM380" s="3" t="s">
        <v>7858</v>
      </c>
      <c r="BN380" s="3" t="s">
        <v>74</v>
      </c>
      <c r="BO380" s="3" t="s">
        <v>74</v>
      </c>
      <c r="BP380" s="3" t="s">
        <v>74</v>
      </c>
      <c r="BQ380" s="3" t="s">
        <v>74</v>
      </c>
      <c r="BR380" s="3" t="s">
        <v>101</v>
      </c>
      <c r="BS380" s="3" t="s">
        <v>7859</v>
      </c>
      <c r="BT380" s="3" t="str">
        <f>HYPERLINK("https%3A%2F%2Fwww.webofscience.com%2Fwos%2Fwoscc%2Ffull-record%2FWOS:000783881300001","View Full Record in Web of Science")</f>
        <v>View Full Record in Web of Science</v>
      </c>
      <c r="BU380" s="3"/>
      <c r="BV380" s="3"/>
      <c r="BW380" s="1"/>
    </row>
    <row r="381" spans="1:75" x14ac:dyDescent="0.25">
      <c r="A381" s="3" t="s">
        <v>72</v>
      </c>
      <c r="B381" s="3" t="s">
        <v>7860</v>
      </c>
      <c r="C381" s="3" t="s">
        <v>74</v>
      </c>
      <c r="D381" s="3" t="s">
        <v>74</v>
      </c>
      <c r="E381" s="3" t="s">
        <v>74</v>
      </c>
      <c r="F381" s="3" t="s">
        <v>7861</v>
      </c>
      <c r="G381" s="3" t="s">
        <v>74</v>
      </c>
      <c r="H381" s="3" t="s">
        <v>74</v>
      </c>
      <c r="I381" s="3" t="s">
        <v>7862</v>
      </c>
      <c r="J381" s="3" t="s">
        <v>7863</v>
      </c>
      <c r="K381" s="3" t="s">
        <v>74</v>
      </c>
      <c r="L381" s="3" t="s">
        <v>74</v>
      </c>
      <c r="M381" s="3" t="s">
        <v>110</v>
      </c>
      <c r="N381" s="3" t="s">
        <v>79</v>
      </c>
      <c r="O381" s="3" t="s">
        <v>74</v>
      </c>
      <c r="P381" s="3" t="s">
        <v>74</v>
      </c>
      <c r="Q381" s="3" t="s">
        <v>74</v>
      </c>
      <c r="R381" s="3" t="s">
        <v>74</v>
      </c>
      <c r="S381" s="3" t="s">
        <v>74</v>
      </c>
      <c r="T381" s="3" t="s">
        <v>7864</v>
      </c>
      <c r="U381" s="3" t="s">
        <v>7865</v>
      </c>
      <c r="V381" s="3" t="s">
        <v>7866</v>
      </c>
      <c r="W381" s="3" t="s">
        <v>7867</v>
      </c>
      <c r="X381" s="3" t="s">
        <v>7868</v>
      </c>
      <c r="Y381" s="3" t="s">
        <v>7869</v>
      </c>
      <c r="Z381" s="3" t="s">
        <v>7870</v>
      </c>
      <c r="AA381" s="3" t="s">
        <v>7871</v>
      </c>
      <c r="AB381" s="3" t="s">
        <v>7872</v>
      </c>
      <c r="AC381" s="3" t="s">
        <v>74</v>
      </c>
      <c r="AD381" s="3" t="s">
        <v>74</v>
      </c>
      <c r="AE381" s="3" t="s">
        <v>74</v>
      </c>
      <c r="AF381" s="3" t="s">
        <v>74</v>
      </c>
      <c r="AG381" s="3">
        <v>126</v>
      </c>
      <c r="AH381" s="3">
        <v>41</v>
      </c>
      <c r="AI381" s="3">
        <v>57</v>
      </c>
      <c r="AJ381" s="3">
        <v>2</v>
      </c>
      <c r="AK381" s="3">
        <v>69</v>
      </c>
      <c r="AL381" s="3" t="s">
        <v>671</v>
      </c>
      <c r="AM381" s="3" t="s">
        <v>124</v>
      </c>
      <c r="AN381" s="3" t="s">
        <v>672</v>
      </c>
      <c r="AO381" s="3" t="s">
        <v>7873</v>
      </c>
      <c r="AP381" s="3" t="s">
        <v>7874</v>
      </c>
      <c r="AQ381" s="3" t="s">
        <v>74</v>
      </c>
      <c r="AR381" s="3" t="s">
        <v>7875</v>
      </c>
      <c r="AS381" s="3" t="s">
        <v>7876</v>
      </c>
      <c r="AT381" s="3" t="s">
        <v>151</v>
      </c>
      <c r="AU381" s="3">
        <v>2022</v>
      </c>
      <c r="AV381" s="3">
        <v>88</v>
      </c>
      <c r="AW381" s="3" t="s">
        <v>74</v>
      </c>
      <c r="AX381" s="3" t="s">
        <v>74</v>
      </c>
      <c r="AY381" s="3" t="s">
        <v>74</v>
      </c>
      <c r="AZ381" s="3" t="s">
        <v>74</v>
      </c>
      <c r="BA381" s="3" t="s">
        <v>74</v>
      </c>
      <c r="BB381" s="3">
        <v>218</v>
      </c>
      <c r="BC381" s="3">
        <v>248</v>
      </c>
      <c r="BD381" s="3" t="s">
        <v>74</v>
      </c>
      <c r="BE381" s="3" t="s">
        <v>7877</v>
      </c>
      <c r="BF381" s="3" t="str">
        <f>HYPERLINK("http://dx.doi.org/10.1016/j.inffus.2022.07.020","http://dx.doi.org/10.1016/j.inffus.2022.07.020")</f>
        <v>http://dx.doi.org/10.1016/j.inffus.2022.07.020</v>
      </c>
      <c r="BG381" s="3" t="s">
        <v>74</v>
      </c>
      <c r="BH381" s="3" t="s">
        <v>3800</v>
      </c>
      <c r="BI381" s="3">
        <v>31</v>
      </c>
      <c r="BJ381" s="3" t="s">
        <v>2278</v>
      </c>
      <c r="BK381" s="3" t="s">
        <v>179</v>
      </c>
      <c r="BL381" s="3" t="s">
        <v>486</v>
      </c>
      <c r="BM381" s="3" t="s">
        <v>7878</v>
      </c>
      <c r="BN381" s="3" t="s">
        <v>74</v>
      </c>
      <c r="BO381" s="3" t="s">
        <v>74</v>
      </c>
      <c r="BP381" s="3" t="s">
        <v>74</v>
      </c>
      <c r="BQ381" s="3" t="s">
        <v>74</v>
      </c>
      <c r="BR381" s="3" t="s">
        <v>101</v>
      </c>
      <c r="BS381" s="3" t="s">
        <v>7879</v>
      </c>
      <c r="BT381" s="3" t="str">
        <f>HYPERLINK("https%3A%2F%2Fwww.webofscience.com%2Fwos%2Fwoscc%2Ffull-record%2FWOS:000841809500001","View Full Record in Web of Science")</f>
        <v>View Full Record in Web of Science</v>
      </c>
      <c r="BU381" s="3"/>
      <c r="BV381" s="3"/>
      <c r="BW381" s="1"/>
    </row>
    <row r="382" spans="1:75" x14ac:dyDescent="0.25">
      <c r="A382" s="3" t="s">
        <v>72</v>
      </c>
      <c r="B382" s="3" t="s">
        <v>7880</v>
      </c>
      <c r="C382" s="3" t="s">
        <v>74</v>
      </c>
      <c r="D382" s="3" t="s">
        <v>74</v>
      </c>
      <c r="E382" s="3" t="s">
        <v>74</v>
      </c>
      <c r="F382" s="3" t="s">
        <v>7881</v>
      </c>
      <c r="G382" s="3" t="s">
        <v>74</v>
      </c>
      <c r="H382" s="3" t="s">
        <v>74</v>
      </c>
      <c r="I382" s="3" t="s">
        <v>7882</v>
      </c>
      <c r="J382" s="3" t="s">
        <v>7883</v>
      </c>
      <c r="K382" s="3" t="s">
        <v>74</v>
      </c>
      <c r="L382" s="3" t="s">
        <v>74</v>
      </c>
      <c r="M382" s="3" t="s">
        <v>110</v>
      </c>
      <c r="N382" s="3" t="s">
        <v>79</v>
      </c>
      <c r="O382" s="3" t="s">
        <v>74</v>
      </c>
      <c r="P382" s="3" t="s">
        <v>74</v>
      </c>
      <c r="Q382" s="3" t="s">
        <v>74</v>
      </c>
      <c r="R382" s="3" t="s">
        <v>74</v>
      </c>
      <c r="S382" s="3" t="s">
        <v>74</v>
      </c>
      <c r="T382" s="3" t="s">
        <v>7884</v>
      </c>
      <c r="U382" s="3" t="s">
        <v>7885</v>
      </c>
      <c r="V382" s="3" t="s">
        <v>7886</v>
      </c>
      <c r="W382" s="3" t="s">
        <v>7887</v>
      </c>
      <c r="X382" s="3" t="s">
        <v>7888</v>
      </c>
      <c r="Y382" s="3" t="s">
        <v>7889</v>
      </c>
      <c r="Z382" s="3" t="s">
        <v>7890</v>
      </c>
      <c r="AA382" s="3" t="s">
        <v>7891</v>
      </c>
      <c r="AB382" s="3" t="s">
        <v>7892</v>
      </c>
      <c r="AC382" s="3" t="s">
        <v>7893</v>
      </c>
      <c r="AD382" s="3" t="s">
        <v>7894</v>
      </c>
      <c r="AE382" s="3" t="s">
        <v>7895</v>
      </c>
      <c r="AF382" s="3" t="s">
        <v>74</v>
      </c>
      <c r="AG382" s="3">
        <v>127</v>
      </c>
      <c r="AH382" s="3">
        <v>117</v>
      </c>
      <c r="AI382" s="3">
        <v>138</v>
      </c>
      <c r="AJ382" s="3">
        <v>2</v>
      </c>
      <c r="AK382" s="3">
        <v>114</v>
      </c>
      <c r="AL382" s="3" t="s">
        <v>254</v>
      </c>
      <c r="AM382" s="3" t="s">
        <v>305</v>
      </c>
      <c r="AN382" s="3" t="s">
        <v>7896</v>
      </c>
      <c r="AO382" s="3" t="s">
        <v>7897</v>
      </c>
      <c r="AP382" s="3" t="s">
        <v>7898</v>
      </c>
      <c r="AQ382" s="3" t="s">
        <v>74</v>
      </c>
      <c r="AR382" s="3" t="s">
        <v>7899</v>
      </c>
      <c r="AS382" s="3" t="s">
        <v>7900</v>
      </c>
      <c r="AT382" s="3" t="s">
        <v>592</v>
      </c>
      <c r="AU382" s="3">
        <v>2017</v>
      </c>
      <c r="AV382" s="3">
        <v>61</v>
      </c>
      <c r="AW382" s="3" t="s">
        <v>74</v>
      </c>
      <c r="AX382" s="3" t="s">
        <v>74</v>
      </c>
      <c r="AY382" s="3" t="s">
        <v>74</v>
      </c>
      <c r="AZ382" s="3" t="s">
        <v>74</v>
      </c>
      <c r="BA382" s="3" t="s">
        <v>74</v>
      </c>
      <c r="BB382" s="3">
        <v>215</v>
      </c>
      <c r="BC382" s="3">
        <v>223</v>
      </c>
      <c r="BD382" s="3" t="s">
        <v>74</v>
      </c>
      <c r="BE382" s="3" t="s">
        <v>7901</v>
      </c>
      <c r="BF382" s="3" t="str">
        <f>HYPERLINK("http://dx.doi.org/10.1016/j.polgeo.2017.08.009","http://dx.doi.org/10.1016/j.polgeo.2017.08.009")</f>
        <v>http://dx.doi.org/10.1016/j.polgeo.2017.08.009</v>
      </c>
      <c r="BG382" s="3" t="s">
        <v>74</v>
      </c>
      <c r="BH382" s="3" t="s">
        <v>74</v>
      </c>
      <c r="BI382" s="3">
        <v>9</v>
      </c>
      <c r="BJ382" s="3" t="s">
        <v>7902</v>
      </c>
      <c r="BK382" s="3" t="s">
        <v>264</v>
      </c>
      <c r="BL382" s="3" t="s">
        <v>7903</v>
      </c>
      <c r="BM382" s="3" t="s">
        <v>7904</v>
      </c>
      <c r="BN382" s="3" t="s">
        <v>74</v>
      </c>
      <c r="BO382" s="3" t="s">
        <v>683</v>
      </c>
      <c r="BP382" s="3" t="s">
        <v>74</v>
      </c>
      <c r="BQ382" s="3" t="s">
        <v>74</v>
      </c>
      <c r="BR382" s="3" t="s">
        <v>101</v>
      </c>
      <c r="BS382" s="3" t="s">
        <v>7905</v>
      </c>
      <c r="BT382" s="3" t="str">
        <f>HYPERLINK("https%3A%2F%2Fwww.webofscience.com%2Fwos%2Fwoscc%2Ffull-record%2FWOS:000416879900019","View Full Record in Web of Science")</f>
        <v>View Full Record in Web of Science</v>
      </c>
      <c r="BU382" s="3"/>
      <c r="BV382" s="3"/>
      <c r="BW382" s="1"/>
    </row>
    <row r="383" spans="1:75" x14ac:dyDescent="0.25">
      <c r="A383" s="3" t="s">
        <v>72</v>
      </c>
      <c r="B383" s="3" t="s">
        <v>7906</v>
      </c>
      <c r="C383" s="3" t="s">
        <v>74</v>
      </c>
      <c r="D383" s="3" t="s">
        <v>74</v>
      </c>
      <c r="E383" s="3" t="s">
        <v>74</v>
      </c>
      <c r="F383" s="3" t="s">
        <v>7907</v>
      </c>
      <c r="G383" s="3" t="s">
        <v>74</v>
      </c>
      <c r="H383" s="3" t="s">
        <v>74</v>
      </c>
      <c r="I383" s="3" t="s">
        <v>7908</v>
      </c>
      <c r="J383" s="3" t="s">
        <v>1861</v>
      </c>
      <c r="K383" s="3" t="s">
        <v>74</v>
      </c>
      <c r="L383" s="3" t="s">
        <v>74</v>
      </c>
      <c r="M383" s="3" t="s">
        <v>110</v>
      </c>
      <c r="N383" s="3" t="s">
        <v>79</v>
      </c>
      <c r="O383" s="3" t="s">
        <v>74</v>
      </c>
      <c r="P383" s="3" t="s">
        <v>74</v>
      </c>
      <c r="Q383" s="3" t="s">
        <v>74</v>
      </c>
      <c r="R383" s="3" t="s">
        <v>74</v>
      </c>
      <c r="S383" s="3" t="s">
        <v>74</v>
      </c>
      <c r="T383" s="3" t="s">
        <v>7909</v>
      </c>
      <c r="U383" s="3" t="s">
        <v>7910</v>
      </c>
      <c r="V383" s="3" t="s">
        <v>7911</v>
      </c>
      <c r="W383" s="3" t="s">
        <v>7912</v>
      </c>
      <c r="X383" s="3" t="s">
        <v>7913</v>
      </c>
      <c r="Y383" s="3" t="s">
        <v>7914</v>
      </c>
      <c r="Z383" s="3" t="s">
        <v>7915</v>
      </c>
      <c r="AA383" s="3" t="s">
        <v>7916</v>
      </c>
      <c r="AB383" s="3" t="s">
        <v>7917</v>
      </c>
      <c r="AC383" s="3" t="s">
        <v>7918</v>
      </c>
      <c r="AD383" s="3" t="s">
        <v>7918</v>
      </c>
      <c r="AE383" s="3" t="s">
        <v>7919</v>
      </c>
      <c r="AF383" s="3" t="s">
        <v>74</v>
      </c>
      <c r="AG383" s="3">
        <v>46</v>
      </c>
      <c r="AH383" s="3">
        <v>8</v>
      </c>
      <c r="AI383" s="3">
        <v>8</v>
      </c>
      <c r="AJ383" s="3">
        <v>1</v>
      </c>
      <c r="AK383" s="3">
        <v>7</v>
      </c>
      <c r="AL383" s="3" t="s">
        <v>145</v>
      </c>
      <c r="AM383" s="3" t="s">
        <v>146</v>
      </c>
      <c r="AN383" s="3" t="s">
        <v>147</v>
      </c>
      <c r="AO383" s="3" t="s">
        <v>74</v>
      </c>
      <c r="AP383" s="3" t="s">
        <v>1873</v>
      </c>
      <c r="AQ383" s="3" t="s">
        <v>74</v>
      </c>
      <c r="AR383" s="3" t="s">
        <v>1874</v>
      </c>
      <c r="AS383" s="3" t="s">
        <v>1875</v>
      </c>
      <c r="AT383" s="3" t="s">
        <v>151</v>
      </c>
      <c r="AU383" s="3">
        <v>2022</v>
      </c>
      <c r="AV383" s="3">
        <v>12</v>
      </c>
      <c r="AW383" s="3">
        <v>23</v>
      </c>
      <c r="AX383" s="3" t="s">
        <v>74</v>
      </c>
      <c r="AY383" s="3" t="s">
        <v>74</v>
      </c>
      <c r="AZ383" s="3" t="s">
        <v>74</v>
      </c>
      <c r="BA383" s="3" t="s">
        <v>74</v>
      </c>
      <c r="BB383" s="3" t="s">
        <v>74</v>
      </c>
      <c r="BC383" s="3" t="s">
        <v>74</v>
      </c>
      <c r="BD383" s="3">
        <v>12267</v>
      </c>
      <c r="BE383" s="3" t="s">
        <v>7920</v>
      </c>
      <c r="BF383" s="3" t="str">
        <f>HYPERLINK("http://dx.doi.org/10.3390/app122312267","http://dx.doi.org/10.3390/app122312267")</f>
        <v>http://dx.doi.org/10.3390/app122312267</v>
      </c>
      <c r="BG383" s="3" t="s">
        <v>74</v>
      </c>
      <c r="BH383" s="3" t="s">
        <v>74</v>
      </c>
      <c r="BI383" s="3">
        <v>28</v>
      </c>
      <c r="BJ383" s="3" t="s">
        <v>1877</v>
      </c>
      <c r="BK383" s="3" t="s">
        <v>179</v>
      </c>
      <c r="BL383" s="3" t="s">
        <v>1878</v>
      </c>
      <c r="BM383" s="3" t="s">
        <v>7921</v>
      </c>
      <c r="BN383" s="3" t="s">
        <v>74</v>
      </c>
      <c r="BO383" s="3" t="s">
        <v>133</v>
      </c>
      <c r="BP383" s="3" t="s">
        <v>74</v>
      </c>
      <c r="BQ383" s="3" t="s">
        <v>74</v>
      </c>
      <c r="BR383" s="3" t="s">
        <v>101</v>
      </c>
      <c r="BS383" s="3" t="s">
        <v>7922</v>
      </c>
      <c r="BT383" s="3" t="str">
        <f>HYPERLINK("https%3A%2F%2Fwww.webofscience.com%2Fwos%2Fwoscc%2Ffull-record%2FWOS:000895723200001","View Full Record in Web of Science")</f>
        <v>View Full Record in Web of Science</v>
      </c>
      <c r="BU383" s="3"/>
      <c r="BV383" s="3"/>
      <c r="BW383" s="1"/>
    </row>
    <row r="384" spans="1:75" x14ac:dyDescent="0.25">
      <c r="A384" s="3" t="s">
        <v>72</v>
      </c>
      <c r="B384" s="3" t="s">
        <v>7923</v>
      </c>
      <c r="C384" s="3" t="s">
        <v>74</v>
      </c>
      <c r="D384" s="3" t="s">
        <v>74</v>
      </c>
      <c r="E384" s="3" t="s">
        <v>74</v>
      </c>
      <c r="F384" s="3" t="s">
        <v>7924</v>
      </c>
      <c r="G384" s="3" t="s">
        <v>74</v>
      </c>
      <c r="H384" s="3" t="s">
        <v>74</v>
      </c>
      <c r="I384" s="3" t="s">
        <v>7925</v>
      </c>
      <c r="J384" s="3" t="s">
        <v>292</v>
      </c>
      <c r="K384" s="3" t="s">
        <v>74</v>
      </c>
      <c r="L384" s="3" t="s">
        <v>74</v>
      </c>
      <c r="M384" s="3" t="s">
        <v>110</v>
      </c>
      <c r="N384" s="3" t="s">
        <v>79</v>
      </c>
      <c r="O384" s="3" t="s">
        <v>74</v>
      </c>
      <c r="P384" s="3" t="s">
        <v>74</v>
      </c>
      <c r="Q384" s="3" t="s">
        <v>74</v>
      </c>
      <c r="R384" s="3" t="s">
        <v>74</v>
      </c>
      <c r="S384" s="3" t="s">
        <v>74</v>
      </c>
      <c r="T384" s="3" t="s">
        <v>7926</v>
      </c>
      <c r="U384" s="3" t="s">
        <v>7927</v>
      </c>
      <c r="V384" s="3" t="s">
        <v>7928</v>
      </c>
      <c r="W384" s="3" t="s">
        <v>7929</v>
      </c>
      <c r="X384" s="3" t="s">
        <v>7930</v>
      </c>
      <c r="Y384" s="3" t="s">
        <v>7931</v>
      </c>
      <c r="Z384" s="3" t="s">
        <v>7932</v>
      </c>
      <c r="AA384" s="3" t="s">
        <v>7933</v>
      </c>
      <c r="AB384" s="3" t="s">
        <v>7934</v>
      </c>
      <c r="AC384" s="3" t="s">
        <v>74</v>
      </c>
      <c r="AD384" s="3" t="s">
        <v>74</v>
      </c>
      <c r="AE384" s="3" t="s">
        <v>74</v>
      </c>
      <c r="AF384" s="3" t="s">
        <v>74</v>
      </c>
      <c r="AG384" s="3">
        <v>67</v>
      </c>
      <c r="AH384" s="3">
        <v>22</v>
      </c>
      <c r="AI384" s="3">
        <v>24</v>
      </c>
      <c r="AJ384" s="3">
        <v>1</v>
      </c>
      <c r="AK384" s="3">
        <v>69</v>
      </c>
      <c r="AL384" s="3" t="s">
        <v>304</v>
      </c>
      <c r="AM384" s="3" t="s">
        <v>305</v>
      </c>
      <c r="AN384" s="3" t="s">
        <v>306</v>
      </c>
      <c r="AO384" s="3" t="s">
        <v>307</v>
      </c>
      <c r="AP384" s="3" t="s">
        <v>308</v>
      </c>
      <c r="AQ384" s="3" t="s">
        <v>74</v>
      </c>
      <c r="AR384" s="3" t="s">
        <v>309</v>
      </c>
      <c r="AS384" s="3" t="s">
        <v>310</v>
      </c>
      <c r="AT384" s="3" t="s">
        <v>7935</v>
      </c>
      <c r="AU384" s="3">
        <v>2021</v>
      </c>
      <c r="AV384" s="3">
        <v>46</v>
      </c>
      <c r="AW384" s="3">
        <v>28</v>
      </c>
      <c r="AX384" s="3" t="s">
        <v>74</v>
      </c>
      <c r="AY384" s="3" t="s">
        <v>74</v>
      </c>
      <c r="AZ384" s="3" t="s">
        <v>74</v>
      </c>
      <c r="BA384" s="3" t="s">
        <v>74</v>
      </c>
      <c r="BB384" s="3">
        <v>14844</v>
      </c>
      <c r="BC384" s="3">
        <v>14856</v>
      </c>
      <c r="BD384" s="3" t="s">
        <v>74</v>
      </c>
      <c r="BE384" s="3" t="s">
        <v>7936</v>
      </c>
      <c r="BF384" s="3" t="str">
        <f>HYPERLINK("http://dx.doi.org/10.1016/j.ijhydene.2021.01.205","http://dx.doi.org/10.1016/j.ijhydene.2021.01.205")</f>
        <v>http://dx.doi.org/10.1016/j.ijhydene.2021.01.205</v>
      </c>
      <c r="BG384" s="3" t="s">
        <v>74</v>
      </c>
      <c r="BH384" s="3" t="s">
        <v>4248</v>
      </c>
      <c r="BI384" s="3">
        <v>13</v>
      </c>
      <c r="BJ384" s="3" t="s">
        <v>314</v>
      </c>
      <c r="BK384" s="3" t="s">
        <v>179</v>
      </c>
      <c r="BL384" s="3" t="s">
        <v>315</v>
      </c>
      <c r="BM384" s="3" t="s">
        <v>7937</v>
      </c>
      <c r="BN384" s="3" t="s">
        <v>74</v>
      </c>
      <c r="BO384" s="3" t="s">
        <v>74</v>
      </c>
      <c r="BP384" s="3" t="s">
        <v>74</v>
      </c>
      <c r="BQ384" s="3" t="s">
        <v>74</v>
      </c>
      <c r="BR384" s="3" t="s">
        <v>101</v>
      </c>
      <c r="BS384" s="3" t="s">
        <v>7938</v>
      </c>
      <c r="BT384" s="3" t="str">
        <f>HYPERLINK("https%3A%2F%2Fwww.webofscience.com%2Fwos%2Fwoscc%2Ffull-record%2FWOS:000639329100006","View Full Record in Web of Science")</f>
        <v>View Full Record in Web of Science</v>
      </c>
      <c r="BU384" s="3"/>
      <c r="BV384" s="3"/>
      <c r="BW384" s="1"/>
    </row>
    <row r="385" spans="1:75" x14ac:dyDescent="0.25">
      <c r="A385" s="3" t="s">
        <v>72</v>
      </c>
      <c r="B385" s="3" t="s">
        <v>7939</v>
      </c>
      <c r="C385" s="3" t="s">
        <v>74</v>
      </c>
      <c r="D385" s="3" t="s">
        <v>74</v>
      </c>
      <c r="E385" s="3" t="s">
        <v>74</v>
      </c>
      <c r="F385" s="3" t="s">
        <v>7940</v>
      </c>
      <c r="G385" s="3" t="s">
        <v>74</v>
      </c>
      <c r="H385" s="3" t="s">
        <v>74</v>
      </c>
      <c r="I385" s="3" t="s">
        <v>7941</v>
      </c>
      <c r="J385" s="3" t="s">
        <v>138</v>
      </c>
      <c r="K385" s="3" t="s">
        <v>74</v>
      </c>
      <c r="L385" s="3" t="s">
        <v>74</v>
      </c>
      <c r="M385" s="3" t="s">
        <v>110</v>
      </c>
      <c r="N385" s="3" t="s">
        <v>216</v>
      </c>
      <c r="O385" s="3" t="s">
        <v>74</v>
      </c>
      <c r="P385" s="3" t="s">
        <v>74</v>
      </c>
      <c r="Q385" s="3" t="s">
        <v>74</v>
      </c>
      <c r="R385" s="3" t="s">
        <v>74</v>
      </c>
      <c r="S385" s="3" t="s">
        <v>74</v>
      </c>
      <c r="T385" s="3" t="s">
        <v>7942</v>
      </c>
      <c r="U385" s="3" t="s">
        <v>7943</v>
      </c>
      <c r="V385" s="3" t="s">
        <v>7944</v>
      </c>
      <c r="W385" s="3" t="s">
        <v>7945</v>
      </c>
      <c r="X385" s="3" t="s">
        <v>7946</v>
      </c>
      <c r="Y385" s="3" t="s">
        <v>7947</v>
      </c>
      <c r="Z385" s="3" t="s">
        <v>7948</v>
      </c>
      <c r="AA385" s="3" t="s">
        <v>7949</v>
      </c>
      <c r="AB385" s="3" t="s">
        <v>7950</v>
      </c>
      <c r="AC385" s="3" t="s">
        <v>74</v>
      </c>
      <c r="AD385" s="3" t="s">
        <v>74</v>
      </c>
      <c r="AE385" s="3" t="s">
        <v>74</v>
      </c>
      <c r="AF385" s="3" t="s">
        <v>74</v>
      </c>
      <c r="AG385" s="3">
        <v>86</v>
      </c>
      <c r="AH385" s="3">
        <v>293</v>
      </c>
      <c r="AI385" s="3">
        <v>343</v>
      </c>
      <c r="AJ385" s="3">
        <v>8</v>
      </c>
      <c r="AK385" s="3">
        <v>259</v>
      </c>
      <c r="AL385" s="3" t="s">
        <v>145</v>
      </c>
      <c r="AM385" s="3" t="s">
        <v>146</v>
      </c>
      <c r="AN385" s="3" t="s">
        <v>147</v>
      </c>
      <c r="AO385" s="3" t="s">
        <v>74</v>
      </c>
      <c r="AP385" s="3" t="s">
        <v>148</v>
      </c>
      <c r="AQ385" s="3" t="s">
        <v>74</v>
      </c>
      <c r="AR385" s="3" t="s">
        <v>149</v>
      </c>
      <c r="AS385" s="3" t="s">
        <v>150</v>
      </c>
      <c r="AT385" s="3" t="s">
        <v>949</v>
      </c>
      <c r="AU385" s="3">
        <v>2018</v>
      </c>
      <c r="AV385" s="3">
        <v>10</v>
      </c>
      <c r="AW385" s="3">
        <v>3</v>
      </c>
      <c r="AX385" s="3" t="s">
        <v>74</v>
      </c>
      <c r="AY385" s="3" t="s">
        <v>74</v>
      </c>
      <c r="AZ385" s="3" t="s">
        <v>74</v>
      </c>
      <c r="BA385" s="3" t="s">
        <v>74</v>
      </c>
      <c r="BB385" s="3" t="s">
        <v>74</v>
      </c>
      <c r="BC385" s="3" t="s">
        <v>74</v>
      </c>
      <c r="BD385" s="3">
        <v>782</v>
      </c>
      <c r="BE385" s="3" t="s">
        <v>7951</v>
      </c>
      <c r="BF385" s="3" t="str">
        <f>HYPERLINK("http://dx.doi.org/10.3390/su10030782","http://dx.doi.org/10.3390/su10030782")</f>
        <v>http://dx.doi.org/10.3390/su10030782</v>
      </c>
      <c r="BG385" s="3" t="s">
        <v>74</v>
      </c>
      <c r="BH385" s="3" t="s">
        <v>74</v>
      </c>
      <c r="BI385" s="3">
        <v>18</v>
      </c>
      <c r="BJ385" s="3" t="s">
        <v>153</v>
      </c>
      <c r="BK385" s="3" t="s">
        <v>154</v>
      </c>
      <c r="BL385" s="3" t="s">
        <v>155</v>
      </c>
      <c r="BM385" s="3" t="s">
        <v>7952</v>
      </c>
      <c r="BN385" s="3" t="s">
        <v>74</v>
      </c>
      <c r="BO385" s="3" t="s">
        <v>133</v>
      </c>
      <c r="BP385" s="3" t="s">
        <v>74</v>
      </c>
      <c r="BQ385" s="3" t="s">
        <v>74</v>
      </c>
      <c r="BR385" s="3" t="s">
        <v>101</v>
      </c>
      <c r="BS385" s="3" t="s">
        <v>7953</v>
      </c>
      <c r="BT385" s="3" t="str">
        <f>HYPERLINK("https%3A%2F%2Fwww.webofscience.com%2Fwos%2Fwoscc%2Ffull-record%2FWOS:000428567100209","View Full Record in Web of Science")</f>
        <v>View Full Record in Web of Science</v>
      </c>
      <c r="BU385" s="3"/>
      <c r="BV385" s="3"/>
      <c r="BW385" s="1"/>
    </row>
    <row r="386" spans="1:75" x14ac:dyDescent="0.25">
      <c r="A386" s="3" t="s">
        <v>103</v>
      </c>
      <c r="B386" s="3" t="s">
        <v>7954</v>
      </c>
      <c r="C386" s="3" t="s">
        <v>74</v>
      </c>
      <c r="D386" s="3" t="s">
        <v>7955</v>
      </c>
      <c r="E386" s="3" t="s">
        <v>74</v>
      </c>
      <c r="F386" s="3" t="s">
        <v>7956</v>
      </c>
      <c r="G386" s="3" t="s">
        <v>74</v>
      </c>
      <c r="H386" s="3" t="s">
        <v>74</v>
      </c>
      <c r="I386" s="3" t="s">
        <v>7957</v>
      </c>
      <c r="J386" s="3" t="s">
        <v>7958</v>
      </c>
      <c r="K386" s="3" t="s">
        <v>3925</v>
      </c>
      <c r="L386" s="3" t="s">
        <v>74</v>
      </c>
      <c r="M386" s="3" t="s">
        <v>110</v>
      </c>
      <c r="N386" s="3" t="s">
        <v>111</v>
      </c>
      <c r="O386" s="3" t="s">
        <v>7959</v>
      </c>
      <c r="P386" s="3" t="s">
        <v>7960</v>
      </c>
      <c r="Q386" s="3" t="s">
        <v>642</v>
      </c>
      <c r="R386" s="3" t="s">
        <v>74</v>
      </c>
      <c r="S386" s="3" t="s">
        <v>74</v>
      </c>
      <c r="T386" s="3" t="s">
        <v>74</v>
      </c>
      <c r="U386" s="3" t="s">
        <v>74</v>
      </c>
      <c r="V386" s="3" t="s">
        <v>7961</v>
      </c>
      <c r="W386" s="3" t="s">
        <v>7962</v>
      </c>
      <c r="X386" s="3" t="s">
        <v>7963</v>
      </c>
      <c r="Y386" s="3" t="s">
        <v>7964</v>
      </c>
      <c r="Z386" s="3" t="s">
        <v>7965</v>
      </c>
      <c r="AA386" s="3" t="s">
        <v>7966</v>
      </c>
      <c r="AB386" s="3" t="s">
        <v>7967</v>
      </c>
      <c r="AC386" s="3" t="s">
        <v>74</v>
      </c>
      <c r="AD386" s="3" t="s">
        <v>74</v>
      </c>
      <c r="AE386" s="3" t="s">
        <v>74</v>
      </c>
      <c r="AF386" s="3" t="s">
        <v>74</v>
      </c>
      <c r="AG386" s="3">
        <v>8</v>
      </c>
      <c r="AH386" s="3">
        <v>6</v>
      </c>
      <c r="AI386" s="3">
        <v>8</v>
      </c>
      <c r="AJ386" s="3">
        <v>1</v>
      </c>
      <c r="AK386" s="3">
        <v>2</v>
      </c>
      <c r="AL386" s="3" t="s">
        <v>374</v>
      </c>
      <c r="AM386" s="3" t="s">
        <v>375</v>
      </c>
      <c r="AN386" s="3" t="s">
        <v>376</v>
      </c>
      <c r="AO386" s="3" t="s">
        <v>3933</v>
      </c>
      <c r="AP386" s="3" t="s">
        <v>3934</v>
      </c>
      <c r="AQ386" s="3" t="s">
        <v>7968</v>
      </c>
      <c r="AR386" s="3" t="s">
        <v>3936</v>
      </c>
      <c r="AS386" s="3" t="s">
        <v>74</v>
      </c>
      <c r="AT386" s="3" t="s">
        <v>74</v>
      </c>
      <c r="AU386" s="3">
        <v>2022</v>
      </c>
      <c r="AV386" s="3">
        <v>263</v>
      </c>
      <c r="AW386" s="3" t="s">
        <v>74</v>
      </c>
      <c r="AX386" s="3" t="s">
        <v>74</v>
      </c>
      <c r="AY386" s="3" t="s">
        <v>74</v>
      </c>
      <c r="AZ386" s="3" t="s">
        <v>74</v>
      </c>
      <c r="BA386" s="3" t="s">
        <v>74</v>
      </c>
      <c r="BB386" s="3">
        <v>255</v>
      </c>
      <c r="BC386" s="3">
        <v>266</v>
      </c>
      <c r="BD386" s="3" t="s">
        <v>74</v>
      </c>
      <c r="BE386" s="3" t="s">
        <v>7969</v>
      </c>
      <c r="BF386" s="3" t="str">
        <f>HYPERLINK("http://dx.doi.org/10.1007/978-981-16-6269-0_22","http://dx.doi.org/10.1007/978-981-16-6269-0_22")</f>
        <v>http://dx.doi.org/10.1007/978-981-16-6269-0_22</v>
      </c>
      <c r="BG386" s="3" t="s">
        <v>74</v>
      </c>
      <c r="BH386" s="3" t="s">
        <v>74</v>
      </c>
      <c r="BI386" s="3">
        <v>12</v>
      </c>
      <c r="BJ386" s="3" t="s">
        <v>7970</v>
      </c>
      <c r="BK386" s="3" t="s">
        <v>208</v>
      </c>
      <c r="BL386" s="3" t="s">
        <v>7971</v>
      </c>
      <c r="BM386" s="3" t="s">
        <v>7972</v>
      </c>
      <c r="BN386" s="3" t="s">
        <v>74</v>
      </c>
      <c r="BO386" s="3" t="s">
        <v>74</v>
      </c>
      <c r="BP386" s="3" t="s">
        <v>74</v>
      </c>
      <c r="BQ386" s="3" t="s">
        <v>74</v>
      </c>
      <c r="BR386" s="3" t="s">
        <v>101</v>
      </c>
      <c r="BS386" s="3" t="s">
        <v>7973</v>
      </c>
      <c r="BT386" s="3" t="str">
        <f>HYPERLINK("https%3A%2F%2Fwww.webofscience.com%2Fwos%2Fwoscc%2Ffull-record%2FWOS:000866531300022","View Full Record in Web of Science")</f>
        <v>View Full Record in Web of Science</v>
      </c>
      <c r="BU386" s="3"/>
      <c r="BV386" s="3"/>
      <c r="BW386" s="1"/>
    </row>
    <row r="387" spans="1:75" x14ac:dyDescent="0.25">
      <c r="A387" s="3" t="s">
        <v>72</v>
      </c>
      <c r="B387" s="3" t="s">
        <v>7974</v>
      </c>
      <c r="C387" s="3" t="s">
        <v>74</v>
      </c>
      <c r="D387" s="3" t="s">
        <v>74</v>
      </c>
      <c r="E387" s="3" t="s">
        <v>74</v>
      </c>
      <c r="F387" s="3" t="s">
        <v>7975</v>
      </c>
      <c r="G387" s="3" t="s">
        <v>74</v>
      </c>
      <c r="H387" s="3" t="s">
        <v>74</v>
      </c>
      <c r="I387" s="3" t="s">
        <v>7976</v>
      </c>
      <c r="J387" s="3" t="s">
        <v>2849</v>
      </c>
      <c r="K387" s="3" t="s">
        <v>74</v>
      </c>
      <c r="L387" s="3" t="s">
        <v>74</v>
      </c>
      <c r="M387" s="3" t="s">
        <v>110</v>
      </c>
      <c r="N387" s="3" t="s">
        <v>79</v>
      </c>
      <c r="O387" s="3" t="s">
        <v>74</v>
      </c>
      <c r="P387" s="3" t="s">
        <v>74</v>
      </c>
      <c r="Q387" s="3" t="s">
        <v>74</v>
      </c>
      <c r="R387" s="3" t="s">
        <v>74</v>
      </c>
      <c r="S387" s="3" t="s">
        <v>74</v>
      </c>
      <c r="T387" s="3" t="s">
        <v>7977</v>
      </c>
      <c r="U387" s="3" t="s">
        <v>7978</v>
      </c>
      <c r="V387" s="3" t="s">
        <v>7979</v>
      </c>
      <c r="W387" s="3" t="s">
        <v>7980</v>
      </c>
      <c r="X387" s="3" t="s">
        <v>7981</v>
      </c>
      <c r="Y387" s="3" t="s">
        <v>7982</v>
      </c>
      <c r="Z387" s="3" t="s">
        <v>7983</v>
      </c>
      <c r="AA387" s="3" t="s">
        <v>7984</v>
      </c>
      <c r="AB387" s="3" t="s">
        <v>7985</v>
      </c>
      <c r="AC387" s="3" t="s">
        <v>74</v>
      </c>
      <c r="AD387" s="3" t="s">
        <v>74</v>
      </c>
      <c r="AE387" s="3" t="s">
        <v>74</v>
      </c>
      <c r="AF387" s="3" t="s">
        <v>74</v>
      </c>
      <c r="AG387" s="3">
        <v>60</v>
      </c>
      <c r="AH387" s="3">
        <v>6</v>
      </c>
      <c r="AI387" s="3">
        <v>7</v>
      </c>
      <c r="AJ387" s="3">
        <v>1</v>
      </c>
      <c r="AK387" s="3">
        <v>23</v>
      </c>
      <c r="AL387" s="3" t="s">
        <v>304</v>
      </c>
      <c r="AM387" s="3" t="s">
        <v>305</v>
      </c>
      <c r="AN387" s="3" t="s">
        <v>306</v>
      </c>
      <c r="AO387" s="3" t="s">
        <v>2859</v>
      </c>
      <c r="AP387" s="3" t="s">
        <v>2860</v>
      </c>
      <c r="AQ387" s="3" t="s">
        <v>74</v>
      </c>
      <c r="AR387" s="3" t="s">
        <v>2861</v>
      </c>
      <c r="AS387" s="3" t="s">
        <v>2862</v>
      </c>
      <c r="AT387" s="3" t="s">
        <v>151</v>
      </c>
      <c r="AU387" s="3">
        <v>2022</v>
      </c>
      <c r="AV387" s="3">
        <v>174</v>
      </c>
      <c r="AW387" s="3" t="s">
        <v>74</v>
      </c>
      <c r="AX387" s="3" t="s">
        <v>74</v>
      </c>
      <c r="AY387" s="3" t="s">
        <v>74</v>
      </c>
      <c r="AZ387" s="3" t="s">
        <v>74</v>
      </c>
      <c r="BA387" s="3" t="s">
        <v>74</v>
      </c>
      <c r="BB387" s="3" t="s">
        <v>74</v>
      </c>
      <c r="BC387" s="3" t="s">
        <v>74</v>
      </c>
      <c r="BD387" s="3">
        <v>108756</v>
      </c>
      <c r="BE387" s="3" t="s">
        <v>7986</v>
      </c>
      <c r="BF387" s="3" t="str">
        <f>HYPERLINK("http://dx.doi.org/10.1016/j.cie.2022.108756","http://dx.doi.org/10.1016/j.cie.2022.108756")</f>
        <v>http://dx.doi.org/10.1016/j.cie.2022.108756</v>
      </c>
      <c r="BG387" s="3" t="s">
        <v>74</v>
      </c>
      <c r="BH387" s="3" t="s">
        <v>882</v>
      </c>
      <c r="BI387" s="3">
        <v>8</v>
      </c>
      <c r="BJ387" s="3" t="s">
        <v>2864</v>
      </c>
      <c r="BK387" s="3" t="s">
        <v>179</v>
      </c>
      <c r="BL387" s="3" t="s">
        <v>383</v>
      </c>
      <c r="BM387" s="3" t="s">
        <v>7987</v>
      </c>
      <c r="BN387" s="3" t="s">
        <v>74</v>
      </c>
      <c r="BO387" s="3" t="s">
        <v>3738</v>
      </c>
      <c r="BP387" s="3" t="s">
        <v>74</v>
      </c>
      <c r="BQ387" s="3" t="s">
        <v>74</v>
      </c>
      <c r="BR387" s="3" t="s">
        <v>101</v>
      </c>
      <c r="BS387" s="3" t="s">
        <v>7988</v>
      </c>
      <c r="BT387" s="3" t="str">
        <f>HYPERLINK("https%3A%2F%2Fwww.webofscience.com%2Fwos%2Fwoscc%2Ffull-record%2FWOS:000879883800007","View Full Record in Web of Science")</f>
        <v>View Full Record in Web of Science</v>
      </c>
      <c r="BU387" s="3"/>
      <c r="BV387" s="3"/>
      <c r="BW387" s="1"/>
    </row>
    <row r="388" spans="1:75" x14ac:dyDescent="0.25">
      <c r="A388" s="3" t="s">
        <v>72</v>
      </c>
      <c r="B388" s="3" t="s">
        <v>7989</v>
      </c>
      <c r="C388" s="3" t="s">
        <v>74</v>
      </c>
      <c r="D388" s="3" t="s">
        <v>74</v>
      </c>
      <c r="E388" s="3" t="s">
        <v>74</v>
      </c>
      <c r="F388" s="3" t="s">
        <v>7990</v>
      </c>
      <c r="G388" s="3" t="s">
        <v>74</v>
      </c>
      <c r="H388" s="3" t="s">
        <v>74</v>
      </c>
      <c r="I388" s="3" t="s">
        <v>7991</v>
      </c>
      <c r="J388" s="3" t="s">
        <v>5514</v>
      </c>
      <c r="K388" s="3" t="s">
        <v>74</v>
      </c>
      <c r="L388" s="3" t="s">
        <v>74</v>
      </c>
      <c r="M388" s="3" t="s">
        <v>110</v>
      </c>
      <c r="N388" s="3" t="s">
        <v>216</v>
      </c>
      <c r="O388" s="3" t="s">
        <v>74</v>
      </c>
      <c r="P388" s="3" t="s">
        <v>74</v>
      </c>
      <c r="Q388" s="3" t="s">
        <v>74</v>
      </c>
      <c r="R388" s="3" t="s">
        <v>74</v>
      </c>
      <c r="S388" s="3" t="s">
        <v>74</v>
      </c>
      <c r="T388" s="3" t="s">
        <v>7992</v>
      </c>
      <c r="U388" s="3" t="s">
        <v>7993</v>
      </c>
      <c r="V388" s="3" t="s">
        <v>7994</v>
      </c>
      <c r="W388" s="3" t="s">
        <v>7995</v>
      </c>
      <c r="X388" s="3" t="s">
        <v>7996</v>
      </c>
      <c r="Y388" s="3" t="s">
        <v>7997</v>
      </c>
      <c r="Z388" s="3" t="s">
        <v>7998</v>
      </c>
      <c r="AA388" s="3" t="s">
        <v>7999</v>
      </c>
      <c r="AB388" s="3" t="s">
        <v>8000</v>
      </c>
      <c r="AC388" s="3" t="s">
        <v>8001</v>
      </c>
      <c r="AD388" s="3" t="s">
        <v>8002</v>
      </c>
      <c r="AE388" s="3" t="s">
        <v>8003</v>
      </c>
      <c r="AF388" s="3" t="s">
        <v>74</v>
      </c>
      <c r="AG388" s="3">
        <v>128</v>
      </c>
      <c r="AH388" s="3">
        <v>293</v>
      </c>
      <c r="AI388" s="3">
        <v>344</v>
      </c>
      <c r="AJ388" s="3">
        <v>5</v>
      </c>
      <c r="AK388" s="3">
        <v>314</v>
      </c>
      <c r="AL388" s="3" t="s">
        <v>1120</v>
      </c>
      <c r="AM388" s="3" t="s">
        <v>1121</v>
      </c>
      <c r="AN388" s="3" t="s">
        <v>1122</v>
      </c>
      <c r="AO388" s="3" t="s">
        <v>5524</v>
      </c>
      <c r="AP388" s="3" t="s">
        <v>5525</v>
      </c>
      <c r="AQ388" s="3" t="s">
        <v>74</v>
      </c>
      <c r="AR388" s="3" t="s">
        <v>5526</v>
      </c>
      <c r="AS388" s="3" t="s">
        <v>5527</v>
      </c>
      <c r="AT388" s="3" t="s">
        <v>608</v>
      </c>
      <c r="AU388" s="3">
        <v>2017</v>
      </c>
      <c r="AV388" s="3">
        <v>19</v>
      </c>
      <c r="AW388" s="3">
        <v>2</v>
      </c>
      <c r="AX388" s="3" t="s">
        <v>74</v>
      </c>
      <c r="AY388" s="3" t="s">
        <v>74</v>
      </c>
      <c r="AZ388" s="3" t="s">
        <v>74</v>
      </c>
      <c r="BA388" s="3" t="s">
        <v>74</v>
      </c>
      <c r="BB388" s="3">
        <v>385</v>
      </c>
      <c r="BC388" s="3">
        <v>418</v>
      </c>
      <c r="BD388" s="3" t="s">
        <v>74</v>
      </c>
      <c r="BE388" s="3" t="s">
        <v>8004</v>
      </c>
      <c r="BF388" s="3" t="str">
        <f>HYPERLINK("http://dx.doi.org/10.1007/s10668-016-9760-4","http://dx.doi.org/10.1007/s10668-016-9760-4")</f>
        <v>http://dx.doi.org/10.1007/s10668-016-9760-4</v>
      </c>
      <c r="BG388" s="3" t="s">
        <v>74</v>
      </c>
      <c r="BH388" s="3" t="s">
        <v>74</v>
      </c>
      <c r="BI388" s="3">
        <v>34</v>
      </c>
      <c r="BJ388" s="3" t="s">
        <v>5052</v>
      </c>
      <c r="BK388" s="3" t="s">
        <v>154</v>
      </c>
      <c r="BL388" s="3" t="s">
        <v>155</v>
      </c>
      <c r="BM388" s="3" t="s">
        <v>8005</v>
      </c>
      <c r="BN388" s="3" t="s">
        <v>74</v>
      </c>
      <c r="BO388" s="3" t="s">
        <v>3738</v>
      </c>
      <c r="BP388" s="3" t="s">
        <v>74</v>
      </c>
      <c r="BQ388" s="3" t="s">
        <v>74</v>
      </c>
      <c r="BR388" s="3" t="s">
        <v>101</v>
      </c>
      <c r="BS388" s="3" t="s">
        <v>8006</v>
      </c>
      <c r="BT388" s="3" t="str">
        <f>HYPERLINK("https%3A%2F%2Fwww.webofscience.com%2Fwos%2Fwoscc%2Ffull-record%2FWOS:000396109400003","View Full Record in Web of Science")</f>
        <v>View Full Record in Web of Science</v>
      </c>
      <c r="BU388" s="3"/>
      <c r="BV388" s="3"/>
      <c r="BW388" s="1"/>
    </row>
    <row r="389" spans="1:75" x14ac:dyDescent="0.25">
      <c r="A389" s="3" t="s">
        <v>72</v>
      </c>
      <c r="B389" s="3" t="s">
        <v>8007</v>
      </c>
      <c r="C389" s="3" t="s">
        <v>74</v>
      </c>
      <c r="D389" s="3" t="s">
        <v>74</v>
      </c>
      <c r="E389" s="3" t="s">
        <v>74</v>
      </c>
      <c r="F389" s="3" t="s">
        <v>8008</v>
      </c>
      <c r="G389" s="3" t="s">
        <v>74</v>
      </c>
      <c r="H389" s="3" t="s">
        <v>74</v>
      </c>
      <c r="I389" s="3" t="s">
        <v>8009</v>
      </c>
      <c r="J389" s="3" t="s">
        <v>138</v>
      </c>
      <c r="K389" s="3" t="s">
        <v>74</v>
      </c>
      <c r="L389" s="3" t="s">
        <v>74</v>
      </c>
      <c r="M389" s="3" t="s">
        <v>110</v>
      </c>
      <c r="N389" s="3" t="s">
        <v>79</v>
      </c>
      <c r="O389" s="3" t="s">
        <v>74</v>
      </c>
      <c r="P389" s="3" t="s">
        <v>74</v>
      </c>
      <c r="Q389" s="3" t="s">
        <v>74</v>
      </c>
      <c r="R389" s="3" t="s">
        <v>74</v>
      </c>
      <c r="S389" s="3" t="s">
        <v>74</v>
      </c>
      <c r="T389" s="3" t="s">
        <v>8010</v>
      </c>
      <c r="U389" s="3" t="s">
        <v>8011</v>
      </c>
      <c r="V389" s="3" t="s">
        <v>8012</v>
      </c>
      <c r="W389" s="3" t="s">
        <v>8013</v>
      </c>
      <c r="X389" s="3" t="s">
        <v>8014</v>
      </c>
      <c r="Y389" s="3" t="s">
        <v>8015</v>
      </c>
      <c r="Z389" s="3" t="s">
        <v>8016</v>
      </c>
      <c r="AA389" s="3" t="s">
        <v>8017</v>
      </c>
      <c r="AB389" s="3" t="s">
        <v>74</v>
      </c>
      <c r="AC389" s="3" t="s">
        <v>8018</v>
      </c>
      <c r="AD389" s="3" t="s">
        <v>8018</v>
      </c>
      <c r="AE389" s="3" t="s">
        <v>8019</v>
      </c>
      <c r="AF389" s="3" t="s">
        <v>74</v>
      </c>
      <c r="AG389" s="3">
        <v>50</v>
      </c>
      <c r="AH389" s="3">
        <v>28</v>
      </c>
      <c r="AI389" s="3">
        <v>34</v>
      </c>
      <c r="AJ389" s="3">
        <v>3</v>
      </c>
      <c r="AK389" s="3">
        <v>42</v>
      </c>
      <c r="AL389" s="3" t="s">
        <v>145</v>
      </c>
      <c r="AM389" s="3" t="s">
        <v>146</v>
      </c>
      <c r="AN389" s="3" t="s">
        <v>279</v>
      </c>
      <c r="AO389" s="3" t="s">
        <v>74</v>
      </c>
      <c r="AP389" s="3" t="s">
        <v>148</v>
      </c>
      <c r="AQ389" s="3" t="s">
        <v>74</v>
      </c>
      <c r="AR389" s="3" t="s">
        <v>149</v>
      </c>
      <c r="AS389" s="3" t="s">
        <v>150</v>
      </c>
      <c r="AT389" s="3" t="s">
        <v>1240</v>
      </c>
      <c r="AU389" s="3">
        <v>2020</v>
      </c>
      <c r="AV389" s="3">
        <v>12</v>
      </c>
      <c r="AW389" s="3">
        <v>10</v>
      </c>
      <c r="AX389" s="3" t="s">
        <v>74</v>
      </c>
      <c r="AY389" s="3" t="s">
        <v>74</v>
      </c>
      <c r="AZ389" s="3" t="s">
        <v>74</v>
      </c>
      <c r="BA389" s="3" t="s">
        <v>74</v>
      </c>
      <c r="BB389" s="3" t="s">
        <v>74</v>
      </c>
      <c r="BC389" s="3" t="s">
        <v>74</v>
      </c>
      <c r="BD389" s="3">
        <v>4082</v>
      </c>
      <c r="BE389" s="3" t="s">
        <v>8020</v>
      </c>
      <c r="BF389" s="3" t="str">
        <f>HYPERLINK("http://dx.doi.org/10.3390/su12104082","http://dx.doi.org/10.3390/su12104082")</f>
        <v>http://dx.doi.org/10.3390/su12104082</v>
      </c>
      <c r="BG389" s="3" t="s">
        <v>74</v>
      </c>
      <c r="BH389" s="3" t="s">
        <v>74</v>
      </c>
      <c r="BI389" s="3">
        <v>19</v>
      </c>
      <c r="BJ389" s="3" t="s">
        <v>153</v>
      </c>
      <c r="BK389" s="3" t="s">
        <v>154</v>
      </c>
      <c r="BL389" s="3" t="s">
        <v>155</v>
      </c>
      <c r="BM389" s="3" t="s">
        <v>8021</v>
      </c>
      <c r="BN389" s="3" t="s">
        <v>74</v>
      </c>
      <c r="BO389" s="3" t="s">
        <v>133</v>
      </c>
      <c r="BP389" s="3" t="s">
        <v>74</v>
      </c>
      <c r="BQ389" s="3" t="s">
        <v>74</v>
      </c>
      <c r="BR389" s="3" t="s">
        <v>101</v>
      </c>
      <c r="BS389" s="3" t="s">
        <v>8022</v>
      </c>
      <c r="BT389" s="3" t="str">
        <f>HYPERLINK("https%3A%2F%2Fwww.webofscience.com%2Fwos%2Fwoscc%2Ffull-record%2FWOS:000543421400140","View Full Record in Web of Science")</f>
        <v>View Full Record in Web of Science</v>
      </c>
      <c r="BU389" s="3"/>
      <c r="BV389" s="3"/>
      <c r="BW389" s="1"/>
    </row>
    <row r="390" spans="1:75" x14ac:dyDescent="0.25">
      <c r="A390" s="3" t="s">
        <v>72</v>
      </c>
      <c r="B390" s="3" t="s">
        <v>8023</v>
      </c>
      <c r="C390" s="3" t="s">
        <v>74</v>
      </c>
      <c r="D390" s="3" t="s">
        <v>74</v>
      </c>
      <c r="E390" s="3" t="s">
        <v>74</v>
      </c>
      <c r="F390" s="3" t="s">
        <v>8024</v>
      </c>
      <c r="G390" s="3" t="s">
        <v>74</v>
      </c>
      <c r="H390" s="3" t="s">
        <v>74</v>
      </c>
      <c r="I390" s="3" t="s">
        <v>8025</v>
      </c>
      <c r="J390" s="3" t="s">
        <v>1572</v>
      </c>
      <c r="K390" s="3" t="s">
        <v>74</v>
      </c>
      <c r="L390" s="3" t="s">
        <v>74</v>
      </c>
      <c r="M390" s="3" t="s">
        <v>110</v>
      </c>
      <c r="N390" s="3" t="s">
        <v>79</v>
      </c>
      <c r="O390" s="3" t="s">
        <v>74</v>
      </c>
      <c r="P390" s="3" t="s">
        <v>74</v>
      </c>
      <c r="Q390" s="3" t="s">
        <v>74</v>
      </c>
      <c r="R390" s="3" t="s">
        <v>74</v>
      </c>
      <c r="S390" s="3" t="s">
        <v>74</v>
      </c>
      <c r="T390" s="3" t="s">
        <v>8026</v>
      </c>
      <c r="U390" s="3" t="s">
        <v>2740</v>
      </c>
      <c r="V390" s="3" t="s">
        <v>8027</v>
      </c>
      <c r="W390" s="3" t="s">
        <v>8028</v>
      </c>
      <c r="X390" s="3" t="s">
        <v>8029</v>
      </c>
      <c r="Y390" s="3" t="s">
        <v>8030</v>
      </c>
      <c r="Z390" s="3" t="s">
        <v>8031</v>
      </c>
      <c r="AA390" s="3" t="s">
        <v>8032</v>
      </c>
      <c r="AB390" s="3" t="s">
        <v>8033</v>
      </c>
      <c r="AC390" s="3" t="s">
        <v>74</v>
      </c>
      <c r="AD390" s="3" t="s">
        <v>74</v>
      </c>
      <c r="AE390" s="3" t="s">
        <v>74</v>
      </c>
      <c r="AF390" s="3" t="s">
        <v>74</v>
      </c>
      <c r="AG390" s="3">
        <v>48</v>
      </c>
      <c r="AH390" s="3">
        <v>75</v>
      </c>
      <c r="AI390" s="3">
        <v>90</v>
      </c>
      <c r="AJ390" s="3">
        <v>8</v>
      </c>
      <c r="AK390" s="3">
        <v>239</v>
      </c>
      <c r="AL390" s="3" t="s">
        <v>872</v>
      </c>
      <c r="AM390" s="3" t="s">
        <v>873</v>
      </c>
      <c r="AN390" s="3" t="s">
        <v>874</v>
      </c>
      <c r="AO390" s="3" t="s">
        <v>1585</v>
      </c>
      <c r="AP390" s="3" t="s">
        <v>1586</v>
      </c>
      <c r="AQ390" s="3" t="s">
        <v>74</v>
      </c>
      <c r="AR390" s="3" t="s">
        <v>1587</v>
      </c>
      <c r="AS390" s="3" t="s">
        <v>1588</v>
      </c>
      <c r="AT390" s="3" t="s">
        <v>8034</v>
      </c>
      <c r="AU390" s="3">
        <v>2021</v>
      </c>
      <c r="AV390" s="3">
        <v>59</v>
      </c>
      <c r="AW390" s="3">
        <v>7</v>
      </c>
      <c r="AX390" s="3" t="s">
        <v>74</v>
      </c>
      <c r="AY390" s="3" t="s">
        <v>74</v>
      </c>
      <c r="AZ390" s="3" t="s">
        <v>880</v>
      </c>
      <c r="BA390" s="3" t="s">
        <v>74</v>
      </c>
      <c r="BB390" s="3">
        <v>2079</v>
      </c>
      <c r="BC390" s="3">
        <v>2089</v>
      </c>
      <c r="BD390" s="3" t="s">
        <v>74</v>
      </c>
      <c r="BE390" s="3" t="s">
        <v>8035</v>
      </c>
      <c r="BF390" s="3" t="str">
        <f>HYPERLINK("http://dx.doi.org/10.1080/00207543.2021.1893970","http://dx.doi.org/10.1080/00207543.2021.1893970")</f>
        <v>http://dx.doi.org/10.1080/00207543.2021.1893970</v>
      </c>
      <c r="BG390" s="3" t="s">
        <v>74</v>
      </c>
      <c r="BH390" s="3" t="s">
        <v>74</v>
      </c>
      <c r="BI390" s="3">
        <v>11</v>
      </c>
      <c r="BJ390" s="3" t="s">
        <v>1591</v>
      </c>
      <c r="BK390" s="3" t="s">
        <v>154</v>
      </c>
      <c r="BL390" s="3" t="s">
        <v>209</v>
      </c>
      <c r="BM390" s="3" t="s">
        <v>8036</v>
      </c>
      <c r="BN390" s="3" t="s">
        <v>74</v>
      </c>
      <c r="BO390" s="3" t="s">
        <v>6568</v>
      </c>
      <c r="BP390" s="3" t="s">
        <v>74</v>
      </c>
      <c r="BQ390" s="3" t="s">
        <v>74</v>
      </c>
      <c r="BR390" s="3" t="s">
        <v>101</v>
      </c>
      <c r="BS390" s="3" t="s">
        <v>8037</v>
      </c>
      <c r="BT390" s="3" t="str">
        <f>HYPERLINK("https%3A%2F%2Fwww.webofscience.com%2Fwos%2Fwoscc%2Ffull-record%2FWOS:000634913100007","View Full Record in Web of Science")</f>
        <v>View Full Record in Web of Science</v>
      </c>
      <c r="BU390" s="3"/>
      <c r="BV390" s="3"/>
      <c r="BW390" s="1"/>
    </row>
    <row r="391" spans="1:75" x14ac:dyDescent="0.25">
      <c r="A391" s="3" t="s">
        <v>72</v>
      </c>
      <c r="B391" s="3" t="s">
        <v>8038</v>
      </c>
      <c r="C391" s="3" t="s">
        <v>74</v>
      </c>
      <c r="D391" s="3" t="s">
        <v>74</v>
      </c>
      <c r="E391" s="3" t="s">
        <v>74</v>
      </c>
      <c r="F391" s="3" t="s">
        <v>8039</v>
      </c>
      <c r="G391" s="3" t="s">
        <v>74</v>
      </c>
      <c r="H391" s="3" t="s">
        <v>74</v>
      </c>
      <c r="I391" s="3" t="s">
        <v>8040</v>
      </c>
      <c r="J391" s="3" t="s">
        <v>138</v>
      </c>
      <c r="K391" s="3" t="s">
        <v>74</v>
      </c>
      <c r="L391" s="3" t="s">
        <v>74</v>
      </c>
      <c r="M391" s="3" t="s">
        <v>110</v>
      </c>
      <c r="N391" s="3" t="s">
        <v>79</v>
      </c>
      <c r="O391" s="3" t="s">
        <v>74</v>
      </c>
      <c r="P391" s="3" t="s">
        <v>74</v>
      </c>
      <c r="Q391" s="3" t="s">
        <v>74</v>
      </c>
      <c r="R391" s="3" t="s">
        <v>74</v>
      </c>
      <c r="S391" s="3" t="s">
        <v>74</v>
      </c>
      <c r="T391" s="3" t="s">
        <v>8041</v>
      </c>
      <c r="U391" s="3" t="s">
        <v>74</v>
      </c>
      <c r="V391" s="3" t="s">
        <v>8042</v>
      </c>
      <c r="W391" s="3" t="s">
        <v>8043</v>
      </c>
      <c r="X391" s="3" t="s">
        <v>8044</v>
      </c>
      <c r="Y391" s="3" t="s">
        <v>8045</v>
      </c>
      <c r="Z391" s="3" t="s">
        <v>8046</v>
      </c>
      <c r="AA391" s="3" t="s">
        <v>8047</v>
      </c>
      <c r="AB391" s="3" t="s">
        <v>8048</v>
      </c>
      <c r="AC391" s="3" t="s">
        <v>8049</v>
      </c>
      <c r="AD391" s="3" t="s">
        <v>8049</v>
      </c>
      <c r="AE391" s="3" t="s">
        <v>8050</v>
      </c>
      <c r="AF391" s="3" t="s">
        <v>74</v>
      </c>
      <c r="AG391" s="3">
        <v>29</v>
      </c>
      <c r="AH391" s="3">
        <v>18</v>
      </c>
      <c r="AI391" s="3">
        <v>19</v>
      </c>
      <c r="AJ391" s="3">
        <v>1</v>
      </c>
      <c r="AK391" s="3">
        <v>41</v>
      </c>
      <c r="AL391" s="3" t="s">
        <v>145</v>
      </c>
      <c r="AM391" s="3" t="s">
        <v>146</v>
      </c>
      <c r="AN391" s="3" t="s">
        <v>147</v>
      </c>
      <c r="AO391" s="3" t="s">
        <v>74</v>
      </c>
      <c r="AP391" s="3" t="s">
        <v>148</v>
      </c>
      <c r="AQ391" s="3" t="s">
        <v>74</v>
      </c>
      <c r="AR391" s="3" t="s">
        <v>149</v>
      </c>
      <c r="AS391" s="3" t="s">
        <v>150</v>
      </c>
      <c r="AT391" s="3" t="s">
        <v>1450</v>
      </c>
      <c r="AU391" s="3">
        <v>2021</v>
      </c>
      <c r="AV391" s="3">
        <v>13</v>
      </c>
      <c r="AW391" s="3">
        <v>13</v>
      </c>
      <c r="AX391" s="3" t="s">
        <v>74</v>
      </c>
      <c r="AY391" s="3" t="s">
        <v>74</v>
      </c>
      <c r="AZ391" s="3" t="s">
        <v>74</v>
      </c>
      <c r="BA391" s="3" t="s">
        <v>74</v>
      </c>
      <c r="BB391" s="3" t="s">
        <v>74</v>
      </c>
      <c r="BC391" s="3" t="s">
        <v>74</v>
      </c>
      <c r="BD391" s="3">
        <v>7000</v>
      </c>
      <c r="BE391" s="3" t="s">
        <v>8051</v>
      </c>
      <c r="BF391" s="3" t="str">
        <f>HYPERLINK("http://dx.doi.org/10.3390/su13137000","http://dx.doi.org/10.3390/su13137000")</f>
        <v>http://dx.doi.org/10.3390/su13137000</v>
      </c>
      <c r="BG391" s="3" t="s">
        <v>74</v>
      </c>
      <c r="BH391" s="3" t="s">
        <v>74</v>
      </c>
      <c r="BI391" s="3">
        <v>14</v>
      </c>
      <c r="BJ391" s="3" t="s">
        <v>153</v>
      </c>
      <c r="BK391" s="3" t="s">
        <v>154</v>
      </c>
      <c r="BL391" s="3" t="s">
        <v>155</v>
      </c>
      <c r="BM391" s="3" t="s">
        <v>8052</v>
      </c>
      <c r="BN391" s="3" t="s">
        <v>74</v>
      </c>
      <c r="BO391" s="3" t="s">
        <v>133</v>
      </c>
      <c r="BP391" s="3" t="s">
        <v>74</v>
      </c>
      <c r="BQ391" s="3" t="s">
        <v>74</v>
      </c>
      <c r="BR391" s="3" t="s">
        <v>101</v>
      </c>
      <c r="BS391" s="3" t="s">
        <v>8053</v>
      </c>
      <c r="BT391" s="3" t="str">
        <f>HYPERLINK("https%3A%2F%2Fwww.webofscience.com%2Fwos%2Fwoscc%2Ffull-record%2FWOS:000671243200001","View Full Record in Web of Science")</f>
        <v>View Full Record in Web of Science</v>
      </c>
      <c r="BU391" s="3"/>
      <c r="BV391" s="3"/>
      <c r="BW391" s="1"/>
    </row>
    <row r="392" spans="1:75" x14ac:dyDescent="0.25">
      <c r="A392" s="3" t="s">
        <v>72</v>
      </c>
      <c r="B392" s="3" t="s">
        <v>8054</v>
      </c>
      <c r="C392" s="3" t="s">
        <v>74</v>
      </c>
      <c r="D392" s="3" t="s">
        <v>74</v>
      </c>
      <c r="E392" s="3" t="s">
        <v>74</v>
      </c>
      <c r="F392" s="3" t="s">
        <v>8055</v>
      </c>
      <c r="G392" s="3" t="s">
        <v>74</v>
      </c>
      <c r="H392" s="3" t="s">
        <v>74</v>
      </c>
      <c r="I392" s="3" t="s">
        <v>8056</v>
      </c>
      <c r="J392" s="3" t="s">
        <v>835</v>
      </c>
      <c r="K392" s="3" t="s">
        <v>74</v>
      </c>
      <c r="L392" s="3" t="s">
        <v>74</v>
      </c>
      <c r="M392" s="3" t="s">
        <v>110</v>
      </c>
      <c r="N392" s="3" t="s">
        <v>79</v>
      </c>
      <c r="O392" s="3" t="s">
        <v>74</v>
      </c>
      <c r="P392" s="3" t="s">
        <v>74</v>
      </c>
      <c r="Q392" s="3" t="s">
        <v>74</v>
      </c>
      <c r="R392" s="3" t="s">
        <v>74</v>
      </c>
      <c r="S392" s="3" t="s">
        <v>74</v>
      </c>
      <c r="T392" s="3" t="s">
        <v>8057</v>
      </c>
      <c r="U392" s="3" t="s">
        <v>8058</v>
      </c>
      <c r="V392" s="3" t="s">
        <v>8059</v>
      </c>
      <c r="W392" s="3" t="s">
        <v>8060</v>
      </c>
      <c r="X392" s="3" t="s">
        <v>8061</v>
      </c>
      <c r="Y392" s="3" t="s">
        <v>8062</v>
      </c>
      <c r="Z392" s="3" t="s">
        <v>8063</v>
      </c>
      <c r="AA392" s="3" t="s">
        <v>8064</v>
      </c>
      <c r="AB392" s="3" t="s">
        <v>8065</v>
      </c>
      <c r="AC392" s="3" t="s">
        <v>8066</v>
      </c>
      <c r="AD392" s="3" t="s">
        <v>8067</v>
      </c>
      <c r="AE392" s="3" t="s">
        <v>8068</v>
      </c>
      <c r="AF392" s="3" t="s">
        <v>74</v>
      </c>
      <c r="AG392" s="3">
        <v>71</v>
      </c>
      <c r="AH392" s="3">
        <v>17</v>
      </c>
      <c r="AI392" s="3">
        <v>21</v>
      </c>
      <c r="AJ392" s="3">
        <v>0</v>
      </c>
      <c r="AK392" s="3">
        <v>21</v>
      </c>
      <c r="AL392" s="3" t="s">
        <v>846</v>
      </c>
      <c r="AM392" s="3" t="s">
        <v>847</v>
      </c>
      <c r="AN392" s="3" t="s">
        <v>848</v>
      </c>
      <c r="AO392" s="3" t="s">
        <v>849</v>
      </c>
      <c r="AP392" s="3" t="s">
        <v>74</v>
      </c>
      <c r="AQ392" s="3" t="s">
        <v>74</v>
      </c>
      <c r="AR392" s="3" t="s">
        <v>835</v>
      </c>
      <c r="AS392" s="3" t="s">
        <v>850</v>
      </c>
      <c r="AT392" s="3" t="s">
        <v>74</v>
      </c>
      <c r="AU392" s="3">
        <v>2021</v>
      </c>
      <c r="AV392" s="3">
        <v>9</v>
      </c>
      <c r="AW392" s="3" t="s">
        <v>74</v>
      </c>
      <c r="AX392" s="3" t="s">
        <v>74</v>
      </c>
      <c r="AY392" s="3" t="s">
        <v>74</v>
      </c>
      <c r="AZ392" s="3" t="s">
        <v>74</v>
      </c>
      <c r="BA392" s="3" t="s">
        <v>74</v>
      </c>
      <c r="BB392" s="3">
        <v>41628</v>
      </c>
      <c r="BC392" s="3">
        <v>41646</v>
      </c>
      <c r="BD392" s="3" t="s">
        <v>74</v>
      </c>
      <c r="BE392" s="3" t="s">
        <v>8069</v>
      </c>
      <c r="BF392" s="3" t="str">
        <f>HYPERLINK("http://dx.doi.org/10.1109/ACCESS.2021.3065412","http://dx.doi.org/10.1109/ACCESS.2021.3065412")</f>
        <v>http://dx.doi.org/10.1109/ACCESS.2021.3065412</v>
      </c>
      <c r="BG392" s="3" t="s">
        <v>74</v>
      </c>
      <c r="BH392" s="3" t="s">
        <v>74</v>
      </c>
      <c r="BI392" s="3">
        <v>19</v>
      </c>
      <c r="BJ392" s="3" t="s">
        <v>852</v>
      </c>
      <c r="BK392" s="3" t="s">
        <v>154</v>
      </c>
      <c r="BL392" s="3" t="s">
        <v>853</v>
      </c>
      <c r="BM392" s="3" t="s">
        <v>8070</v>
      </c>
      <c r="BN392" s="3" t="s">
        <v>74</v>
      </c>
      <c r="BO392" s="3" t="s">
        <v>133</v>
      </c>
      <c r="BP392" s="3" t="s">
        <v>74</v>
      </c>
      <c r="BQ392" s="3" t="s">
        <v>74</v>
      </c>
      <c r="BR392" s="3" t="s">
        <v>101</v>
      </c>
      <c r="BS392" s="3" t="s">
        <v>8071</v>
      </c>
      <c r="BT392" s="3" t="str">
        <f>HYPERLINK("https%3A%2F%2Fwww.webofscience.com%2Fwos%2Fwoscc%2Ffull-record%2FWOS:000633631000001","View Full Record in Web of Science")</f>
        <v>View Full Record in Web of Science</v>
      </c>
      <c r="BU392" s="3"/>
      <c r="BV392" s="3"/>
      <c r="BW392" s="1"/>
    </row>
    <row r="393" spans="1:75" x14ac:dyDescent="0.25">
      <c r="A393" s="3" t="s">
        <v>103</v>
      </c>
      <c r="B393" s="3" t="s">
        <v>8072</v>
      </c>
      <c r="C393" s="3" t="s">
        <v>74</v>
      </c>
      <c r="D393" s="3" t="s">
        <v>183</v>
      </c>
      <c r="E393" s="3" t="s">
        <v>74</v>
      </c>
      <c r="F393" s="3" t="s">
        <v>8073</v>
      </c>
      <c r="G393" s="3" t="s">
        <v>74</v>
      </c>
      <c r="H393" s="3" t="s">
        <v>74</v>
      </c>
      <c r="I393" s="3" t="s">
        <v>8074</v>
      </c>
      <c r="J393" s="3" t="s">
        <v>186</v>
      </c>
      <c r="K393" s="3" t="s">
        <v>187</v>
      </c>
      <c r="L393" s="3" t="s">
        <v>74</v>
      </c>
      <c r="M393" s="3" t="s">
        <v>110</v>
      </c>
      <c r="N393" s="3" t="s">
        <v>111</v>
      </c>
      <c r="O393" s="3" t="s">
        <v>188</v>
      </c>
      <c r="P393" s="3" t="s">
        <v>189</v>
      </c>
      <c r="Q393" s="3" t="s">
        <v>190</v>
      </c>
      <c r="R393" s="3" t="s">
        <v>74</v>
      </c>
      <c r="S393" s="3" t="s">
        <v>74</v>
      </c>
      <c r="T393" s="3" t="s">
        <v>8075</v>
      </c>
      <c r="U393" s="3" t="s">
        <v>8076</v>
      </c>
      <c r="V393" s="3" t="s">
        <v>8077</v>
      </c>
      <c r="W393" s="3" t="s">
        <v>8078</v>
      </c>
      <c r="X393" s="3" t="s">
        <v>8079</v>
      </c>
      <c r="Y393" s="3" t="s">
        <v>8080</v>
      </c>
      <c r="Z393" s="3" t="s">
        <v>8081</v>
      </c>
      <c r="AA393" s="3" t="s">
        <v>8082</v>
      </c>
      <c r="AB393" s="3" t="s">
        <v>8083</v>
      </c>
      <c r="AC393" s="3" t="s">
        <v>74</v>
      </c>
      <c r="AD393" s="3" t="s">
        <v>74</v>
      </c>
      <c r="AE393" s="3" t="s">
        <v>74</v>
      </c>
      <c r="AF393" s="3" t="s">
        <v>74</v>
      </c>
      <c r="AG393" s="3">
        <v>37</v>
      </c>
      <c r="AH393" s="3">
        <v>1</v>
      </c>
      <c r="AI393" s="3">
        <v>2</v>
      </c>
      <c r="AJ393" s="3">
        <v>6</v>
      </c>
      <c r="AK393" s="3">
        <v>91</v>
      </c>
      <c r="AL393" s="3" t="s">
        <v>199</v>
      </c>
      <c r="AM393" s="3" t="s">
        <v>200</v>
      </c>
      <c r="AN393" s="3" t="s">
        <v>201</v>
      </c>
      <c r="AO393" s="3" t="s">
        <v>202</v>
      </c>
      <c r="AP393" s="3" t="s">
        <v>203</v>
      </c>
      <c r="AQ393" s="3" t="s">
        <v>204</v>
      </c>
      <c r="AR393" s="3" t="s">
        <v>205</v>
      </c>
      <c r="AS393" s="3" t="s">
        <v>74</v>
      </c>
      <c r="AT393" s="3" t="s">
        <v>74</v>
      </c>
      <c r="AU393" s="3">
        <v>2022</v>
      </c>
      <c r="AV393" s="3" t="s">
        <v>74</v>
      </c>
      <c r="AW393" s="3" t="s">
        <v>74</v>
      </c>
      <c r="AX393" s="3" t="s">
        <v>74</v>
      </c>
      <c r="AY393" s="3" t="s">
        <v>74</v>
      </c>
      <c r="AZ393" s="3" t="s">
        <v>74</v>
      </c>
      <c r="BA393" s="3" t="s">
        <v>74</v>
      </c>
      <c r="BB393" s="3">
        <v>105</v>
      </c>
      <c r="BC393" s="3">
        <v>111</v>
      </c>
      <c r="BD393" s="3" t="s">
        <v>74</v>
      </c>
      <c r="BE393" s="3" t="s">
        <v>8084</v>
      </c>
      <c r="BF393" s="3" t="str">
        <f>HYPERLINK("http://dx.doi.org/10.1109/LOGISTIQUA55056.2022.9938101","http://dx.doi.org/10.1109/LOGISTIQUA55056.2022.9938101")</f>
        <v>http://dx.doi.org/10.1109/LOGISTIQUA55056.2022.9938101</v>
      </c>
      <c r="BG393" s="3" t="s">
        <v>74</v>
      </c>
      <c r="BH393" s="3" t="s">
        <v>74</v>
      </c>
      <c r="BI393" s="3">
        <v>7</v>
      </c>
      <c r="BJ393" s="3" t="s">
        <v>207</v>
      </c>
      <c r="BK393" s="3" t="s">
        <v>208</v>
      </c>
      <c r="BL393" s="3" t="s">
        <v>209</v>
      </c>
      <c r="BM393" s="3" t="s">
        <v>210</v>
      </c>
      <c r="BN393" s="3" t="s">
        <v>74</v>
      </c>
      <c r="BO393" s="3" t="s">
        <v>74</v>
      </c>
      <c r="BP393" s="3" t="s">
        <v>74</v>
      </c>
      <c r="BQ393" s="3" t="s">
        <v>74</v>
      </c>
      <c r="BR393" s="3" t="s">
        <v>101</v>
      </c>
      <c r="BS393" s="3" t="s">
        <v>8085</v>
      </c>
      <c r="BT393" s="3" t="str">
        <f>HYPERLINK("https%3A%2F%2Fwww.webofscience.com%2Fwos%2Fwoscc%2Ffull-record%2FWOS:000899744300014","View Full Record in Web of Science")</f>
        <v>View Full Record in Web of Science</v>
      </c>
      <c r="BU393" s="3"/>
      <c r="BV393" s="3"/>
      <c r="BW393" s="1"/>
    </row>
    <row r="394" spans="1:75" x14ac:dyDescent="0.25">
      <c r="A394" s="3" t="s">
        <v>72</v>
      </c>
      <c r="B394" s="3" t="s">
        <v>8086</v>
      </c>
      <c r="C394" s="3" t="s">
        <v>74</v>
      </c>
      <c r="D394" s="3" t="s">
        <v>74</v>
      </c>
      <c r="E394" s="3" t="s">
        <v>74</v>
      </c>
      <c r="F394" s="3" t="s">
        <v>8087</v>
      </c>
      <c r="G394" s="3" t="s">
        <v>74</v>
      </c>
      <c r="H394" s="3" t="s">
        <v>74</v>
      </c>
      <c r="I394" s="3" t="s">
        <v>8088</v>
      </c>
      <c r="J394" s="3" t="s">
        <v>6384</v>
      </c>
      <c r="K394" s="3" t="s">
        <v>74</v>
      </c>
      <c r="L394" s="3" t="s">
        <v>74</v>
      </c>
      <c r="M394" s="3" t="s">
        <v>110</v>
      </c>
      <c r="N394" s="3" t="s">
        <v>216</v>
      </c>
      <c r="O394" s="3" t="s">
        <v>74</v>
      </c>
      <c r="P394" s="3" t="s">
        <v>74</v>
      </c>
      <c r="Q394" s="3" t="s">
        <v>74</v>
      </c>
      <c r="R394" s="3" t="s">
        <v>74</v>
      </c>
      <c r="S394" s="3" t="s">
        <v>74</v>
      </c>
      <c r="T394" s="3" t="s">
        <v>8089</v>
      </c>
      <c r="U394" s="3" t="s">
        <v>8090</v>
      </c>
      <c r="V394" s="3" t="s">
        <v>8091</v>
      </c>
      <c r="W394" s="3" t="s">
        <v>8092</v>
      </c>
      <c r="X394" s="3" t="s">
        <v>8093</v>
      </c>
      <c r="Y394" s="3" t="s">
        <v>8094</v>
      </c>
      <c r="Z394" s="3" t="s">
        <v>8095</v>
      </c>
      <c r="AA394" s="3" t="s">
        <v>8096</v>
      </c>
      <c r="AB394" s="3" t="s">
        <v>74</v>
      </c>
      <c r="AC394" s="3" t="s">
        <v>74</v>
      </c>
      <c r="AD394" s="3" t="s">
        <v>74</v>
      </c>
      <c r="AE394" s="3" t="s">
        <v>74</v>
      </c>
      <c r="AF394" s="3" t="s">
        <v>74</v>
      </c>
      <c r="AG394" s="3">
        <v>19</v>
      </c>
      <c r="AH394" s="3">
        <v>23</v>
      </c>
      <c r="AI394" s="3">
        <v>26</v>
      </c>
      <c r="AJ394" s="3">
        <v>3</v>
      </c>
      <c r="AK394" s="3">
        <v>65</v>
      </c>
      <c r="AL394" s="3" t="s">
        <v>401</v>
      </c>
      <c r="AM394" s="3" t="s">
        <v>402</v>
      </c>
      <c r="AN394" s="3" t="s">
        <v>403</v>
      </c>
      <c r="AO394" s="3" t="s">
        <v>6400</v>
      </c>
      <c r="AP394" s="3" t="s">
        <v>6401</v>
      </c>
      <c r="AQ394" s="3" t="s">
        <v>74</v>
      </c>
      <c r="AR394" s="3" t="s">
        <v>6402</v>
      </c>
      <c r="AS394" s="3" t="s">
        <v>6403</v>
      </c>
      <c r="AT394" s="3" t="s">
        <v>592</v>
      </c>
      <c r="AU394" s="3">
        <v>2020</v>
      </c>
      <c r="AV394" s="3">
        <v>14</v>
      </c>
      <c r="AW394" s="3">
        <v>11</v>
      </c>
      <c r="AX394" s="3" t="s">
        <v>74</v>
      </c>
      <c r="AY394" s="3" t="s">
        <v>74</v>
      </c>
      <c r="AZ394" s="3" t="s">
        <v>880</v>
      </c>
      <c r="BA394" s="3" t="s">
        <v>74</v>
      </c>
      <c r="BB394" s="3">
        <v>1363</v>
      </c>
      <c r="BC394" s="3">
        <v>1370</v>
      </c>
      <c r="BD394" s="3" t="s">
        <v>74</v>
      </c>
      <c r="BE394" s="3" t="s">
        <v>8097</v>
      </c>
      <c r="BF394" s="3" t="str">
        <f>HYPERLINK("http://dx.doi.org/10.1049/iet-its.2020.0006","http://dx.doi.org/10.1049/iet-its.2020.0006")</f>
        <v>http://dx.doi.org/10.1049/iet-its.2020.0006</v>
      </c>
      <c r="BG394" s="3" t="s">
        <v>74</v>
      </c>
      <c r="BH394" s="3" t="s">
        <v>74</v>
      </c>
      <c r="BI394" s="3">
        <v>8</v>
      </c>
      <c r="BJ394" s="3" t="s">
        <v>1665</v>
      </c>
      <c r="BK394" s="3" t="s">
        <v>179</v>
      </c>
      <c r="BL394" s="3" t="s">
        <v>411</v>
      </c>
      <c r="BM394" s="3" t="s">
        <v>8098</v>
      </c>
      <c r="BN394" s="3" t="s">
        <v>74</v>
      </c>
      <c r="BO394" s="3" t="s">
        <v>6568</v>
      </c>
      <c r="BP394" s="3" t="s">
        <v>74</v>
      </c>
      <c r="BQ394" s="3" t="s">
        <v>74</v>
      </c>
      <c r="BR394" s="3" t="s">
        <v>101</v>
      </c>
      <c r="BS394" s="3" t="s">
        <v>8099</v>
      </c>
      <c r="BT394" s="3" t="str">
        <f>HYPERLINK("https%3A%2F%2Fwww.webofscience.com%2Fwos%2Fwoscc%2Ffull-record%2FWOS:000591879700003","View Full Record in Web of Science")</f>
        <v>View Full Record in Web of Science</v>
      </c>
      <c r="BU394" s="3"/>
      <c r="BV394" s="3"/>
      <c r="BW394" s="1"/>
    </row>
    <row r="395" spans="1:75" x14ac:dyDescent="0.25">
      <c r="A395" s="3" t="s">
        <v>72</v>
      </c>
      <c r="B395" s="3" t="s">
        <v>8100</v>
      </c>
      <c r="C395" s="3" t="s">
        <v>74</v>
      </c>
      <c r="D395" s="3" t="s">
        <v>74</v>
      </c>
      <c r="E395" s="3" t="s">
        <v>74</v>
      </c>
      <c r="F395" s="3" t="s">
        <v>8101</v>
      </c>
      <c r="G395" s="3" t="s">
        <v>74</v>
      </c>
      <c r="H395" s="3" t="s">
        <v>74</v>
      </c>
      <c r="I395" s="3" t="s">
        <v>8102</v>
      </c>
      <c r="J395" s="3" t="s">
        <v>8103</v>
      </c>
      <c r="K395" s="3" t="s">
        <v>74</v>
      </c>
      <c r="L395" s="3" t="s">
        <v>74</v>
      </c>
      <c r="M395" s="3" t="s">
        <v>110</v>
      </c>
      <c r="N395" s="3" t="s">
        <v>79</v>
      </c>
      <c r="O395" s="3" t="s">
        <v>74</v>
      </c>
      <c r="P395" s="3" t="s">
        <v>74</v>
      </c>
      <c r="Q395" s="3" t="s">
        <v>74</v>
      </c>
      <c r="R395" s="3" t="s">
        <v>74</v>
      </c>
      <c r="S395" s="3" t="s">
        <v>74</v>
      </c>
      <c r="T395" s="3" t="s">
        <v>8104</v>
      </c>
      <c r="U395" s="3" t="s">
        <v>8105</v>
      </c>
      <c r="V395" s="3" t="s">
        <v>8106</v>
      </c>
      <c r="W395" s="3" t="s">
        <v>8107</v>
      </c>
      <c r="X395" s="3" t="s">
        <v>5169</v>
      </c>
      <c r="Y395" s="3" t="s">
        <v>8108</v>
      </c>
      <c r="Z395" s="3" t="s">
        <v>8109</v>
      </c>
      <c r="AA395" s="3" t="s">
        <v>8110</v>
      </c>
      <c r="AB395" s="3" t="s">
        <v>8111</v>
      </c>
      <c r="AC395" s="3" t="s">
        <v>8112</v>
      </c>
      <c r="AD395" s="3" t="s">
        <v>8112</v>
      </c>
      <c r="AE395" s="3" t="s">
        <v>8113</v>
      </c>
      <c r="AF395" s="3" t="s">
        <v>74</v>
      </c>
      <c r="AG395" s="3">
        <v>79</v>
      </c>
      <c r="AH395" s="3">
        <v>12</v>
      </c>
      <c r="AI395" s="3">
        <v>15</v>
      </c>
      <c r="AJ395" s="3">
        <v>5</v>
      </c>
      <c r="AK395" s="3">
        <v>12</v>
      </c>
      <c r="AL395" s="3" t="s">
        <v>671</v>
      </c>
      <c r="AM395" s="3" t="s">
        <v>124</v>
      </c>
      <c r="AN395" s="3" t="s">
        <v>672</v>
      </c>
      <c r="AO395" s="3" t="s">
        <v>8114</v>
      </c>
      <c r="AP395" s="3" t="s">
        <v>74</v>
      </c>
      <c r="AQ395" s="3" t="s">
        <v>74</v>
      </c>
      <c r="AR395" s="3" t="s">
        <v>8115</v>
      </c>
      <c r="AS395" s="3" t="s">
        <v>8116</v>
      </c>
      <c r="AT395" s="3" t="s">
        <v>151</v>
      </c>
      <c r="AU395" s="3">
        <v>2021</v>
      </c>
      <c r="AV395" s="3">
        <v>1</v>
      </c>
      <c r="AW395" s="3" t="s">
        <v>74</v>
      </c>
      <c r="AX395" s="3" t="s">
        <v>74</v>
      </c>
      <c r="AY395" s="3" t="s">
        <v>74</v>
      </c>
      <c r="AZ395" s="3" t="s">
        <v>74</v>
      </c>
      <c r="BA395" s="3" t="s">
        <v>74</v>
      </c>
      <c r="BB395" s="3" t="s">
        <v>74</v>
      </c>
      <c r="BC395" s="3" t="s">
        <v>74</v>
      </c>
      <c r="BD395" s="3">
        <v>100008</v>
      </c>
      <c r="BE395" s="3" t="s">
        <v>8117</v>
      </c>
      <c r="BF395" s="3" t="str">
        <f>HYPERLINK("http://dx.doi.org/10.1016/j.urbmob.2021.100008","http://dx.doi.org/10.1016/j.urbmob.2021.100008")</f>
        <v>http://dx.doi.org/10.1016/j.urbmob.2021.100008</v>
      </c>
      <c r="BG395" s="3" t="s">
        <v>74</v>
      </c>
      <c r="BH395" s="3" t="s">
        <v>74</v>
      </c>
      <c r="BI395" s="3">
        <v>14</v>
      </c>
      <c r="BJ395" s="3" t="s">
        <v>8118</v>
      </c>
      <c r="BK395" s="3" t="s">
        <v>97</v>
      </c>
      <c r="BL395" s="3" t="s">
        <v>8119</v>
      </c>
      <c r="BM395" s="3" t="s">
        <v>8120</v>
      </c>
      <c r="BN395" s="3" t="s">
        <v>74</v>
      </c>
      <c r="BO395" s="3" t="s">
        <v>100</v>
      </c>
      <c r="BP395" s="3" t="s">
        <v>74</v>
      </c>
      <c r="BQ395" s="3" t="s">
        <v>74</v>
      </c>
      <c r="BR395" s="3" t="s">
        <v>101</v>
      </c>
      <c r="BS395" s="3" t="s">
        <v>8121</v>
      </c>
      <c r="BT395" s="3" t="str">
        <f>HYPERLINK("https%3A%2F%2Fwww.webofscience.com%2Fwos%2Fwoscc%2Ffull-record%2FWOS:001101194100006","View Full Record in Web of Science")</f>
        <v>View Full Record in Web of Science</v>
      </c>
      <c r="BU395" s="3"/>
      <c r="BV395" s="3"/>
      <c r="BW395" s="1"/>
    </row>
    <row r="396" spans="1:75" x14ac:dyDescent="0.25">
      <c r="A396" s="3" t="s">
        <v>72</v>
      </c>
      <c r="B396" s="3" t="s">
        <v>8122</v>
      </c>
      <c r="C396" s="3" t="s">
        <v>74</v>
      </c>
      <c r="D396" s="3" t="s">
        <v>74</v>
      </c>
      <c r="E396" s="3" t="s">
        <v>74</v>
      </c>
      <c r="F396" s="3" t="s">
        <v>8123</v>
      </c>
      <c r="G396" s="3" t="s">
        <v>74</v>
      </c>
      <c r="H396" s="3" t="s">
        <v>74</v>
      </c>
      <c r="I396" s="3" t="s">
        <v>8124</v>
      </c>
      <c r="J396" s="3" t="s">
        <v>2337</v>
      </c>
      <c r="K396" s="3" t="s">
        <v>74</v>
      </c>
      <c r="L396" s="3" t="s">
        <v>74</v>
      </c>
      <c r="M396" s="3" t="s">
        <v>110</v>
      </c>
      <c r="N396" s="3" t="s">
        <v>79</v>
      </c>
      <c r="O396" s="3" t="s">
        <v>74</v>
      </c>
      <c r="P396" s="3" t="s">
        <v>74</v>
      </c>
      <c r="Q396" s="3" t="s">
        <v>74</v>
      </c>
      <c r="R396" s="3" t="s">
        <v>74</v>
      </c>
      <c r="S396" s="3" t="s">
        <v>74</v>
      </c>
      <c r="T396" s="3" t="s">
        <v>8125</v>
      </c>
      <c r="U396" s="3" t="s">
        <v>8126</v>
      </c>
      <c r="V396" s="3" t="s">
        <v>8127</v>
      </c>
      <c r="W396" s="3" t="s">
        <v>8128</v>
      </c>
      <c r="X396" s="3" t="s">
        <v>8129</v>
      </c>
      <c r="Y396" s="3" t="s">
        <v>2343</v>
      </c>
      <c r="Z396" s="3" t="s">
        <v>2344</v>
      </c>
      <c r="AA396" s="3" t="s">
        <v>8130</v>
      </c>
      <c r="AB396" s="3" t="s">
        <v>8131</v>
      </c>
      <c r="AC396" s="3" t="s">
        <v>8132</v>
      </c>
      <c r="AD396" s="3" t="s">
        <v>8133</v>
      </c>
      <c r="AE396" s="3" t="s">
        <v>8134</v>
      </c>
      <c r="AF396" s="3" t="s">
        <v>74</v>
      </c>
      <c r="AG396" s="3">
        <v>53</v>
      </c>
      <c r="AH396" s="3">
        <v>49</v>
      </c>
      <c r="AI396" s="3">
        <v>54</v>
      </c>
      <c r="AJ396" s="3">
        <v>11</v>
      </c>
      <c r="AK396" s="3">
        <v>101</v>
      </c>
      <c r="AL396" s="3" t="s">
        <v>2347</v>
      </c>
      <c r="AM396" s="3" t="s">
        <v>2348</v>
      </c>
      <c r="AN396" s="3" t="s">
        <v>2349</v>
      </c>
      <c r="AO396" s="3" t="s">
        <v>2350</v>
      </c>
      <c r="AP396" s="3" t="s">
        <v>2351</v>
      </c>
      <c r="AQ396" s="3" t="s">
        <v>74</v>
      </c>
      <c r="AR396" s="3" t="s">
        <v>2352</v>
      </c>
      <c r="AS396" s="3" t="s">
        <v>2353</v>
      </c>
      <c r="AT396" s="3" t="s">
        <v>74</v>
      </c>
      <c r="AU396" s="3">
        <v>2018</v>
      </c>
      <c r="AV396" s="3">
        <v>33</v>
      </c>
      <c r="AW396" s="3">
        <v>4</v>
      </c>
      <c r="AX396" s="3" t="s">
        <v>74</v>
      </c>
      <c r="AY396" s="3" t="s">
        <v>74</v>
      </c>
      <c r="AZ396" s="3" t="s">
        <v>880</v>
      </c>
      <c r="BA396" s="3" t="s">
        <v>74</v>
      </c>
      <c r="BB396" s="3">
        <v>913</v>
      </c>
      <c r="BC396" s="3">
        <v>929</v>
      </c>
      <c r="BD396" s="3" t="s">
        <v>74</v>
      </c>
      <c r="BE396" s="3" t="s">
        <v>8135</v>
      </c>
      <c r="BF396" s="3" t="str">
        <f>HYPERLINK("http://dx.doi.org/10.3846/transport.2018.6593","http://dx.doi.org/10.3846/transport.2018.6593")</f>
        <v>http://dx.doi.org/10.3846/transport.2018.6593</v>
      </c>
      <c r="BG396" s="3" t="s">
        <v>74</v>
      </c>
      <c r="BH396" s="3" t="s">
        <v>74</v>
      </c>
      <c r="BI396" s="3">
        <v>17</v>
      </c>
      <c r="BJ396" s="3" t="s">
        <v>2355</v>
      </c>
      <c r="BK396" s="3" t="s">
        <v>179</v>
      </c>
      <c r="BL396" s="3" t="s">
        <v>131</v>
      </c>
      <c r="BM396" s="3" t="s">
        <v>8136</v>
      </c>
      <c r="BN396" s="3" t="s">
        <v>74</v>
      </c>
      <c r="BO396" s="3" t="s">
        <v>133</v>
      </c>
      <c r="BP396" s="3" t="s">
        <v>74</v>
      </c>
      <c r="BQ396" s="3" t="s">
        <v>74</v>
      </c>
      <c r="BR396" s="3" t="s">
        <v>101</v>
      </c>
      <c r="BS396" s="3" t="s">
        <v>8137</v>
      </c>
      <c r="BT396" s="3" t="str">
        <f>HYPERLINK("https%3A%2F%2Fwww.webofscience.com%2Fwos%2Fwoscc%2Ffull-record%2FWOS:000453082600006","View Full Record in Web of Science")</f>
        <v>View Full Record in Web of Science</v>
      </c>
      <c r="BU396" s="3"/>
      <c r="BV396" s="3"/>
      <c r="BW396" s="1"/>
    </row>
    <row r="397" spans="1:75" x14ac:dyDescent="0.25">
      <c r="A397" s="3" t="s">
        <v>72</v>
      </c>
      <c r="B397" s="3" t="s">
        <v>8138</v>
      </c>
      <c r="C397" s="3" t="s">
        <v>74</v>
      </c>
      <c r="D397" s="3" t="s">
        <v>74</v>
      </c>
      <c r="E397" s="3" t="s">
        <v>74</v>
      </c>
      <c r="F397" s="3" t="s">
        <v>8139</v>
      </c>
      <c r="G397" s="3" t="s">
        <v>74</v>
      </c>
      <c r="H397" s="3" t="s">
        <v>74</v>
      </c>
      <c r="I397" s="3" t="s">
        <v>8140</v>
      </c>
      <c r="J397" s="3" t="s">
        <v>138</v>
      </c>
      <c r="K397" s="3" t="s">
        <v>74</v>
      </c>
      <c r="L397" s="3" t="s">
        <v>74</v>
      </c>
      <c r="M397" s="3" t="s">
        <v>110</v>
      </c>
      <c r="N397" s="3" t="s">
        <v>79</v>
      </c>
      <c r="O397" s="3" t="s">
        <v>74</v>
      </c>
      <c r="P397" s="3" t="s">
        <v>74</v>
      </c>
      <c r="Q397" s="3" t="s">
        <v>74</v>
      </c>
      <c r="R397" s="3" t="s">
        <v>74</v>
      </c>
      <c r="S397" s="3" t="s">
        <v>74</v>
      </c>
      <c r="T397" s="3" t="s">
        <v>8141</v>
      </c>
      <c r="U397" s="3" t="s">
        <v>8142</v>
      </c>
      <c r="V397" s="3" t="s">
        <v>8143</v>
      </c>
      <c r="W397" s="3" t="s">
        <v>8144</v>
      </c>
      <c r="X397" s="3" t="s">
        <v>8145</v>
      </c>
      <c r="Y397" s="3" t="s">
        <v>8146</v>
      </c>
      <c r="Z397" s="3" t="s">
        <v>8147</v>
      </c>
      <c r="AA397" s="3" t="s">
        <v>8148</v>
      </c>
      <c r="AB397" s="3" t="s">
        <v>8149</v>
      </c>
      <c r="AC397" s="3" t="s">
        <v>8150</v>
      </c>
      <c r="AD397" s="3" t="s">
        <v>8151</v>
      </c>
      <c r="AE397" s="3" t="s">
        <v>8152</v>
      </c>
      <c r="AF397" s="3" t="s">
        <v>74</v>
      </c>
      <c r="AG397" s="3">
        <v>80</v>
      </c>
      <c r="AH397" s="3">
        <v>37</v>
      </c>
      <c r="AI397" s="3">
        <v>52</v>
      </c>
      <c r="AJ397" s="3">
        <v>1</v>
      </c>
      <c r="AK397" s="3">
        <v>23</v>
      </c>
      <c r="AL397" s="3" t="s">
        <v>145</v>
      </c>
      <c r="AM397" s="3" t="s">
        <v>146</v>
      </c>
      <c r="AN397" s="3" t="s">
        <v>279</v>
      </c>
      <c r="AO397" s="3" t="s">
        <v>74</v>
      </c>
      <c r="AP397" s="3" t="s">
        <v>148</v>
      </c>
      <c r="AQ397" s="3" t="s">
        <v>74</v>
      </c>
      <c r="AR397" s="3" t="s">
        <v>149</v>
      </c>
      <c r="AS397" s="3" t="s">
        <v>150</v>
      </c>
      <c r="AT397" s="3" t="s">
        <v>879</v>
      </c>
      <c r="AU397" s="3">
        <v>2019</v>
      </c>
      <c r="AV397" s="3">
        <v>11</v>
      </c>
      <c r="AW397" s="3">
        <v>12</v>
      </c>
      <c r="AX397" s="3" t="s">
        <v>74</v>
      </c>
      <c r="AY397" s="3" t="s">
        <v>74</v>
      </c>
      <c r="AZ397" s="3" t="s">
        <v>74</v>
      </c>
      <c r="BA397" s="3" t="s">
        <v>74</v>
      </c>
      <c r="BB397" s="3" t="s">
        <v>74</v>
      </c>
      <c r="BC397" s="3" t="s">
        <v>74</v>
      </c>
      <c r="BD397" s="3">
        <v>3314</v>
      </c>
      <c r="BE397" s="3" t="s">
        <v>8153</v>
      </c>
      <c r="BF397" s="3" t="str">
        <f>HYPERLINK("http://dx.doi.org/10.3390/su11123314","http://dx.doi.org/10.3390/su11123314")</f>
        <v>http://dx.doi.org/10.3390/su11123314</v>
      </c>
      <c r="BG397" s="3" t="s">
        <v>74</v>
      </c>
      <c r="BH397" s="3" t="s">
        <v>74</v>
      </c>
      <c r="BI397" s="3">
        <v>19</v>
      </c>
      <c r="BJ397" s="3" t="s">
        <v>153</v>
      </c>
      <c r="BK397" s="3" t="s">
        <v>154</v>
      </c>
      <c r="BL397" s="3" t="s">
        <v>155</v>
      </c>
      <c r="BM397" s="3" t="s">
        <v>8154</v>
      </c>
      <c r="BN397" s="3" t="s">
        <v>74</v>
      </c>
      <c r="BO397" s="3" t="s">
        <v>133</v>
      </c>
      <c r="BP397" s="3" t="s">
        <v>74</v>
      </c>
      <c r="BQ397" s="3" t="s">
        <v>74</v>
      </c>
      <c r="BR397" s="3" t="s">
        <v>101</v>
      </c>
      <c r="BS397" s="3" t="s">
        <v>8155</v>
      </c>
      <c r="BT397" s="3" t="str">
        <f>HYPERLINK("https%3A%2F%2Fwww.webofscience.com%2Fwos%2Fwoscc%2Ffull-record%2FWOS:000473753700084","View Full Record in Web of Science")</f>
        <v>View Full Record in Web of Science</v>
      </c>
      <c r="BU397" s="3"/>
      <c r="BV397" s="3"/>
      <c r="BW397" s="1"/>
    </row>
    <row r="398" spans="1:75" x14ac:dyDescent="0.25">
      <c r="A398" s="3" t="s">
        <v>72</v>
      </c>
      <c r="B398" s="3" t="s">
        <v>8156</v>
      </c>
      <c r="C398" s="3" t="s">
        <v>74</v>
      </c>
      <c r="D398" s="3" t="s">
        <v>74</v>
      </c>
      <c r="E398" s="3" t="s">
        <v>74</v>
      </c>
      <c r="F398" s="3" t="s">
        <v>8157</v>
      </c>
      <c r="G398" s="3" t="s">
        <v>74</v>
      </c>
      <c r="H398" s="3" t="s">
        <v>74</v>
      </c>
      <c r="I398" s="3" t="s">
        <v>8158</v>
      </c>
      <c r="J398" s="3" t="s">
        <v>138</v>
      </c>
      <c r="K398" s="3" t="s">
        <v>74</v>
      </c>
      <c r="L398" s="3" t="s">
        <v>74</v>
      </c>
      <c r="M398" s="3" t="s">
        <v>110</v>
      </c>
      <c r="N398" s="3" t="s">
        <v>79</v>
      </c>
      <c r="O398" s="3" t="s">
        <v>74</v>
      </c>
      <c r="P398" s="3" t="s">
        <v>74</v>
      </c>
      <c r="Q398" s="3" t="s">
        <v>74</v>
      </c>
      <c r="R398" s="3" t="s">
        <v>74</v>
      </c>
      <c r="S398" s="3" t="s">
        <v>74</v>
      </c>
      <c r="T398" s="3" t="s">
        <v>8159</v>
      </c>
      <c r="U398" s="3" t="s">
        <v>8160</v>
      </c>
      <c r="V398" s="3" t="s">
        <v>8161</v>
      </c>
      <c r="W398" s="3" t="s">
        <v>8162</v>
      </c>
      <c r="X398" s="3" t="s">
        <v>8163</v>
      </c>
      <c r="Y398" s="3" t="s">
        <v>8164</v>
      </c>
      <c r="Z398" s="3" t="s">
        <v>8165</v>
      </c>
      <c r="AA398" s="3" t="s">
        <v>8166</v>
      </c>
      <c r="AB398" s="3" t="s">
        <v>8167</v>
      </c>
      <c r="AC398" s="3" t="s">
        <v>8168</v>
      </c>
      <c r="AD398" s="3" t="s">
        <v>8168</v>
      </c>
      <c r="AE398" s="3" t="s">
        <v>8169</v>
      </c>
      <c r="AF398" s="3" t="s">
        <v>74</v>
      </c>
      <c r="AG398" s="3">
        <v>143</v>
      </c>
      <c r="AH398" s="3">
        <v>34</v>
      </c>
      <c r="AI398" s="3">
        <v>39</v>
      </c>
      <c r="AJ398" s="3">
        <v>5</v>
      </c>
      <c r="AK398" s="3">
        <v>86</v>
      </c>
      <c r="AL398" s="3" t="s">
        <v>145</v>
      </c>
      <c r="AM398" s="3" t="s">
        <v>146</v>
      </c>
      <c r="AN398" s="3" t="s">
        <v>279</v>
      </c>
      <c r="AO398" s="3" t="s">
        <v>74</v>
      </c>
      <c r="AP398" s="3" t="s">
        <v>148</v>
      </c>
      <c r="AQ398" s="3" t="s">
        <v>74</v>
      </c>
      <c r="AR398" s="3" t="s">
        <v>149</v>
      </c>
      <c r="AS398" s="3" t="s">
        <v>150</v>
      </c>
      <c r="AT398" s="3" t="s">
        <v>8170</v>
      </c>
      <c r="AU398" s="3">
        <v>2019</v>
      </c>
      <c r="AV398" s="3">
        <v>11</v>
      </c>
      <c r="AW398" s="3">
        <v>6</v>
      </c>
      <c r="AX398" s="3" t="s">
        <v>74</v>
      </c>
      <c r="AY398" s="3" t="s">
        <v>74</v>
      </c>
      <c r="AZ398" s="3" t="s">
        <v>74</v>
      </c>
      <c r="BA398" s="3" t="s">
        <v>74</v>
      </c>
      <c r="BB398" s="3" t="s">
        <v>74</v>
      </c>
      <c r="BC398" s="3" t="s">
        <v>74</v>
      </c>
      <c r="BD398" s="3">
        <v>1749</v>
      </c>
      <c r="BE398" s="3" t="s">
        <v>8171</v>
      </c>
      <c r="BF398" s="3" t="str">
        <f>HYPERLINK("http://dx.doi.org/10.3390/su11061749","http://dx.doi.org/10.3390/su11061749")</f>
        <v>http://dx.doi.org/10.3390/su11061749</v>
      </c>
      <c r="BG398" s="3" t="s">
        <v>74</v>
      </c>
      <c r="BH398" s="3" t="s">
        <v>74</v>
      </c>
      <c r="BI398" s="3">
        <v>25</v>
      </c>
      <c r="BJ398" s="3" t="s">
        <v>153</v>
      </c>
      <c r="BK398" s="3" t="s">
        <v>154</v>
      </c>
      <c r="BL398" s="3" t="s">
        <v>155</v>
      </c>
      <c r="BM398" s="3" t="s">
        <v>8172</v>
      </c>
      <c r="BN398" s="3" t="s">
        <v>74</v>
      </c>
      <c r="BO398" s="3" t="s">
        <v>133</v>
      </c>
      <c r="BP398" s="3" t="s">
        <v>74</v>
      </c>
      <c r="BQ398" s="3" t="s">
        <v>74</v>
      </c>
      <c r="BR398" s="3" t="s">
        <v>101</v>
      </c>
      <c r="BS398" s="3" t="s">
        <v>8173</v>
      </c>
      <c r="BT398" s="3" t="str">
        <f>HYPERLINK("https%3A%2F%2Fwww.webofscience.com%2Fwos%2Fwoscc%2Ffull-record%2FWOS:000464350400016","View Full Record in Web of Science")</f>
        <v>View Full Record in Web of Science</v>
      </c>
      <c r="BU398" s="3"/>
      <c r="BV398" s="3"/>
      <c r="BW398" s="1"/>
    </row>
    <row r="399" spans="1:75" x14ac:dyDescent="0.25">
      <c r="A399" s="3" t="s">
        <v>72</v>
      </c>
      <c r="B399" s="3" t="s">
        <v>8174</v>
      </c>
      <c r="C399" s="3" t="s">
        <v>74</v>
      </c>
      <c r="D399" s="3" t="s">
        <v>74</v>
      </c>
      <c r="E399" s="3" t="s">
        <v>74</v>
      </c>
      <c r="F399" s="3" t="s">
        <v>8175</v>
      </c>
      <c r="G399" s="3" t="s">
        <v>74</v>
      </c>
      <c r="H399" s="3" t="s">
        <v>74</v>
      </c>
      <c r="I399" s="3" t="s">
        <v>8176</v>
      </c>
      <c r="J399" s="3" t="s">
        <v>8177</v>
      </c>
      <c r="K399" s="3" t="s">
        <v>74</v>
      </c>
      <c r="L399" s="3" t="s">
        <v>74</v>
      </c>
      <c r="M399" s="3" t="s">
        <v>110</v>
      </c>
      <c r="N399" s="3" t="s">
        <v>79</v>
      </c>
      <c r="O399" s="3" t="s">
        <v>74</v>
      </c>
      <c r="P399" s="3" t="s">
        <v>74</v>
      </c>
      <c r="Q399" s="3" t="s">
        <v>74</v>
      </c>
      <c r="R399" s="3" t="s">
        <v>74</v>
      </c>
      <c r="S399" s="3" t="s">
        <v>74</v>
      </c>
      <c r="T399" s="3" t="s">
        <v>8178</v>
      </c>
      <c r="U399" s="3" t="s">
        <v>74</v>
      </c>
      <c r="V399" s="3" t="s">
        <v>8179</v>
      </c>
      <c r="W399" s="3" t="s">
        <v>8180</v>
      </c>
      <c r="X399" s="3" t="s">
        <v>8181</v>
      </c>
      <c r="Y399" s="3" t="s">
        <v>8182</v>
      </c>
      <c r="Z399" s="3" t="s">
        <v>8183</v>
      </c>
      <c r="AA399" s="3" t="s">
        <v>74</v>
      </c>
      <c r="AB399" s="3" t="s">
        <v>8184</v>
      </c>
      <c r="AC399" s="3" t="s">
        <v>74</v>
      </c>
      <c r="AD399" s="3" t="s">
        <v>74</v>
      </c>
      <c r="AE399" s="3" t="s">
        <v>74</v>
      </c>
      <c r="AF399" s="3" t="s">
        <v>74</v>
      </c>
      <c r="AG399" s="3">
        <v>29</v>
      </c>
      <c r="AH399" s="3">
        <v>34</v>
      </c>
      <c r="AI399" s="3">
        <v>35</v>
      </c>
      <c r="AJ399" s="3">
        <v>0</v>
      </c>
      <c r="AK399" s="3">
        <v>32</v>
      </c>
      <c r="AL399" s="3" t="s">
        <v>3951</v>
      </c>
      <c r="AM399" s="3" t="s">
        <v>3952</v>
      </c>
      <c r="AN399" s="3" t="s">
        <v>5937</v>
      </c>
      <c r="AO399" s="3" t="s">
        <v>8185</v>
      </c>
      <c r="AP399" s="3" t="s">
        <v>8186</v>
      </c>
      <c r="AQ399" s="3" t="s">
        <v>74</v>
      </c>
      <c r="AR399" s="3" t="s">
        <v>8187</v>
      </c>
      <c r="AS399" s="3" t="s">
        <v>8188</v>
      </c>
      <c r="AT399" s="3" t="s">
        <v>990</v>
      </c>
      <c r="AU399" s="3">
        <v>2021</v>
      </c>
      <c r="AV399" s="3">
        <v>33</v>
      </c>
      <c r="AW399" s="3">
        <v>6</v>
      </c>
      <c r="AX399" s="3" t="s">
        <v>74</v>
      </c>
      <c r="AY399" s="3" t="s">
        <v>74</v>
      </c>
      <c r="AZ399" s="3" t="s">
        <v>74</v>
      </c>
      <c r="BA399" s="3" t="s">
        <v>74</v>
      </c>
      <c r="BB399" s="3">
        <v>2573</v>
      </c>
      <c r="BC399" s="3">
        <v>2587</v>
      </c>
      <c r="BD399" s="3" t="s">
        <v>74</v>
      </c>
      <c r="BE399" s="3" t="s">
        <v>8189</v>
      </c>
      <c r="BF399" s="3" t="str">
        <f>HYPERLINK("http://dx.doi.org/10.1109/TKDE.2019.2954868","http://dx.doi.org/10.1109/TKDE.2019.2954868")</f>
        <v>http://dx.doi.org/10.1109/TKDE.2019.2954868</v>
      </c>
      <c r="BG399" s="3" t="s">
        <v>74</v>
      </c>
      <c r="BH399" s="3" t="s">
        <v>74</v>
      </c>
      <c r="BI399" s="3">
        <v>15</v>
      </c>
      <c r="BJ399" s="3" t="s">
        <v>8190</v>
      </c>
      <c r="BK399" s="3" t="s">
        <v>179</v>
      </c>
      <c r="BL399" s="3" t="s">
        <v>383</v>
      </c>
      <c r="BM399" s="3" t="s">
        <v>8191</v>
      </c>
      <c r="BN399" s="3" t="s">
        <v>74</v>
      </c>
      <c r="BO399" s="3" t="s">
        <v>3738</v>
      </c>
      <c r="BP399" s="3" t="s">
        <v>74</v>
      </c>
      <c r="BQ399" s="3" t="s">
        <v>74</v>
      </c>
      <c r="BR399" s="3" t="s">
        <v>101</v>
      </c>
      <c r="BS399" s="3" t="s">
        <v>8192</v>
      </c>
      <c r="BT399" s="3" t="str">
        <f>HYPERLINK("https%3A%2F%2Fwww.webofscience.com%2Fwos%2Fwoscc%2Ffull-record%2FWOS:000649587600018","View Full Record in Web of Science")</f>
        <v>View Full Record in Web of Science</v>
      </c>
      <c r="BU399" s="3"/>
      <c r="BV399" s="3"/>
      <c r="BW399" s="1"/>
    </row>
    <row r="400" spans="1:75" x14ac:dyDescent="0.25">
      <c r="A400" s="3" t="s">
        <v>72</v>
      </c>
      <c r="B400" s="3" t="s">
        <v>8193</v>
      </c>
      <c r="C400" s="3" t="s">
        <v>74</v>
      </c>
      <c r="D400" s="3" t="s">
        <v>74</v>
      </c>
      <c r="E400" s="3" t="s">
        <v>74</v>
      </c>
      <c r="F400" s="3" t="s">
        <v>8194</v>
      </c>
      <c r="G400" s="3" t="s">
        <v>74</v>
      </c>
      <c r="H400" s="3" t="s">
        <v>74</v>
      </c>
      <c r="I400" s="3" t="s">
        <v>8195</v>
      </c>
      <c r="J400" s="3" t="s">
        <v>8196</v>
      </c>
      <c r="K400" s="3" t="s">
        <v>74</v>
      </c>
      <c r="L400" s="3" t="s">
        <v>74</v>
      </c>
      <c r="M400" s="3" t="s">
        <v>110</v>
      </c>
      <c r="N400" s="3" t="s">
        <v>79</v>
      </c>
      <c r="O400" s="3" t="s">
        <v>74</v>
      </c>
      <c r="P400" s="3" t="s">
        <v>74</v>
      </c>
      <c r="Q400" s="3" t="s">
        <v>74</v>
      </c>
      <c r="R400" s="3" t="s">
        <v>74</v>
      </c>
      <c r="S400" s="3" t="s">
        <v>74</v>
      </c>
      <c r="T400" s="3" t="s">
        <v>8197</v>
      </c>
      <c r="U400" s="3" t="s">
        <v>8198</v>
      </c>
      <c r="V400" s="3" t="s">
        <v>8199</v>
      </c>
      <c r="W400" s="3" t="s">
        <v>8200</v>
      </c>
      <c r="X400" s="3" t="s">
        <v>8201</v>
      </c>
      <c r="Y400" s="3" t="s">
        <v>8202</v>
      </c>
      <c r="Z400" s="3" t="s">
        <v>8203</v>
      </c>
      <c r="AA400" s="3" t="s">
        <v>8204</v>
      </c>
      <c r="AB400" s="3" t="s">
        <v>8205</v>
      </c>
      <c r="AC400" s="3" t="s">
        <v>8206</v>
      </c>
      <c r="AD400" s="3" t="s">
        <v>8207</v>
      </c>
      <c r="AE400" s="3" t="s">
        <v>8208</v>
      </c>
      <c r="AF400" s="3" t="s">
        <v>74</v>
      </c>
      <c r="AG400" s="3">
        <v>31</v>
      </c>
      <c r="AH400" s="3">
        <v>32</v>
      </c>
      <c r="AI400" s="3">
        <v>34</v>
      </c>
      <c r="AJ400" s="3">
        <v>2</v>
      </c>
      <c r="AK400" s="3">
        <v>39</v>
      </c>
      <c r="AL400" s="3" t="s">
        <v>6397</v>
      </c>
      <c r="AM400" s="3" t="s">
        <v>6398</v>
      </c>
      <c r="AN400" s="3" t="s">
        <v>6399</v>
      </c>
      <c r="AO400" s="3" t="s">
        <v>8209</v>
      </c>
      <c r="AP400" s="3" t="s">
        <v>8210</v>
      </c>
      <c r="AQ400" s="3" t="s">
        <v>74</v>
      </c>
      <c r="AR400" s="3" t="s">
        <v>8211</v>
      </c>
      <c r="AS400" s="3" t="s">
        <v>8212</v>
      </c>
      <c r="AT400" s="3" t="s">
        <v>151</v>
      </c>
      <c r="AU400" s="3">
        <v>2019</v>
      </c>
      <c r="AV400" s="3">
        <v>9</v>
      </c>
      <c r="AW400" s="3">
        <v>4</v>
      </c>
      <c r="AX400" s="3" t="s">
        <v>74</v>
      </c>
      <c r="AY400" s="3" t="s">
        <v>74</v>
      </c>
      <c r="AZ400" s="3" t="s">
        <v>74</v>
      </c>
      <c r="BA400" s="3" t="s">
        <v>74</v>
      </c>
      <c r="BB400" s="3">
        <v>176</v>
      </c>
      <c r="BC400" s="3">
        <v>185</v>
      </c>
      <c r="BD400" s="3" t="s">
        <v>74</v>
      </c>
      <c r="BE400" s="3" t="s">
        <v>8213</v>
      </c>
      <c r="BF400" s="3" t="str">
        <f>HYPERLINK("http://dx.doi.org/10.1049/iet-est.2019.0032","http://dx.doi.org/10.1049/iet-est.2019.0032")</f>
        <v>http://dx.doi.org/10.1049/iet-est.2019.0032</v>
      </c>
      <c r="BG400" s="3" t="s">
        <v>74</v>
      </c>
      <c r="BH400" s="3" t="s">
        <v>74</v>
      </c>
      <c r="BI400" s="3">
        <v>10</v>
      </c>
      <c r="BJ400" s="3" t="s">
        <v>1665</v>
      </c>
      <c r="BK400" s="3" t="s">
        <v>179</v>
      </c>
      <c r="BL400" s="3" t="s">
        <v>411</v>
      </c>
      <c r="BM400" s="3" t="s">
        <v>8214</v>
      </c>
      <c r="BN400" s="3" t="s">
        <v>74</v>
      </c>
      <c r="BO400" s="3" t="s">
        <v>6568</v>
      </c>
      <c r="BP400" s="3" t="s">
        <v>74</v>
      </c>
      <c r="BQ400" s="3" t="s">
        <v>74</v>
      </c>
      <c r="BR400" s="3" t="s">
        <v>101</v>
      </c>
      <c r="BS400" s="3" t="s">
        <v>8215</v>
      </c>
      <c r="BT400" s="3" t="str">
        <f>HYPERLINK("https%3A%2F%2Fwww.webofscience.com%2Fwos%2Fwoscc%2Ffull-record%2FWOS:000504983700004","View Full Record in Web of Science")</f>
        <v>View Full Record in Web of Science</v>
      </c>
      <c r="BU400" s="3"/>
      <c r="BV400" s="3"/>
      <c r="BW400" s="1"/>
    </row>
    <row r="401" spans="1:75" x14ac:dyDescent="0.25">
      <c r="A401" s="3" t="s">
        <v>72</v>
      </c>
      <c r="B401" s="3" t="s">
        <v>8216</v>
      </c>
      <c r="C401" s="3" t="s">
        <v>74</v>
      </c>
      <c r="D401" s="3" t="s">
        <v>74</v>
      </c>
      <c r="E401" s="3" t="s">
        <v>74</v>
      </c>
      <c r="F401" s="3" t="s">
        <v>8217</v>
      </c>
      <c r="G401" s="3" t="s">
        <v>74</v>
      </c>
      <c r="H401" s="3" t="s">
        <v>74</v>
      </c>
      <c r="I401" s="3" t="s">
        <v>8218</v>
      </c>
      <c r="J401" s="3" t="s">
        <v>161</v>
      </c>
      <c r="K401" s="3" t="s">
        <v>74</v>
      </c>
      <c r="L401" s="3" t="s">
        <v>74</v>
      </c>
      <c r="M401" s="3" t="s">
        <v>110</v>
      </c>
      <c r="N401" s="3" t="s">
        <v>79</v>
      </c>
      <c r="O401" s="3" t="s">
        <v>74</v>
      </c>
      <c r="P401" s="3" t="s">
        <v>74</v>
      </c>
      <c r="Q401" s="3" t="s">
        <v>74</v>
      </c>
      <c r="R401" s="3" t="s">
        <v>74</v>
      </c>
      <c r="S401" s="3" t="s">
        <v>74</v>
      </c>
      <c r="T401" s="3" t="s">
        <v>8219</v>
      </c>
      <c r="U401" s="3" t="s">
        <v>8220</v>
      </c>
      <c r="V401" s="3" t="s">
        <v>8221</v>
      </c>
      <c r="W401" s="3" t="s">
        <v>8222</v>
      </c>
      <c r="X401" s="3" t="s">
        <v>8223</v>
      </c>
      <c r="Y401" s="3" t="s">
        <v>8224</v>
      </c>
      <c r="Z401" s="3" t="s">
        <v>8225</v>
      </c>
      <c r="AA401" s="3" t="s">
        <v>8226</v>
      </c>
      <c r="AB401" s="3" t="s">
        <v>8227</v>
      </c>
      <c r="AC401" s="3" t="s">
        <v>8228</v>
      </c>
      <c r="AD401" s="3" t="s">
        <v>8229</v>
      </c>
      <c r="AE401" s="3" t="s">
        <v>8230</v>
      </c>
      <c r="AF401" s="3" t="s">
        <v>74</v>
      </c>
      <c r="AG401" s="3">
        <v>54</v>
      </c>
      <c r="AH401" s="3">
        <v>32</v>
      </c>
      <c r="AI401" s="3">
        <v>34</v>
      </c>
      <c r="AJ401" s="3">
        <v>0</v>
      </c>
      <c r="AK401" s="3">
        <v>40</v>
      </c>
      <c r="AL401" s="3" t="s">
        <v>145</v>
      </c>
      <c r="AM401" s="3" t="s">
        <v>146</v>
      </c>
      <c r="AN401" s="3" t="s">
        <v>279</v>
      </c>
      <c r="AO401" s="3" t="s">
        <v>74</v>
      </c>
      <c r="AP401" s="3" t="s">
        <v>174</v>
      </c>
      <c r="AQ401" s="3" t="s">
        <v>74</v>
      </c>
      <c r="AR401" s="3" t="s">
        <v>161</v>
      </c>
      <c r="AS401" s="3" t="s">
        <v>175</v>
      </c>
      <c r="AT401" s="3" t="s">
        <v>1931</v>
      </c>
      <c r="AU401" s="3">
        <v>2019</v>
      </c>
      <c r="AV401" s="3">
        <v>12</v>
      </c>
      <c r="AW401" s="3">
        <v>7</v>
      </c>
      <c r="AX401" s="3" t="s">
        <v>74</v>
      </c>
      <c r="AY401" s="3" t="s">
        <v>74</v>
      </c>
      <c r="AZ401" s="3" t="s">
        <v>74</v>
      </c>
      <c r="BA401" s="3" t="s">
        <v>74</v>
      </c>
      <c r="BB401" s="3" t="s">
        <v>74</v>
      </c>
      <c r="BC401" s="3" t="s">
        <v>74</v>
      </c>
      <c r="BD401" s="3">
        <v>1407</v>
      </c>
      <c r="BE401" s="3" t="s">
        <v>8231</v>
      </c>
      <c r="BF401" s="3" t="str">
        <f>HYPERLINK("http://dx.doi.org/10.3390/en12071407","http://dx.doi.org/10.3390/en12071407")</f>
        <v>http://dx.doi.org/10.3390/en12071407</v>
      </c>
      <c r="BG401" s="3" t="s">
        <v>74</v>
      </c>
      <c r="BH401" s="3" t="s">
        <v>74</v>
      </c>
      <c r="BI401" s="3">
        <v>18</v>
      </c>
      <c r="BJ401" s="3" t="s">
        <v>178</v>
      </c>
      <c r="BK401" s="3" t="s">
        <v>179</v>
      </c>
      <c r="BL401" s="3" t="s">
        <v>178</v>
      </c>
      <c r="BM401" s="3" t="s">
        <v>8232</v>
      </c>
      <c r="BN401" s="3" t="s">
        <v>74</v>
      </c>
      <c r="BO401" s="3" t="s">
        <v>133</v>
      </c>
      <c r="BP401" s="3" t="s">
        <v>74</v>
      </c>
      <c r="BQ401" s="3" t="s">
        <v>74</v>
      </c>
      <c r="BR401" s="3" t="s">
        <v>101</v>
      </c>
      <c r="BS401" s="3" t="s">
        <v>8233</v>
      </c>
      <c r="BT401" s="3" t="str">
        <f>HYPERLINK("https%3A%2F%2Fwww.webofscience.com%2Fwos%2Fwoscc%2Ffull-record%2FWOS:000465561400224","View Full Record in Web of Science")</f>
        <v>View Full Record in Web of Science</v>
      </c>
      <c r="BU401" s="3"/>
      <c r="BV401" s="3"/>
      <c r="BW401" s="1"/>
    </row>
    <row r="402" spans="1:75" x14ac:dyDescent="0.25">
      <c r="A402" s="3" t="s">
        <v>72</v>
      </c>
      <c r="B402" s="3" t="s">
        <v>8234</v>
      </c>
      <c r="C402" s="3" t="s">
        <v>74</v>
      </c>
      <c r="D402" s="3" t="s">
        <v>74</v>
      </c>
      <c r="E402" s="3" t="s">
        <v>74</v>
      </c>
      <c r="F402" s="3" t="s">
        <v>8235</v>
      </c>
      <c r="G402" s="3" t="s">
        <v>74</v>
      </c>
      <c r="H402" s="3" t="s">
        <v>74</v>
      </c>
      <c r="I402" s="3" t="s">
        <v>8236</v>
      </c>
      <c r="J402" s="3" t="s">
        <v>138</v>
      </c>
      <c r="K402" s="3" t="s">
        <v>74</v>
      </c>
      <c r="L402" s="3" t="s">
        <v>74</v>
      </c>
      <c r="M402" s="3" t="s">
        <v>110</v>
      </c>
      <c r="N402" s="3" t="s">
        <v>79</v>
      </c>
      <c r="O402" s="3" t="s">
        <v>74</v>
      </c>
      <c r="P402" s="3" t="s">
        <v>74</v>
      </c>
      <c r="Q402" s="3" t="s">
        <v>74</v>
      </c>
      <c r="R402" s="3" t="s">
        <v>74</v>
      </c>
      <c r="S402" s="3" t="s">
        <v>74</v>
      </c>
      <c r="T402" s="3" t="s">
        <v>8237</v>
      </c>
      <c r="U402" s="3" t="s">
        <v>8238</v>
      </c>
      <c r="V402" s="3" t="s">
        <v>8239</v>
      </c>
      <c r="W402" s="3" t="s">
        <v>8240</v>
      </c>
      <c r="X402" s="3" t="s">
        <v>8241</v>
      </c>
      <c r="Y402" s="3" t="s">
        <v>8242</v>
      </c>
      <c r="Z402" s="3" t="s">
        <v>8243</v>
      </c>
      <c r="AA402" s="3" t="s">
        <v>8244</v>
      </c>
      <c r="AB402" s="3" t="s">
        <v>8245</v>
      </c>
      <c r="AC402" s="3" t="s">
        <v>8246</v>
      </c>
      <c r="AD402" s="3" t="s">
        <v>8247</v>
      </c>
      <c r="AE402" s="3" t="s">
        <v>8248</v>
      </c>
      <c r="AF402" s="3" t="s">
        <v>74</v>
      </c>
      <c r="AG402" s="3">
        <v>134</v>
      </c>
      <c r="AH402" s="3">
        <v>25</v>
      </c>
      <c r="AI402" s="3">
        <v>28</v>
      </c>
      <c r="AJ402" s="3">
        <v>1</v>
      </c>
      <c r="AK402" s="3">
        <v>59</v>
      </c>
      <c r="AL402" s="3" t="s">
        <v>145</v>
      </c>
      <c r="AM402" s="3" t="s">
        <v>146</v>
      </c>
      <c r="AN402" s="3" t="s">
        <v>147</v>
      </c>
      <c r="AO402" s="3" t="s">
        <v>74</v>
      </c>
      <c r="AP402" s="3" t="s">
        <v>148</v>
      </c>
      <c r="AQ402" s="3" t="s">
        <v>74</v>
      </c>
      <c r="AR402" s="3" t="s">
        <v>149</v>
      </c>
      <c r="AS402" s="3" t="s">
        <v>150</v>
      </c>
      <c r="AT402" s="3" t="s">
        <v>1240</v>
      </c>
      <c r="AU402" s="3">
        <v>2021</v>
      </c>
      <c r="AV402" s="3">
        <v>13</v>
      </c>
      <c r="AW402" s="3">
        <v>10</v>
      </c>
      <c r="AX402" s="3" t="s">
        <v>74</v>
      </c>
      <c r="AY402" s="3" t="s">
        <v>74</v>
      </c>
      <c r="AZ402" s="3" t="s">
        <v>74</v>
      </c>
      <c r="BA402" s="3" t="s">
        <v>74</v>
      </c>
      <c r="BB402" s="3" t="s">
        <v>74</v>
      </c>
      <c r="BC402" s="3" t="s">
        <v>74</v>
      </c>
      <c r="BD402" s="3">
        <v>5642</v>
      </c>
      <c r="BE402" s="3" t="s">
        <v>8249</v>
      </c>
      <c r="BF402" s="3" t="str">
        <f>HYPERLINK("http://dx.doi.org/10.3390/su13105642","http://dx.doi.org/10.3390/su13105642")</f>
        <v>http://dx.doi.org/10.3390/su13105642</v>
      </c>
      <c r="BG402" s="3" t="s">
        <v>74</v>
      </c>
      <c r="BH402" s="3" t="s">
        <v>74</v>
      </c>
      <c r="BI402" s="3">
        <v>13</v>
      </c>
      <c r="BJ402" s="3" t="s">
        <v>153</v>
      </c>
      <c r="BK402" s="3" t="s">
        <v>154</v>
      </c>
      <c r="BL402" s="3" t="s">
        <v>155</v>
      </c>
      <c r="BM402" s="3" t="s">
        <v>8250</v>
      </c>
      <c r="BN402" s="3" t="s">
        <v>74</v>
      </c>
      <c r="BO402" s="3" t="s">
        <v>133</v>
      </c>
      <c r="BP402" s="3" t="s">
        <v>74</v>
      </c>
      <c r="BQ402" s="3" t="s">
        <v>74</v>
      </c>
      <c r="BR402" s="3" t="s">
        <v>101</v>
      </c>
      <c r="BS402" s="3" t="s">
        <v>8251</v>
      </c>
      <c r="BT402" s="3" t="str">
        <f>HYPERLINK("https%3A%2F%2Fwww.webofscience.com%2Fwos%2Fwoscc%2Ffull-record%2FWOS:000662498500001","View Full Record in Web of Science")</f>
        <v>View Full Record in Web of Science</v>
      </c>
      <c r="BU402" s="3"/>
      <c r="BV402" s="3"/>
      <c r="BW402" s="1"/>
    </row>
    <row r="403" spans="1:75" x14ac:dyDescent="0.25">
      <c r="A403" s="3" t="s">
        <v>72</v>
      </c>
      <c r="B403" s="3" t="s">
        <v>8252</v>
      </c>
      <c r="C403" s="3" t="s">
        <v>74</v>
      </c>
      <c r="D403" s="3" t="s">
        <v>74</v>
      </c>
      <c r="E403" s="3" t="s">
        <v>74</v>
      </c>
      <c r="F403" s="3" t="s">
        <v>8253</v>
      </c>
      <c r="G403" s="3" t="s">
        <v>74</v>
      </c>
      <c r="H403" s="3" t="s">
        <v>74</v>
      </c>
      <c r="I403" s="3" t="s">
        <v>8254</v>
      </c>
      <c r="J403" s="3" t="s">
        <v>1861</v>
      </c>
      <c r="K403" s="3" t="s">
        <v>74</v>
      </c>
      <c r="L403" s="3" t="s">
        <v>74</v>
      </c>
      <c r="M403" s="3" t="s">
        <v>110</v>
      </c>
      <c r="N403" s="3" t="s">
        <v>79</v>
      </c>
      <c r="O403" s="3" t="s">
        <v>74</v>
      </c>
      <c r="P403" s="3" t="s">
        <v>74</v>
      </c>
      <c r="Q403" s="3" t="s">
        <v>74</v>
      </c>
      <c r="R403" s="3" t="s">
        <v>74</v>
      </c>
      <c r="S403" s="3" t="s">
        <v>74</v>
      </c>
      <c r="T403" s="3" t="s">
        <v>8255</v>
      </c>
      <c r="U403" s="3" t="s">
        <v>8256</v>
      </c>
      <c r="V403" s="3" t="s">
        <v>8257</v>
      </c>
      <c r="W403" s="3" t="s">
        <v>8258</v>
      </c>
      <c r="X403" s="3" t="s">
        <v>8259</v>
      </c>
      <c r="Y403" s="3" t="s">
        <v>8260</v>
      </c>
      <c r="Z403" s="3" t="s">
        <v>8261</v>
      </c>
      <c r="AA403" s="3" t="s">
        <v>8262</v>
      </c>
      <c r="AB403" s="3" t="s">
        <v>8263</v>
      </c>
      <c r="AC403" s="3" t="s">
        <v>8264</v>
      </c>
      <c r="AD403" s="3" t="s">
        <v>8265</v>
      </c>
      <c r="AE403" s="3" t="s">
        <v>8266</v>
      </c>
      <c r="AF403" s="3" t="s">
        <v>74</v>
      </c>
      <c r="AG403" s="3">
        <v>34</v>
      </c>
      <c r="AH403" s="3">
        <v>45</v>
      </c>
      <c r="AI403" s="3">
        <v>50</v>
      </c>
      <c r="AJ403" s="3">
        <v>5</v>
      </c>
      <c r="AK403" s="3">
        <v>66</v>
      </c>
      <c r="AL403" s="3" t="s">
        <v>145</v>
      </c>
      <c r="AM403" s="3" t="s">
        <v>146</v>
      </c>
      <c r="AN403" s="3" t="s">
        <v>279</v>
      </c>
      <c r="AO403" s="3" t="s">
        <v>74</v>
      </c>
      <c r="AP403" s="3" t="s">
        <v>1873</v>
      </c>
      <c r="AQ403" s="3" t="s">
        <v>74</v>
      </c>
      <c r="AR403" s="3" t="s">
        <v>1874</v>
      </c>
      <c r="AS403" s="3" t="s">
        <v>1875</v>
      </c>
      <c r="AT403" s="3" t="s">
        <v>807</v>
      </c>
      <c r="AU403" s="3">
        <v>2020</v>
      </c>
      <c r="AV403" s="3">
        <v>10</v>
      </c>
      <c r="AW403" s="3">
        <v>12</v>
      </c>
      <c r="AX403" s="3" t="s">
        <v>74</v>
      </c>
      <c r="AY403" s="3" t="s">
        <v>74</v>
      </c>
      <c r="AZ403" s="3" t="s">
        <v>74</v>
      </c>
      <c r="BA403" s="3" t="s">
        <v>74</v>
      </c>
      <c r="BB403" s="3" t="s">
        <v>74</v>
      </c>
      <c r="BC403" s="3" t="s">
        <v>74</v>
      </c>
      <c r="BD403" s="3">
        <v>4362</v>
      </c>
      <c r="BE403" s="3" t="s">
        <v>8267</v>
      </c>
      <c r="BF403" s="3" t="str">
        <f>HYPERLINK("http://dx.doi.org/10.3390/app10124362","http://dx.doi.org/10.3390/app10124362")</f>
        <v>http://dx.doi.org/10.3390/app10124362</v>
      </c>
      <c r="BG403" s="3" t="s">
        <v>74</v>
      </c>
      <c r="BH403" s="3" t="s">
        <v>74</v>
      </c>
      <c r="BI403" s="3">
        <v>20</v>
      </c>
      <c r="BJ403" s="3" t="s">
        <v>1877</v>
      </c>
      <c r="BK403" s="3" t="s">
        <v>179</v>
      </c>
      <c r="BL403" s="3" t="s">
        <v>1878</v>
      </c>
      <c r="BM403" s="3" t="s">
        <v>8268</v>
      </c>
      <c r="BN403" s="3" t="s">
        <v>74</v>
      </c>
      <c r="BO403" s="3" t="s">
        <v>133</v>
      </c>
      <c r="BP403" s="3" t="s">
        <v>74</v>
      </c>
      <c r="BQ403" s="3" t="s">
        <v>74</v>
      </c>
      <c r="BR403" s="3" t="s">
        <v>101</v>
      </c>
      <c r="BS403" s="3" t="s">
        <v>8269</v>
      </c>
      <c r="BT403" s="3" t="str">
        <f>HYPERLINK("https%3A%2F%2Fwww.webofscience.com%2Fwos%2Fwoscc%2Ffull-record%2FWOS:000554738500001","View Full Record in Web of Science")</f>
        <v>View Full Record in Web of Science</v>
      </c>
      <c r="BU403" s="3"/>
      <c r="BV403" s="3"/>
      <c r="BW403" s="1"/>
    </row>
    <row r="404" spans="1:75" x14ac:dyDescent="0.25">
      <c r="A404" s="3" t="s">
        <v>72</v>
      </c>
      <c r="B404" s="3" t="s">
        <v>8270</v>
      </c>
      <c r="C404" s="3" t="s">
        <v>74</v>
      </c>
      <c r="D404" s="3" t="s">
        <v>74</v>
      </c>
      <c r="E404" s="3" t="s">
        <v>74</v>
      </c>
      <c r="F404" s="3" t="s">
        <v>8271</v>
      </c>
      <c r="G404" s="3" t="s">
        <v>74</v>
      </c>
      <c r="H404" s="3" t="s">
        <v>74</v>
      </c>
      <c r="I404" s="3" t="s">
        <v>8272</v>
      </c>
      <c r="J404" s="3" t="s">
        <v>138</v>
      </c>
      <c r="K404" s="3" t="s">
        <v>74</v>
      </c>
      <c r="L404" s="3" t="s">
        <v>74</v>
      </c>
      <c r="M404" s="3" t="s">
        <v>110</v>
      </c>
      <c r="N404" s="3" t="s">
        <v>79</v>
      </c>
      <c r="O404" s="3" t="s">
        <v>74</v>
      </c>
      <c r="P404" s="3" t="s">
        <v>74</v>
      </c>
      <c r="Q404" s="3" t="s">
        <v>74</v>
      </c>
      <c r="R404" s="3" t="s">
        <v>74</v>
      </c>
      <c r="S404" s="3" t="s">
        <v>74</v>
      </c>
      <c r="T404" s="3" t="s">
        <v>8273</v>
      </c>
      <c r="U404" s="3" t="s">
        <v>8274</v>
      </c>
      <c r="V404" s="3" t="s">
        <v>8275</v>
      </c>
      <c r="W404" s="3" t="s">
        <v>8276</v>
      </c>
      <c r="X404" s="3" t="s">
        <v>8277</v>
      </c>
      <c r="Y404" s="3" t="s">
        <v>8278</v>
      </c>
      <c r="Z404" s="3" t="s">
        <v>8279</v>
      </c>
      <c r="AA404" s="3" t="s">
        <v>8280</v>
      </c>
      <c r="AB404" s="3" t="s">
        <v>8281</v>
      </c>
      <c r="AC404" s="3" t="s">
        <v>8282</v>
      </c>
      <c r="AD404" s="3" t="s">
        <v>8283</v>
      </c>
      <c r="AE404" s="3" t="s">
        <v>8284</v>
      </c>
      <c r="AF404" s="3" t="s">
        <v>74</v>
      </c>
      <c r="AG404" s="3">
        <v>73</v>
      </c>
      <c r="AH404" s="3">
        <v>30</v>
      </c>
      <c r="AI404" s="3">
        <v>36</v>
      </c>
      <c r="AJ404" s="3">
        <v>2</v>
      </c>
      <c r="AK404" s="3">
        <v>49</v>
      </c>
      <c r="AL404" s="3" t="s">
        <v>145</v>
      </c>
      <c r="AM404" s="3" t="s">
        <v>146</v>
      </c>
      <c r="AN404" s="3" t="s">
        <v>279</v>
      </c>
      <c r="AO404" s="3" t="s">
        <v>148</v>
      </c>
      <c r="AP404" s="3" t="s">
        <v>74</v>
      </c>
      <c r="AQ404" s="3" t="s">
        <v>74</v>
      </c>
      <c r="AR404" s="3" t="s">
        <v>149</v>
      </c>
      <c r="AS404" s="3" t="s">
        <v>150</v>
      </c>
      <c r="AT404" s="3" t="s">
        <v>8285</v>
      </c>
      <c r="AU404" s="3">
        <v>2019</v>
      </c>
      <c r="AV404" s="3">
        <v>11</v>
      </c>
      <c r="AW404" s="3">
        <v>5</v>
      </c>
      <c r="AX404" s="3" t="s">
        <v>74</v>
      </c>
      <c r="AY404" s="3" t="s">
        <v>74</v>
      </c>
      <c r="AZ404" s="3" t="s">
        <v>74</v>
      </c>
      <c r="BA404" s="3" t="s">
        <v>74</v>
      </c>
      <c r="BB404" s="3" t="s">
        <v>74</v>
      </c>
      <c r="BC404" s="3" t="s">
        <v>74</v>
      </c>
      <c r="BD404" s="3">
        <v>1413</v>
      </c>
      <c r="BE404" s="3" t="s">
        <v>8286</v>
      </c>
      <c r="BF404" s="3" t="str">
        <f>HYPERLINK("http://dx.doi.org/10.3390/su11051413","http://dx.doi.org/10.3390/su11051413")</f>
        <v>http://dx.doi.org/10.3390/su11051413</v>
      </c>
      <c r="BG404" s="3" t="s">
        <v>74</v>
      </c>
      <c r="BH404" s="3" t="s">
        <v>74</v>
      </c>
      <c r="BI404" s="3">
        <v>22</v>
      </c>
      <c r="BJ404" s="3" t="s">
        <v>153</v>
      </c>
      <c r="BK404" s="3" t="s">
        <v>154</v>
      </c>
      <c r="BL404" s="3" t="s">
        <v>155</v>
      </c>
      <c r="BM404" s="3" t="s">
        <v>8287</v>
      </c>
      <c r="BN404" s="3" t="s">
        <v>74</v>
      </c>
      <c r="BO404" s="3" t="s">
        <v>133</v>
      </c>
      <c r="BP404" s="3" t="s">
        <v>74</v>
      </c>
      <c r="BQ404" s="3" t="s">
        <v>74</v>
      </c>
      <c r="BR404" s="3" t="s">
        <v>101</v>
      </c>
      <c r="BS404" s="3" t="s">
        <v>8288</v>
      </c>
      <c r="BT404" s="3" t="str">
        <f>HYPERLINK("https%3A%2F%2Fwww.webofscience.com%2Fwos%2Fwoscc%2Ffull-record%2FWOS:000462661000197","View Full Record in Web of Science")</f>
        <v>View Full Record in Web of Science</v>
      </c>
      <c r="BU404" s="3"/>
      <c r="BV404" s="3"/>
      <c r="BW404" s="1"/>
    </row>
    <row r="405" spans="1:75" x14ac:dyDescent="0.25">
      <c r="A405" s="3" t="s">
        <v>72</v>
      </c>
      <c r="B405" s="3" t="s">
        <v>8289</v>
      </c>
      <c r="C405" s="3" t="s">
        <v>74</v>
      </c>
      <c r="D405" s="3" t="s">
        <v>74</v>
      </c>
      <c r="E405" s="3" t="s">
        <v>74</v>
      </c>
      <c r="F405" s="3" t="s">
        <v>8290</v>
      </c>
      <c r="G405" s="3" t="s">
        <v>74</v>
      </c>
      <c r="H405" s="3" t="s">
        <v>74</v>
      </c>
      <c r="I405" s="3" t="s">
        <v>8291</v>
      </c>
      <c r="J405" s="3" t="s">
        <v>242</v>
      </c>
      <c r="K405" s="3" t="s">
        <v>74</v>
      </c>
      <c r="L405" s="3" t="s">
        <v>74</v>
      </c>
      <c r="M405" s="3" t="s">
        <v>110</v>
      </c>
      <c r="N405" s="3" t="s">
        <v>79</v>
      </c>
      <c r="O405" s="3" t="s">
        <v>74</v>
      </c>
      <c r="P405" s="3" t="s">
        <v>74</v>
      </c>
      <c r="Q405" s="3" t="s">
        <v>74</v>
      </c>
      <c r="R405" s="3" t="s">
        <v>74</v>
      </c>
      <c r="S405" s="3" t="s">
        <v>74</v>
      </c>
      <c r="T405" s="3" t="s">
        <v>8292</v>
      </c>
      <c r="U405" s="3" t="s">
        <v>8293</v>
      </c>
      <c r="V405" s="3" t="s">
        <v>8294</v>
      </c>
      <c r="W405" s="3" t="s">
        <v>8295</v>
      </c>
      <c r="X405" s="3" t="s">
        <v>8296</v>
      </c>
      <c r="Y405" s="3" t="s">
        <v>8297</v>
      </c>
      <c r="Z405" s="3" t="s">
        <v>8298</v>
      </c>
      <c r="AA405" s="3" t="s">
        <v>8299</v>
      </c>
      <c r="AB405" s="3" t="s">
        <v>8300</v>
      </c>
      <c r="AC405" s="3" t="s">
        <v>8301</v>
      </c>
      <c r="AD405" s="3" t="s">
        <v>8301</v>
      </c>
      <c r="AE405" s="3" t="s">
        <v>8302</v>
      </c>
      <c r="AF405" s="3" t="s">
        <v>74</v>
      </c>
      <c r="AG405" s="3">
        <v>48</v>
      </c>
      <c r="AH405" s="3">
        <v>16</v>
      </c>
      <c r="AI405" s="3">
        <v>17</v>
      </c>
      <c r="AJ405" s="3">
        <v>1</v>
      </c>
      <c r="AK405" s="3">
        <v>22</v>
      </c>
      <c r="AL405" s="3" t="s">
        <v>254</v>
      </c>
      <c r="AM405" s="3" t="s">
        <v>255</v>
      </c>
      <c r="AN405" s="3" t="s">
        <v>256</v>
      </c>
      <c r="AO405" s="3" t="s">
        <v>257</v>
      </c>
      <c r="AP405" s="3" t="s">
        <v>258</v>
      </c>
      <c r="AQ405" s="3" t="s">
        <v>74</v>
      </c>
      <c r="AR405" s="3" t="s">
        <v>242</v>
      </c>
      <c r="AS405" s="3" t="s">
        <v>259</v>
      </c>
      <c r="AT405" s="3" t="s">
        <v>807</v>
      </c>
      <c r="AU405" s="3">
        <v>2020</v>
      </c>
      <c r="AV405" s="3">
        <v>97</v>
      </c>
      <c r="AW405" s="3" t="s">
        <v>74</v>
      </c>
      <c r="AX405" s="3" t="s">
        <v>74</v>
      </c>
      <c r="AY405" s="3" t="s">
        <v>74</v>
      </c>
      <c r="AZ405" s="3" t="s">
        <v>74</v>
      </c>
      <c r="BA405" s="3" t="s">
        <v>74</v>
      </c>
      <c r="BB405" s="3" t="s">
        <v>74</v>
      </c>
      <c r="BC405" s="3" t="s">
        <v>74</v>
      </c>
      <c r="BD405" s="3">
        <v>102558</v>
      </c>
      <c r="BE405" s="3" t="s">
        <v>8303</v>
      </c>
      <c r="BF405" s="3" t="str">
        <f>HYPERLINK("http://dx.doi.org/10.1016/j.cities.2019.102558","http://dx.doi.org/10.1016/j.cities.2019.102558")</f>
        <v>http://dx.doi.org/10.1016/j.cities.2019.102558</v>
      </c>
      <c r="BG405" s="3" t="s">
        <v>74</v>
      </c>
      <c r="BH405" s="3" t="s">
        <v>74</v>
      </c>
      <c r="BI405" s="3">
        <v>10</v>
      </c>
      <c r="BJ405" s="3" t="s">
        <v>263</v>
      </c>
      <c r="BK405" s="3" t="s">
        <v>264</v>
      </c>
      <c r="BL405" s="3" t="s">
        <v>263</v>
      </c>
      <c r="BM405" s="3" t="s">
        <v>8304</v>
      </c>
      <c r="BN405" s="3" t="s">
        <v>74</v>
      </c>
      <c r="BO405" s="3" t="s">
        <v>74</v>
      </c>
      <c r="BP405" s="3" t="s">
        <v>74</v>
      </c>
      <c r="BQ405" s="3" t="s">
        <v>74</v>
      </c>
      <c r="BR405" s="3" t="s">
        <v>101</v>
      </c>
      <c r="BS405" s="3" t="s">
        <v>8305</v>
      </c>
      <c r="BT405" s="3" t="str">
        <f>HYPERLINK("https%3A%2F%2Fwww.webofscience.com%2Fwos%2Fwoscc%2Ffull-record%2FWOS:000510082600051","View Full Record in Web of Science")</f>
        <v>View Full Record in Web of Science</v>
      </c>
      <c r="BU405" s="3"/>
      <c r="BV405" s="3"/>
      <c r="BW405" s="1"/>
    </row>
    <row r="406" spans="1:75" x14ac:dyDescent="0.25">
      <c r="A406" s="3" t="s">
        <v>72</v>
      </c>
      <c r="B406" s="3" t="s">
        <v>8306</v>
      </c>
      <c r="C406" s="3" t="s">
        <v>74</v>
      </c>
      <c r="D406" s="3" t="s">
        <v>74</v>
      </c>
      <c r="E406" s="3" t="s">
        <v>74</v>
      </c>
      <c r="F406" s="3" t="s">
        <v>8307</v>
      </c>
      <c r="G406" s="3" t="s">
        <v>74</v>
      </c>
      <c r="H406" s="3" t="s">
        <v>74</v>
      </c>
      <c r="I406" s="3" t="s">
        <v>8308</v>
      </c>
      <c r="J406" s="3" t="s">
        <v>8309</v>
      </c>
      <c r="K406" s="3" t="s">
        <v>74</v>
      </c>
      <c r="L406" s="3" t="s">
        <v>74</v>
      </c>
      <c r="M406" s="3" t="s">
        <v>110</v>
      </c>
      <c r="N406" s="3" t="s">
        <v>79</v>
      </c>
      <c r="O406" s="3" t="s">
        <v>74</v>
      </c>
      <c r="P406" s="3" t="s">
        <v>74</v>
      </c>
      <c r="Q406" s="3" t="s">
        <v>74</v>
      </c>
      <c r="R406" s="3" t="s">
        <v>74</v>
      </c>
      <c r="S406" s="3" t="s">
        <v>74</v>
      </c>
      <c r="T406" s="3" t="s">
        <v>8310</v>
      </c>
      <c r="U406" s="3" t="s">
        <v>74</v>
      </c>
      <c r="V406" s="3" t="s">
        <v>8311</v>
      </c>
      <c r="W406" s="3" t="s">
        <v>8312</v>
      </c>
      <c r="X406" s="3" t="s">
        <v>74</v>
      </c>
      <c r="Y406" s="3" t="s">
        <v>8313</v>
      </c>
      <c r="Z406" s="3" t="s">
        <v>8314</v>
      </c>
      <c r="AA406" s="3" t="s">
        <v>8315</v>
      </c>
      <c r="AB406" s="3" t="s">
        <v>8316</v>
      </c>
      <c r="AC406" s="3" t="s">
        <v>74</v>
      </c>
      <c r="AD406" s="3" t="s">
        <v>74</v>
      </c>
      <c r="AE406" s="3" t="s">
        <v>74</v>
      </c>
      <c r="AF406" s="3" t="s">
        <v>74</v>
      </c>
      <c r="AG406" s="3">
        <v>53</v>
      </c>
      <c r="AH406" s="3">
        <v>11</v>
      </c>
      <c r="AI406" s="3">
        <v>13</v>
      </c>
      <c r="AJ406" s="3">
        <v>1</v>
      </c>
      <c r="AK406" s="3">
        <v>14</v>
      </c>
      <c r="AL406" s="3" t="s">
        <v>145</v>
      </c>
      <c r="AM406" s="3" t="s">
        <v>146</v>
      </c>
      <c r="AN406" s="3" t="s">
        <v>279</v>
      </c>
      <c r="AO406" s="3" t="s">
        <v>74</v>
      </c>
      <c r="AP406" s="3" t="s">
        <v>8317</v>
      </c>
      <c r="AQ406" s="3" t="s">
        <v>74</v>
      </c>
      <c r="AR406" s="3" t="s">
        <v>8318</v>
      </c>
      <c r="AS406" s="3" t="s">
        <v>8319</v>
      </c>
      <c r="AT406" s="3" t="s">
        <v>176</v>
      </c>
      <c r="AU406" s="3">
        <v>2020</v>
      </c>
      <c r="AV406" s="3">
        <v>5</v>
      </c>
      <c r="AW406" s="3">
        <v>2</v>
      </c>
      <c r="AX406" s="3" t="s">
        <v>74</v>
      </c>
      <c r="AY406" s="3" t="s">
        <v>74</v>
      </c>
      <c r="AZ406" s="3" t="s">
        <v>74</v>
      </c>
      <c r="BA406" s="3" t="s">
        <v>74</v>
      </c>
      <c r="BB406" s="3" t="s">
        <v>74</v>
      </c>
      <c r="BC406" s="3" t="s">
        <v>74</v>
      </c>
      <c r="BD406" s="3">
        <v>14</v>
      </c>
      <c r="BE406" s="3" t="s">
        <v>8320</v>
      </c>
      <c r="BF406" s="3" t="str">
        <f>HYPERLINK("http://dx.doi.org/10.3390/inventions5020014","http://dx.doi.org/10.3390/inventions5020014")</f>
        <v>http://dx.doi.org/10.3390/inventions5020014</v>
      </c>
      <c r="BG406" s="3" t="s">
        <v>74</v>
      </c>
      <c r="BH406" s="3" t="s">
        <v>74</v>
      </c>
      <c r="BI406" s="3">
        <v>21</v>
      </c>
      <c r="BJ406" s="3" t="s">
        <v>2600</v>
      </c>
      <c r="BK406" s="3" t="s">
        <v>97</v>
      </c>
      <c r="BL406" s="3" t="s">
        <v>2601</v>
      </c>
      <c r="BM406" s="3" t="s">
        <v>8321</v>
      </c>
      <c r="BN406" s="3" t="s">
        <v>74</v>
      </c>
      <c r="BO406" s="3" t="s">
        <v>133</v>
      </c>
      <c r="BP406" s="3" t="s">
        <v>74</v>
      </c>
      <c r="BQ406" s="3" t="s">
        <v>74</v>
      </c>
      <c r="BR406" s="3" t="s">
        <v>101</v>
      </c>
      <c r="BS406" s="3" t="s">
        <v>8322</v>
      </c>
      <c r="BT406" s="3" t="str">
        <f>HYPERLINK("https%3A%2F%2Fwww.webofscience.com%2Fwos%2Fwoscc%2Ffull-record%2FWOS:000698973600001","View Full Record in Web of Science")</f>
        <v>View Full Record in Web of Science</v>
      </c>
      <c r="BU406" s="3"/>
      <c r="BV406" s="3"/>
      <c r="BW406" s="1"/>
    </row>
    <row r="407" spans="1:75" x14ac:dyDescent="0.25">
      <c r="A407" s="3" t="s">
        <v>72</v>
      </c>
      <c r="B407" s="3" t="s">
        <v>8323</v>
      </c>
      <c r="C407" s="3" t="s">
        <v>74</v>
      </c>
      <c r="D407" s="3" t="s">
        <v>74</v>
      </c>
      <c r="E407" s="3" t="s">
        <v>74</v>
      </c>
      <c r="F407" s="3" t="s">
        <v>8324</v>
      </c>
      <c r="G407" s="3" t="s">
        <v>74</v>
      </c>
      <c r="H407" s="3" t="s">
        <v>74</v>
      </c>
      <c r="I407" s="3" t="s">
        <v>8325</v>
      </c>
      <c r="J407" s="3" t="s">
        <v>138</v>
      </c>
      <c r="K407" s="3" t="s">
        <v>74</v>
      </c>
      <c r="L407" s="3" t="s">
        <v>74</v>
      </c>
      <c r="M407" s="3" t="s">
        <v>110</v>
      </c>
      <c r="N407" s="3" t="s">
        <v>216</v>
      </c>
      <c r="O407" s="3" t="s">
        <v>74</v>
      </c>
      <c r="P407" s="3" t="s">
        <v>74</v>
      </c>
      <c r="Q407" s="3" t="s">
        <v>74</v>
      </c>
      <c r="R407" s="3" t="s">
        <v>74</v>
      </c>
      <c r="S407" s="3" t="s">
        <v>74</v>
      </c>
      <c r="T407" s="3" t="s">
        <v>8326</v>
      </c>
      <c r="U407" s="3" t="s">
        <v>8327</v>
      </c>
      <c r="V407" s="3" t="s">
        <v>8328</v>
      </c>
      <c r="W407" s="3" t="s">
        <v>8329</v>
      </c>
      <c r="X407" s="3" t="s">
        <v>7790</v>
      </c>
      <c r="Y407" s="3" t="s">
        <v>8330</v>
      </c>
      <c r="Z407" s="3" t="s">
        <v>8331</v>
      </c>
      <c r="AA407" s="3" t="s">
        <v>8332</v>
      </c>
      <c r="AB407" s="3" t="s">
        <v>8333</v>
      </c>
      <c r="AC407" s="3" t="s">
        <v>74</v>
      </c>
      <c r="AD407" s="3" t="s">
        <v>74</v>
      </c>
      <c r="AE407" s="3" t="s">
        <v>74</v>
      </c>
      <c r="AF407" s="3" t="s">
        <v>74</v>
      </c>
      <c r="AG407" s="3">
        <v>53</v>
      </c>
      <c r="AH407" s="3">
        <v>105</v>
      </c>
      <c r="AI407" s="3">
        <v>123</v>
      </c>
      <c r="AJ407" s="3">
        <v>3</v>
      </c>
      <c r="AK407" s="3">
        <v>169</v>
      </c>
      <c r="AL407" s="3" t="s">
        <v>145</v>
      </c>
      <c r="AM407" s="3" t="s">
        <v>146</v>
      </c>
      <c r="AN407" s="3" t="s">
        <v>279</v>
      </c>
      <c r="AO407" s="3" t="s">
        <v>148</v>
      </c>
      <c r="AP407" s="3" t="s">
        <v>74</v>
      </c>
      <c r="AQ407" s="3" t="s">
        <v>74</v>
      </c>
      <c r="AR407" s="3" t="s">
        <v>149</v>
      </c>
      <c r="AS407" s="3" t="s">
        <v>150</v>
      </c>
      <c r="AT407" s="3" t="s">
        <v>283</v>
      </c>
      <c r="AU407" s="3">
        <v>2017</v>
      </c>
      <c r="AV407" s="3">
        <v>9</v>
      </c>
      <c r="AW407" s="3">
        <v>8</v>
      </c>
      <c r="AX407" s="3" t="s">
        <v>74</v>
      </c>
      <c r="AY407" s="3" t="s">
        <v>74</v>
      </c>
      <c r="AZ407" s="3" t="s">
        <v>74</v>
      </c>
      <c r="BA407" s="3" t="s">
        <v>74</v>
      </c>
      <c r="BB407" s="3" t="s">
        <v>74</v>
      </c>
      <c r="BC407" s="3" t="s">
        <v>74</v>
      </c>
      <c r="BD407" s="3">
        <v>1324</v>
      </c>
      <c r="BE407" s="3" t="s">
        <v>8334</v>
      </c>
      <c r="BF407" s="3" t="str">
        <f>HYPERLINK("http://dx.doi.org/10.3390/su9081324","http://dx.doi.org/10.3390/su9081324")</f>
        <v>http://dx.doi.org/10.3390/su9081324</v>
      </c>
      <c r="BG407" s="3" t="s">
        <v>74</v>
      </c>
      <c r="BH407" s="3" t="s">
        <v>74</v>
      </c>
      <c r="BI407" s="3">
        <v>15</v>
      </c>
      <c r="BJ407" s="3" t="s">
        <v>153</v>
      </c>
      <c r="BK407" s="3" t="s">
        <v>154</v>
      </c>
      <c r="BL407" s="3" t="s">
        <v>155</v>
      </c>
      <c r="BM407" s="3" t="s">
        <v>8335</v>
      </c>
      <c r="BN407" s="3" t="s">
        <v>74</v>
      </c>
      <c r="BO407" s="3" t="s">
        <v>133</v>
      </c>
      <c r="BP407" s="3" t="s">
        <v>74</v>
      </c>
      <c r="BQ407" s="3" t="s">
        <v>74</v>
      </c>
      <c r="BR407" s="3" t="s">
        <v>101</v>
      </c>
      <c r="BS407" s="3" t="s">
        <v>8336</v>
      </c>
      <c r="BT407" s="3" t="str">
        <f>HYPERLINK("https%3A%2F%2Fwww.webofscience.com%2Fwos%2Fwoscc%2Ffull-record%2FWOS:000408861800039","View Full Record in Web of Science")</f>
        <v>View Full Record in Web of Science</v>
      </c>
      <c r="BU407" s="3"/>
      <c r="BV407" s="3"/>
      <c r="BW407" s="1"/>
    </row>
    <row r="408" spans="1:75" x14ac:dyDescent="0.25">
      <c r="A408" s="3" t="s">
        <v>72</v>
      </c>
      <c r="B408" s="3" t="s">
        <v>8337</v>
      </c>
      <c r="C408" s="3" t="s">
        <v>74</v>
      </c>
      <c r="D408" s="3" t="s">
        <v>74</v>
      </c>
      <c r="E408" s="3" t="s">
        <v>74</v>
      </c>
      <c r="F408" s="3" t="s">
        <v>8338</v>
      </c>
      <c r="G408" s="3" t="s">
        <v>74</v>
      </c>
      <c r="H408" s="3" t="s">
        <v>74</v>
      </c>
      <c r="I408" s="3" t="s">
        <v>8339</v>
      </c>
      <c r="J408" s="3" t="s">
        <v>7838</v>
      </c>
      <c r="K408" s="3" t="s">
        <v>74</v>
      </c>
      <c r="L408" s="3" t="s">
        <v>74</v>
      </c>
      <c r="M408" s="3" t="s">
        <v>110</v>
      </c>
      <c r="N408" s="3" t="s">
        <v>79</v>
      </c>
      <c r="O408" s="3" t="s">
        <v>74</v>
      </c>
      <c r="P408" s="3" t="s">
        <v>74</v>
      </c>
      <c r="Q408" s="3" t="s">
        <v>74</v>
      </c>
      <c r="R408" s="3" t="s">
        <v>74</v>
      </c>
      <c r="S408" s="3" t="s">
        <v>74</v>
      </c>
      <c r="T408" s="3" t="s">
        <v>8340</v>
      </c>
      <c r="U408" s="3" t="s">
        <v>8341</v>
      </c>
      <c r="V408" s="3" t="s">
        <v>8342</v>
      </c>
      <c r="W408" s="3" t="s">
        <v>8343</v>
      </c>
      <c r="X408" s="3" t="s">
        <v>8344</v>
      </c>
      <c r="Y408" s="3" t="s">
        <v>8345</v>
      </c>
      <c r="Z408" s="3" t="s">
        <v>8346</v>
      </c>
      <c r="AA408" s="3" t="s">
        <v>8347</v>
      </c>
      <c r="AB408" s="3" t="s">
        <v>8348</v>
      </c>
      <c r="AC408" s="3" t="s">
        <v>74</v>
      </c>
      <c r="AD408" s="3" t="s">
        <v>74</v>
      </c>
      <c r="AE408" s="3" t="s">
        <v>74</v>
      </c>
      <c r="AF408" s="3" t="s">
        <v>74</v>
      </c>
      <c r="AG408" s="3">
        <v>39</v>
      </c>
      <c r="AH408" s="3">
        <v>158</v>
      </c>
      <c r="AI408" s="3">
        <v>188</v>
      </c>
      <c r="AJ408" s="3">
        <v>3</v>
      </c>
      <c r="AK408" s="3">
        <v>87</v>
      </c>
      <c r="AL408" s="3" t="s">
        <v>254</v>
      </c>
      <c r="AM408" s="3" t="s">
        <v>305</v>
      </c>
      <c r="AN408" s="3" t="s">
        <v>7896</v>
      </c>
      <c r="AO408" s="3" t="s">
        <v>7851</v>
      </c>
      <c r="AP408" s="3" t="s">
        <v>74</v>
      </c>
      <c r="AQ408" s="3" t="s">
        <v>74</v>
      </c>
      <c r="AR408" s="3" t="s">
        <v>7853</v>
      </c>
      <c r="AS408" s="3" t="s">
        <v>7854</v>
      </c>
      <c r="AT408" s="3" t="s">
        <v>1240</v>
      </c>
      <c r="AU408" s="3">
        <v>2012</v>
      </c>
      <c r="AV408" s="3">
        <v>22</v>
      </c>
      <c r="AW408" s="3" t="s">
        <v>74</v>
      </c>
      <c r="AX408" s="3" t="s">
        <v>74</v>
      </c>
      <c r="AY408" s="3" t="s">
        <v>74</v>
      </c>
      <c r="AZ408" s="3" t="s">
        <v>74</v>
      </c>
      <c r="BA408" s="3" t="s">
        <v>74</v>
      </c>
      <c r="BB408" s="3">
        <v>129</v>
      </c>
      <c r="BC408" s="3">
        <v>136</v>
      </c>
      <c r="BD408" s="3" t="s">
        <v>74</v>
      </c>
      <c r="BE408" s="3" t="s">
        <v>8349</v>
      </c>
      <c r="BF408" s="3" t="str">
        <f>HYPERLINK("http://dx.doi.org/10.1016/j.jtrangeo.2012.01.001","http://dx.doi.org/10.1016/j.jtrangeo.2012.01.001")</f>
        <v>http://dx.doi.org/10.1016/j.jtrangeo.2012.01.001</v>
      </c>
      <c r="BG408" s="3" t="s">
        <v>74</v>
      </c>
      <c r="BH408" s="3" t="s">
        <v>74</v>
      </c>
      <c r="BI408" s="3">
        <v>8</v>
      </c>
      <c r="BJ408" s="3" t="s">
        <v>7856</v>
      </c>
      <c r="BK408" s="3" t="s">
        <v>264</v>
      </c>
      <c r="BL408" s="3" t="s">
        <v>7857</v>
      </c>
      <c r="BM408" s="3" t="s">
        <v>8350</v>
      </c>
      <c r="BN408" s="3" t="s">
        <v>74</v>
      </c>
      <c r="BO408" s="3" t="s">
        <v>74</v>
      </c>
      <c r="BP408" s="3" t="s">
        <v>74</v>
      </c>
      <c r="BQ408" s="3" t="s">
        <v>74</v>
      </c>
      <c r="BR408" s="3" t="s">
        <v>101</v>
      </c>
      <c r="BS408" s="3" t="s">
        <v>8351</v>
      </c>
      <c r="BT408" s="3" t="str">
        <f>HYPERLINK("https%3A%2F%2Fwww.webofscience.com%2Fwos%2Fwoscc%2Ffull-record%2FWOS:000304792500014","View Full Record in Web of Science")</f>
        <v>View Full Record in Web of Science</v>
      </c>
      <c r="BU408" s="3"/>
      <c r="BV408" s="3"/>
      <c r="BW408" s="1"/>
    </row>
    <row r="409" spans="1:75" x14ac:dyDescent="0.25">
      <c r="A409" s="3" t="s">
        <v>72</v>
      </c>
      <c r="B409" s="3" t="s">
        <v>8352</v>
      </c>
      <c r="C409" s="3" t="s">
        <v>74</v>
      </c>
      <c r="D409" s="3" t="s">
        <v>74</v>
      </c>
      <c r="E409" s="3" t="s">
        <v>74</v>
      </c>
      <c r="F409" s="3" t="s">
        <v>8353</v>
      </c>
      <c r="G409" s="3" t="s">
        <v>74</v>
      </c>
      <c r="H409" s="3" t="s">
        <v>74</v>
      </c>
      <c r="I409" s="3" t="s">
        <v>8354</v>
      </c>
      <c r="J409" s="3" t="s">
        <v>2337</v>
      </c>
      <c r="K409" s="3" t="s">
        <v>74</v>
      </c>
      <c r="L409" s="3" t="s">
        <v>74</v>
      </c>
      <c r="M409" s="3" t="s">
        <v>110</v>
      </c>
      <c r="N409" s="3" t="s">
        <v>79</v>
      </c>
      <c r="O409" s="3" t="s">
        <v>74</v>
      </c>
      <c r="P409" s="3" t="s">
        <v>74</v>
      </c>
      <c r="Q409" s="3" t="s">
        <v>74</v>
      </c>
      <c r="R409" s="3" t="s">
        <v>74</v>
      </c>
      <c r="S409" s="3" t="s">
        <v>74</v>
      </c>
      <c r="T409" s="3" t="s">
        <v>8355</v>
      </c>
      <c r="U409" s="3" t="s">
        <v>8356</v>
      </c>
      <c r="V409" s="3" t="s">
        <v>8357</v>
      </c>
      <c r="W409" s="3" t="s">
        <v>8358</v>
      </c>
      <c r="X409" s="3" t="s">
        <v>8359</v>
      </c>
      <c r="Y409" s="3" t="s">
        <v>8360</v>
      </c>
      <c r="Z409" s="3" t="s">
        <v>8361</v>
      </c>
      <c r="AA409" s="3" t="s">
        <v>8362</v>
      </c>
      <c r="AB409" s="3" t="s">
        <v>8363</v>
      </c>
      <c r="AC409" s="3" t="s">
        <v>8364</v>
      </c>
      <c r="AD409" s="3" t="s">
        <v>8365</v>
      </c>
      <c r="AE409" s="3" t="s">
        <v>8366</v>
      </c>
      <c r="AF409" s="3" t="s">
        <v>74</v>
      </c>
      <c r="AG409" s="3">
        <v>52</v>
      </c>
      <c r="AH409" s="3">
        <v>20</v>
      </c>
      <c r="AI409" s="3">
        <v>23</v>
      </c>
      <c r="AJ409" s="3">
        <v>2</v>
      </c>
      <c r="AK409" s="3">
        <v>40</v>
      </c>
      <c r="AL409" s="3" t="s">
        <v>2347</v>
      </c>
      <c r="AM409" s="3" t="s">
        <v>2348</v>
      </c>
      <c r="AN409" s="3" t="s">
        <v>2349</v>
      </c>
      <c r="AO409" s="3" t="s">
        <v>2350</v>
      </c>
      <c r="AP409" s="3" t="s">
        <v>2351</v>
      </c>
      <c r="AQ409" s="3" t="s">
        <v>74</v>
      </c>
      <c r="AR409" s="3" t="s">
        <v>2352</v>
      </c>
      <c r="AS409" s="3" t="s">
        <v>2353</v>
      </c>
      <c r="AT409" s="3" t="s">
        <v>74</v>
      </c>
      <c r="AU409" s="3">
        <v>2018</v>
      </c>
      <c r="AV409" s="3">
        <v>33</v>
      </c>
      <c r="AW409" s="3">
        <v>4</v>
      </c>
      <c r="AX409" s="3" t="s">
        <v>74</v>
      </c>
      <c r="AY409" s="3" t="s">
        <v>74</v>
      </c>
      <c r="AZ409" s="3" t="s">
        <v>880</v>
      </c>
      <c r="BA409" s="3" t="s">
        <v>74</v>
      </c>
      <c r="BB409" s="3">
        <v>948</v>
      </c>
      <c r="BC409" s="3">
        <v>958</v>
      </c>
      <c r="BD409" s="3" t="s">
        <v>74</v>
      </c>
      <c r="BE409" s="3" t="s">
        <v>8367</v>
      </c>
      <c r="BF409" s="3" t="str">
        <f>HYPERLINK("http://dx.doi.org/10.3846/16484142.2017.1350995","http://dx.doi.org/10.3846/16484142.2017.1350995")</f>
        <v>http://dx.doi.org/10.3846/16484142.2017.1350995</v>
      </c>
      <c r="BG409" s="3" t="s">
        <v>74</v>
      </c>
      <c r="BH409" s="3" t="s">
        <v>74</v>
      </c>
      <c r="BI409" s="3">
        <v>11</v>
      </c>
      <c r="BJ409" s="3" t="s">
        <v>2355</v>
      </c>
      <c r="BK409" s="3" t="s">
        <v>179</v>
      </c>
      <c r="BL409" s="3" t="s">
        <v>131</v>
      </c>
      <c r="BM409" s="3" t="s">
        <v>8136</v>
      </c>
      <c r="BN409" s="3" t="s">
        <v>74</v>
      </c>
      <c r="BO409" s="3" t="s">
        <v>100</v>
      </c>
      <c r="BP409" s="3" t="s">
        <v>74</v>
      </c>
      <c r="BQ409" s="3" t="s">
        <v>74</v>
      </c>
      <c r="BR409" s="3" t="s">
        <v>101</v>
      </c>
      <c r="BS409" s="3" t="s">
        <v>8368</v>
      </c>
      <c r="BT409" s="3" t="str">
        <f>HYPERLINK("https%3A%2F%2Fwww.webofscience.com%2Fwos%2Fwoscc%2Ffull-record%2FWOS:000453082600008","View Full Record in Web of Science")</f>
        <v>View Full Record in Web of Science</v>
      </c>
      <c r="BU409" s="3"/>
      <c r="BV409" s="3"/>
      <c r="BW409" s="1"/>
    </row>
    <row r="410" spans="1:75" x14ac:dyDescent="0.25">
      <c r="A410" s="3" t="s">
        <v>72</v>
      </c>
      <c r="B410" s="3" t="s">
        <v>8369</v>
      </c>
      <c r="C410" s="3" t="s">
        <v>74</v>
      </c>
      <c r="D410" s="3" t="s">
        <v>74</v>
      </c>
      <c r="E410" s="3" t="s">
        <v>74</v>
      </c>
      <c r="F410" s="3" t="s">
        <v>8370</v>
      </c>
      <c r="G410" s="3" t="s">
        <v>74</v>
      </c>
      <c r="H410" s="3" t="s">
        <v>74</v>
      </c>
      <c r="I410" s="3" t="s">
        <v>8371</v>
      </c>
      <c r="J410" s="3" t="s">
        <v>8372</v>
      </c>
      <c r="K410" s="3" t="s">
        <v>74</v>
      </c>
      <c r="L410" s="3" t="s">
        <v>74</v>
      </c>
      <c r="M410" s="3" t="s">
        <v>110</v>
      </c>
      <c r="N410" s="3" t="s">
        <v>79</v>
      </c>
      <c r="O410" s="3" t="s">
        <v>74</v>
      </c>
      <c r="P410" s="3" t="s">
        <v>74</v>
      </c>
      <c r="Q410" s="3" t="s">
        <v>74</v>
      </c>
      <c r="R410" s="3" t="s">
        <v>74</v>
      </c>
      <c r="S410" s="3" t="s">
        <v>74</v>
      </c>
      <c r="T410" s="3" t="s">
        <v>8373</v>
      </c>
      <c r="U410" s="3" t="s">
        <v>8374</v>
      </c>
      <c r="V410" s="3" t="s">
        <v>8375</v>
      </c>
      <c r="W410" s="3" t="s">
        <v>8376</v>
      </c>
      <c r="X410" s="3" t="s">
        <v>8377</v>
      </c>
      <c r="Y410" s="3" t="s">
        <v>8378</v>
      </c>
      <c r="Z410" s="3" t="s">
        <v>8379</v>
      </c>
      <c r="AA410" s="3" t="s">
        <v>8380</v>
      </c>
      <c r="AB410" s="3" t="s">
        <v>8381</v>
      </c>
      <c r="AC410" s="3" t="s">
        <v>8382</v>
      </c>
      <c r="AD410" s="3" t="s">
        <v>8383</v>
      </c>
      <c r="AE410" s="3" t="s">
        <v>8384</v>
      </c>
      <c r="AF410" s="3" t="s">
        <v>74</v>
      </c>
      <c r="AG410" s="3">
        <v>70</v>
      </c>
      <c r="AH410" s="3">
        <v>3</v>
      </c>
      <c r="AI410" s="3">
        <v>4</v>
      </c>
      <c r="AJ410" s="3">
        <v>14</v>
      </c>
      <c r="AK410" s="3">
        <v>110</v>
      </c>
      <c r="AL410" s="3" t="s">
        <v>145</v>
      </c>
      <c r="AM410" s="3" t="s">
        <v>146</v>
      </c>
      <c r="AN410" s="3" t="s">
        <v>147</v>
      </c>
      <c r="AO410" s="3" t="s">
        <v>74</v>
      </c>
      <c r="AP410" s="3" t="s">
        <v>8385</v>
      </c>
      <c r="AQ410" s="3" t="s">
        <v>74</v>
      </c>
      <c r="AR410" s="3" t="s">
        <v>8386</v>
      </c>
      <c r="AS410" s="3" t="s">
        <v>8387</v>
      </c>
      <c r="AT410" s="3" t="s">
        <v>1164</v>
      </c>
      <c r="AU410" s="3">
        <v>2022</v>
      </c>
      <c r="AV410" s="3">
        <v>10</v>
      </c>
      <c r="AW410" s="3">
        <v>5</v>
      </c>
      <c r="AX410" s="3" t="s">
        <v>74</v>
      </c>
      <c r="AY410" s="3" t="s">
        <v>74</v>
      </c>
      <c r="AZ410" s="3" t="s">
        <v>74</v>
      </c>
      <c r="BA410" s="3" t="s">
        <v>74</v>
      </c>
      <c r="BB410" s="3" t="s">
        <v>74</v>
      </c>
      <c r="BC410" s="3" t="s">
        <v>74</v>
      </c>
      <c r="BD410" s="3">
        <v>171</v>
      </c>
      <c r="BE410" s="3" t="s">
        <v>8388</v>
      </c>
      <c r="BF410" s="3" t="str">
        <f>HYPERLINK("http://dx.doi.org/10.3390/systems10050171","http://dx.doi.org/10.3390/systems10050171")</f>
        <v>http://dx.doi.org/10.3390/systems10050171</v>
      </c>
      <c r="BG410" s="3" t="s">
        <v>74</v>
      </c>
      <c r="BH410" s="3" t="s">
        <v>74</v>
      </c>
      <c r="BI410" s="3">
        <v>22</v>
      </c>
      <c r="BJ410" s="3" t="s">
        <v>6626</v>
      </c>
      <c r="BK410" s="3" t="s">
        <v>264</v>
      </c>
      <c r="BL410" s="3" t="s">
        <v>6627</v>
      </c>
      <c r="BM410" s="3" t="s">
        <v>8389</v>
      </c>
      <c r="BN410" s="3" t="s">
        <v>74</v>
      </c>
      <c r="BO410" s="3" t="s">
        <v>133</v>
      </c>
      <c r="BP410" s="3" t="s">
        <v>74</v>
      </c>
      <c r="BQ410" s="3" t="s">
        <v>74</v>
      </c>
      <c r="BR410" s="3" t="s">
        <v>101</v>
      </c>
      <c r="BS410" s="3" t="s">
        <v>8390</v>
      </c>
      <c r="BT410" s="3" t="str">
        <f>HYPERLINK("https%3A%2F%2Fwww.webofscience.com%2Fwos%2Fwoscc%2Ffull-record%2FWOS:000873399200001","View Full Record in Web of Science")</f>
        <v>View Full Record in Web of Science</v>
      </c>
      <c r="BU410" s="3"/>
      <c r="BV410" s="3"/>
      <c r="BW410" s="1"/>
    </row>
    <row r="411" spans="1:75" x14ac:dyDescent="0.25">
      <c r="A411" s="3" t="s">
        <v>72</v>
      </c>
      <c r="B411" s="3" t="s">
        <v>8391</v>
      </c>
      <c r="C411" s="3" t="s">
        <v>74</v>
      </c>
      <c r="D411" s="3" t="s">
        <v>74</v>
      </c>
      <c r="E411" s="3" t="s">
        <v>74</v>
      </c>
      <c r="F411" s="3" t="s">
        <v>8392</v>
      </c>
      <c r="G411" s="3" t="s">
        <v>74</v>
      </c>
      <c r="H411" s="3" t="s">
        <v>74</v>
      </c>
      <c r="I411" s="3" t="s">
        <v>8393</v>
      </c>
      <c r="J411" s="3" t="s">
        <v>8394</v>
      </c>
      <c r="K411" s="3" t="s">
        <v>74</v>
      </c>
      <c r="L411" s="3" t="s">
        <v>74</v>
      </c>
      <c r="M411" s="3" t="s">
        <v>110</v>
      </c>
      <c r="N411" s="3" t="s">
        <v>79</v>
      </c>
      <c r="O411" s="3" t="s">
        <v>74</v>
      </c>
      <c r="P411" s="3" t="s">
        <v>74</v>
      </c>
      <c r="Q411" s="3" t="s">
        <v>74</v>
      </c>
      <c r="R411" s="3" t="s">
        <v>74</v>
      </c>
      <c r="S411" s="3" t="s">
        <v>74</v>
      </c>
      <c r="T411" s="3" t="s">
        <v>8395</v>
      </c>
      <c r="U411" s="3" t="s">
        <v>8396</v>
      </c>
      <c r="V411" s="3" t="s">
        <v>8397</v>
      </c>
      <c r="W411" s="3" t="s">
        <v>8398</v>
      </c>
      <c r="X411" s="3" t="s">
        <v>8399</v>
      </c>
      <c r="Y411" s="3" t="s">
        <v>8400</v>
      </c>
      <c r="Z411" s="3" t="s">
        <v>8401</v>
      </c>
      <c r="AA411" s="3" t="s">
        <v>8402</v>
      </c>
      <c r="AB411" s="3" t="s">
        <v>8403</v>
      </c>
      <c r="AC411" s="3" t="s">
        <v>8404</v>
      </c>
      <c r="AD411" s="3" t="s">
        <v>8405</v>
      </c>
      <c r="AE411" s="3" t="s">
        <v>8406</v>
      </c>
      <c r="AF411" s="3" t="s">
        <v>74</v>
      </c>
      <c r="AG411" s="3">
        <v>55</v>
      </c>
      <c r="AH411" s="3">
        <v>25</v>
      </c>
      <c r="AI411" s="3">
        <v>27</v>
      </c>
      <c r="AJ411" s="3">
        <v>0</v>
      </c>
      <c r="AK411" s="3">
        <v>52</v>
      </c>
      <c r="AL411" s="3" t="s">
        <v>8407</v>
      </c>
      <c r="AM411" s="3" t="s">
        <v>8408</v>
      </c>
      <c r="AN411" s="3" t="s">
        <v>8409</v>
      </c>
      <c r="AO411" s="3" t="s">
        <v>8410</v>
      </c>
      <c r="AP411" s="3" t="s">
        <v>8411</v>
      </c>
      <c r="AQ411" s="3" t="s">
        <v>74</v>
      </c>
      <c r="AR411" s="3" t="s">
        <v>8412</v>
      </c>
      <c r="AS411" s="3" t="s">
        <v>8413</v>
      </c>
      <c r="AT411" s="3" t="s">
        <v>8414</v>
      </c>
      <c r="AU411" s="3">
        <v>2016</v>
      </c>
      <c r="AV411" s="3">
        <v>16</v>
      </c>
      <c r="AW411" s="3">
        <v>1</v>
      </c>
      <c r="AX411" s="3" t="s">
        <v>74</v>
      </c>
      <c r="AY411" s="3" t="s">
        <v>74</v>
      </c>
      <c r="AZ411" s="3" t="s">
        <v>74</v>
      </c>
      <c r="BA411" s="3" t="s">
        <v>74</v>
      </c>
      <c r="BB411" s="3">
        <v>4</v>
      </c>
      <c r="BC411" s="3">
        <v>22</v>
      </c>
      <c r="BD411" s="3" t="s">
        <v>74</v>
      </c>
      <c r="BE411" s="3" t="s">
        <v>74</v>
      </c>
      <c r="BF411" s="3" t="s">
        <v>74</v>
      </c>
      <c r="BG411" s="3" t="s">
        <v>74</v>
      </c>
      <c r="BH411" s="3" t="s">
        <v>74</v>
      </c>
      <c r="BI411" s="3">
        <v>19</v>
      </c>
      <c r="BJ411" s="3" t="s">
        <v>131</v>
      </c>
      <c r="BK411" s="3" t="s">
        <v>264</v>
      </c>
      <c r="BL411" s="3" t="s">
        <v>131</v>
      </c>
      <c r="BM411" s="3" t="s">
        <v>8415</v>
      </c>
      <c r="BN411" s="3" t="s">
        <v>74</v>
      </c>
      <c r="BO411" s="3" t="s">
        <v>74</v>
      </c>
      <c r="BP411" s="3" t="s">
        <v>74</v>
      </c>
      <c r="BQ411" s="3" t="s">
        <v>74</v>
      </c>
      <c r="BR411" s="3" t="s">
        <v>101</v>
      </c>
      <c r="BS411" s="3" t="s">
        <v>8416</v>
      </c>
      <c r="BT411" s="3" t="str">
        <f>HYPERLINK("https%3A%2F%2Fwww.webofscience.com%2Fwos%2Fwoscc%2Ffull-record%2FWOS:000366901900002","View Full Record in Web of Science")</f>
        <v>View Full Record in Web of Science</v>
      </c>
      <c r="BU411" s="3"/>
      <c r="BV411" s="3"/>
      <c r="BW411" s="1"/>
    </row>
    <row r="412" spans="1:75" x14ac:dyDescent="0.25">
      <c r="A412" s="3" t="s">
        <v>72</v>
      </c>
      <c r="B412" s="3" t="s">
        <v>8417</v>
      </c>
      <c r="C412" s="3" t="s">
        <v>74</v>
      </c>
      <c r="D412" s="3" t="s">
        <v>74</v>
      </c>
      <c r="E412" s="3" t="s">
        <v>74</v>
      </c>
      <c r="F412" s="3" t="s">
        <v>8418</v>
      </c>
      <c r="G412" s="3" t="s">
        <v>74</v>
      </c>
      <c r="H412" s="3" t="s">
        <v>74</v>
      </c>
      <c r="I412" s="3" t="s">
        <v>8419</v>
      </c>
      <c r="J412" s="3" t="s">
        <v>8420</v>
      </c>
      <c r="K412" s="3" t="s">
        <v>74</v>
      </c>
      <c r="L412" s="3" t="s">
        <v>74</v>
      </c>
      <c r="M412" s="3" t="s">
        <v>110</v>
      </c>
      <c r="N412" s="3" t="s">
        <v>79</v>
      </c>
      <c r="O412" s="3" t="s">
        <v>74</v>
      </c>
      <c r="P412" s="3" t="s">
        <v>74</v>
      </c>
      <c r="Q412" s="3" t="s">
        <v>74</v>
      </c>
      <c r="R412" s="3" t="s">
        <v>74</v>
      </c>
      <c r="S412" s="3" t="s">
        <v>74</v>
      </c>
      <c r="T412" s="3" t="s">
        <v>8421</v>
      </c>
      <c r="U412" s="3" t="s">
        <v>74</v>
      </c>
      <c r="V412" s="3" t="s">
        <v>8422</v>
      </c>
      <c r="W412" s="3" t="s">
        <v>8423</v>
      </c>
      <c r="X412" s="3" t="s">
        <v>8424</v>
      </c>
      <c r="Y412" s="3" t="s">
        <v>8425</v>
      </c>
      <c r="Z412" s="3" t="s">
        <v>74</v>
      </c>
      <c r="AA412" s="3" t="s">
        <v>74</v>
      </c>
      <c r="AB412" s="3" t="s">
        <v>8426</v>
      </c>
      <c r="AC412" s="3" t="s">
        <v>74</v>
      </c>
      <c r="AD412" s="3" t="s">
        <v>74</v>
      </c>
      <c r="AE412" s="3" t="s">
        <v>74</v>
      </c>
      <c r="AF412" s="3" t="s">
        <v>74</v>
      </c>
      <c r="AG412" s="3">
        <v>13</v>
      </c>
      <c r="AH412" s="3">
        <v>4</v>
      </c>
      <c r="AI412" s="3">
        <v>4</v>
      </c>
      <c r="AJ412" s="3">
        <v>0</v>
      </c>
      <c r="AK412" s="3">
        <v>12</v>
      </c>
      <c r="AL412" s="3" t="s">
        <v>8427</v>
      </c>
      <c r="AM412" s="3" t="s">
        <v>8428</v>
      </c>
      <c r="AN412" s="3" t="s">
        <v>8429</v>
      </c>
      <c r="AO412" s="3" t="s">
        <v>8430</v>
      </c>
      <c r="AP412" s="3" t="s">
        <v>8431</v>
      </c>
      <c r="AQ412" s="3" t="s">
        <v>74</v>
      </c>
      <c r="AR412" s="3" t="s">
        <v>8432</v>
      </c>
      <c r="AS412" s="3" t="s">
        <v>8433</v>
      </c>
      <c r="AT412" s="3" t="s">
        <v>151</v>
      </c>
      <c r="AU412" s="3">
        <v>2020</v>
      </c>
      <c r="AV412" s="3">
        <v>21</v>
      </c>
      <c r="AW412" s="3">
        <v>4</v>
      </c>
      <c r="AX412" s="3" t="s">
        <v>74</v>
      </c>
      <c r="AY412" s="3" t="s">
        <v>74</v>
      </c>
      <c r="AZ412" s="3" t="s">
        <v>74</v>
      </c>
      <c r="BA412" s="3" t="s">
        <v>74</v>
      </c>
      <c r="BB412" s="3">
        <v>295</v>
      </c>
      <c r="BC412" s="3">
        <v>302</v>
      </c>
      <c r="BD412" s="3" t="s">
        <v>74</v>
      </c>
      <c r="BE412" s="3" t="s">
        <v>8434</v>
      </c>
      <c r="BF412" s="3" t="str">
        <f>HYPERLINK("http://dx.doi.org/10.2478/ttj-2020-0024","http://dx.doi.org/10.2478/ttj-2020-0024")</f>
        <v>http://dx.doi.org/10.2478/ttj-2020-0024</v>
      </c>
      <c r="BG412" s="3" t="s">
        <v>74</v>
      </c>
      <c r="BH412" s="3" t="s">
        <v>74</v>
      </c>
      <c r="BI412" s="3">
        <v>8</v>
      </c>
      <c r="BJ412" s="3" t="s">
        <v>2355</v>
      </c>
      <c r="BK412" s="3" t="s">
        <v>97</v>
      </c>
      <c r="BL412" s="3" t="s">
        <v>131</v>
      </c>
      <c r="BM412" s="3" t="s">
        <v>8435</v>
      </c>
      <c r="BN412" s="3" t="s">
        <v>74</v>
      </c>
      <c r="BO412" s="3" t="s">
        <v>100</v>
      </c>
      <c r="BP412" s="3" t="s">
        <v>74</v>
      </c>
      <c r="BQ412" s="3" t="s">
        <v>74</v>
      </c>
      <c r="BR412" s="3" t="s">
        <v>101</v>
      </c>
      <c r="BS412" s="3" t="s">
        <v>8436</v>
      </c>
      <c r="BT412" s="3" t="str">
        <f>HYPERLINK("https%3A%2F%2Fwww.webofscience.com%2Fwos%2Fwoscc%2Ffull-record%2FWOS:000594865400006","View Full Record in Web of Science")</f>
        <v>View Full Record in Web of Science</v>
      </c>
      <c r="BU412" s="3"/>
      <c r="BV412" s="3"/>
      <c r="BW412" s="1"/>
    </row>
    <row r="413" spans="1:75" x14ac:dyDescent="0.25">
      <c r="A413" s="3" t="s">
        <v>103</v>
      </c>
      <c r="B413" s="3" t="s">
        <v>8437</v>
      </c>
      <c r="C413" s="3" t="s">
        <v>74</v>
      </c>
      <c r="D413" s="3" t="s">
        <v>74</v>
      </c>
      <c r="E413" s="3" t="s">
        <v>199</v>
      </c>
      <c r="F413" s="3" t="s">
        <v>8438</v>
      </c>
      <c r="G413" s="3" t="s">
        <v>74</v>
      </c>
      <c r="H413" s="3" t="s">
        <v>74</v>
      </c>
      <c r="I413" s="3" t="s">
        <v>8439</v>
      </c>
      <c r="J413" s="3" t="s">
        <v>2414</v>
      </c>
      <c r="K413" s="3" t="s">
        <v>2415</v>
      </c>
      <c r="L413" s="3" t="s">
        <v>74</v>
      </c>
      <c r="M413" s="3" t="s">
        <v>110</v>
      </c>
      <c r="N413" s="3" t="s">
        <v>111</v>
      </c>
      <c r="O413" s="3" t="s">
        <v>2416</v>
      </c>
      <c r="P413" s="3" t="s">
        <v>2417</v>
      </c>
      <c r="Q413" s="3" t="s">
        <v>2418</v>
      </c>
      <c r="R413" s="3" t="s">
        <v>74</v>
      </c>
      <c r="S413" s="3" t="s">
        <v>74</v>
      </c>
      <c r="T413" s="3" t="s">
        <v>8440</v>
      </c>
      <c r="U413" s="3" t="s">
        <v>8441</v>
      </c>
      <c r="V413" s="3" t="s">
        <v>8442</v>
      </c>
      <c r="W413" s="3" t="s">
        <v>8443</v>
      </c>
      <c r="X413" s="3" t="s">
        <v>8444</v>
      </c>
      <c r="Y413" s="3" t="s">
        <v>8445</v>
      </c>
      <c r="Z413" s="3" t="s">
        <v>8446</v>
      </c>
      <c r="AA413" s="3" t="s">
        <v>8447</v>
      </c>
      <c r="AB413" s="3" t="s">
        <v>8448</v>
      </c>
      <c r="AC413" s="3" t="s">
        <v>8449</v>
      </c>
      <c r="AD413" s="3" t="s">
        <v>8450</v>
      </c>
      <c r="AE413" s="3" t="s">
        <v>8451</v>
      </c>
      <c r="AF413" s="3" t="s">
        <v>74</v>
      </c>
      <c r="AG413" s="3">
        <v>17</v>
      </c>
      <c r="AH413" s="3">
        <v>8</v>
      </c>
      <c r="AI413" s="3">
        <v>9</v>
      </c>
      <c r="AJ413" s="3">
        <v>0</v>
      </c>
      <c r="AK413" s="3">
        <v>8</v>
      </c>
      <c r="AL413" s="3" t="s">
        <v>199</v>
      </c>
      <c r="AM413" s="3" t="s">
        <v>200</v>
      </c>
      <c r="AN413" s="3" t="s">
        <v>201</v>
      </c>
      <c r="AO413" s="3" t="s">
        <v>2424</v>
      </c>
      <c r="AP413" s="3" t="s">
        <v>74</v>
      </c>
      <c r="AQ413" s="3" t="s">
        <v>2425</v>
      </c>
      <c r="AR413" s="3" t="s">
        <v>2426</v>
      </c>
      <c r="AS413" s="3" t="s">
        <v>74</v>
      </c>
      <c r="AT413" s="3" t="s">
        <v>74</v>
      </c>
      <c r="AU413" s="3">
        <v>2018</v>
      </c>
      <c r="AV413" s="3" t="s">
        <v>74</v>
      </c>
      <c r="AW413" s="3" t="s">
        <v>74</v>
      </c>
      <c r="AX413" s="3" t="s">
        <v>74</v>
      </c>
      <c r="AY413" s="3" t="s">
        <v>74</v>
      </c>
      <c r="AZ413" s="3" t="s">
        <v>74</v>
      </c>
      <c r="BA413" s="3" t="s">
        <v>74</v>
      </c>
      <c r="BB413" s="3" t="s">
        <v>74</v>
      </c>
      <c r="BC413" s="3" t="s">
        <v>74</v>
      </c>
      <c r="BD413" s="3" t="s">
        <v>74</v>
      </c>
      <c r="BE413" s="3" t="s">
        <v>74</v>
      </c>
      <c r="BF413" s="3" t="s">
        <v>74</v>
      </c>
      <c r="BG413" s="3" t="s">
        <v>74</v>
      </c>
      <c r="BH413" s="3" t="s">
        <v>74</v>
      </c>
      <c r="BI413" s="3">
        <v>8</v>
      </c>
      <c r="BJ413" s="3" t="s">
        <v>2355</v>
      </c>
      <c r="BK413" s="3" t="s">
        <v>208</v>
      </c>
      <c r="BL413" s="3" t="s">
        <v>131</v>
      </c>
      <c r="BM413" s="3" t="s">
        <v>2427</v>
      </c>
      <c r="BN413" s="3" t="s">
        <v>74</v>
      </c>
      <c r="BO413" s="3" t="s">
        <v>74</v>
      </c>
      <c r="BP413" s="3" t="s">
        <v>74</v>
      </c>
      <c r="BQ413" s="3" t="s">
        <v>74</v>
      </c>
      <c r="BR413" s="3" t="s">
        <v>101</v>
      </c>
      <c r="BS413" s="3" t="s">
        <v>8452</v>
      </c>
      <c r="BT413" s="3" t="str">
        <f>HYPERLINK("https%3A%2F%2Fwww.webofscience.com%2Fwos%2Fwoscc%2Ffull-record%2FWOS:000468872400430","View Full Record in Web of Science")</f>
        <v>View Full Record in Web of Science</v>
      </c>
      <c r="BU413" s="3"/>
      <c r="BV413" s="3"/>
      <c r="BW413" s="1"/>
    </row>
    <row r="414" spans="1:75" x14ac:dyDescent="0.25">
      <c r="A414" s="3" t="s">
        <v>72</v>
      </c>
      <c r="B414" s="3" t="s">
        <v>8453</v>
      </c>
      <c r="C414" s="3" t="s">
        <v>74</v>
      </c>
      <c r="D414" s="3" t="s">
        <v>74</v>
      </c>
      <c r="E414" s="3" t="s">
        <v>74</v>
      </c>
      <c r="F414" s="3" t="s">
        <v>8454</v>
      </c>
      <c r="G414" s="3" t="s">
        <v>74</v>
      </c>
      <c r="H414" s="3" t="s">
        <v>74</v>
      </c>
      <c r="I414" s="3" t="s">
        <v>8455</v>
      </c>
      <c r="J414" s="3" t="s">
        <v>161</v>
      </c>
      <c r="K414" s="3" t="s">
        <v>74</v>
      </c>
      <c r="L414" s="3" t="s">
        <v>74</v>
      </c>
      <c r="M414" s="3" t="s">
        <v>110</v>
      </c>
      <c r="N414" s="3" t="s">
        <v>79</v>
      </c>
      <c r="O414" s="3" t="s">
        <v>74</v>
      </c>
      <c r="P414" s="3" t="s">
        <v>74</v>
      </c>
      <c r="Q414" s="3" t="s">
        <v>74</v>
      </c>
      <c r="R414" s="3" t="s">
        <v>74</v>
      </c>
      <c r="S414" s="3" t="s">
        <v>74</v>
      </c>
      <c r="T414" s="3" t="s">
        <v>8456</v>
      </c>
      <c r="U414" s="3" t="s">
        <v>8457</v>
      </c>
      <c r="V414" s="3" t="s">
        <v>8458</v>
      </c>
      <c r="W414" s="3" t="s">
        <v>8459</v>
      </c>
      <c r="X414" s="3" t="s">
        <v>3357</v>
      </c>
      <c r="Y414" s="3" t="s">
        <v>8460</v>
      </c>
      <c r="Z414" s="3" t="s">
        <v>8461</v>
      </c>
      <c r="AA414" s="3" t="s">
        <v>74</v>
      </c>
      <c r="AB414" s="3" t="s">
        <v>8462</v>
      </c>
      <c r="AC414" s="3" t="s">
        <v>8463</v>
      </c>
      <c r="AD414" s="3" t="s">
        <v>8464</v>
      </c>
      <c r="AE414" s="3" t="s">
        <v>8465</v>
      </c>
      <c r="AF414" s="3" t="s">
        <v>74</v>
      </c>
      <c r="AG414" s="3">
        <v>36</v>
      </c>
      <c r="AH414" s="3">
        <v>15</v>
      </c>
      <c r="AI414" s="3">
        <v>18</v>
      </c>
      <c r="AJ414" s="3">
        <v>3</v>
      </c>
      <c r="AK414" s="3">
        <v>23</v>
      </c>
      <c r="AL414" s="3" t="s">
        <v>145</v>
      </c>
      <c r="AM414" s="3" t="s">
        <v>146</v>
      </c>
      <c r="AN414" s="3" t="s">
        <v>147</v>
      </c>
      <c r="AO414" s="3" t="s">
        <v>74</v>
      </c>
      <c r="AP414" s="3" t="s">
        <v>174</v>
      </c>
      <c r="AQ414" s="3" t="s">
        <v>74</v>
      </c>
      <c r="AR414" s="3" t="s">
        <v>161</v>
      </c>
      <c r="AS414" s="3" t="s">
        <v>175</v>
      </c>
      <c r="AT414" s="3" t="s">
        <v>592</v>
      </c>
      <c r="AU414" s="3">
        <v>2021</v>
      </c>
      <c r="AV414" s="3">
        <v>14</v>
      </c>
      <c r="AW414" s="3">
        <v>21</v>
      </c>
      <c r="AX414" s="3" t="s">
        <v>74</v>
      </c>
      <c r="AY414" s="3" t="s">
        <v>74</v>
      </c>
      <c r="AZ414" s="3" t="s">
        <v>74</v>
      </c>
      <c r="BA414" s="3" t="s">
        <v>74</v>
      </c>
      <c r="BB414" s="3" t="s">
        <v>74</v>
      </c>
      <c r="BC414" s="3" t="s">
        <v>74</v>
      </c>
      <c r="BD414" s="3">
        <v>7086</v>
      </c>
      <c r="BE414" s="3" t="s">
        <v>8466</v>
      </c>
      <c r="BF414" s="3" t="str">
        <f>HYPERLINK("http://dx.doi.org/10.3390/en14217086","http://dx.doi.org/10.3390/en14217086")</f>
        <v>http://dx.doi.org/10.3390/en14217086</v>
      </c>
      <c r="BG414" s="3" t="s">
        <v>74</v>
      </c>
      <c r="BH414" s="3" t="s">
        <v>74</v>
      </c>
      <c r="BI414" s="3">
        <v>16</v>
      </c>
      <c r="BJ414" s="3" t="s">
        <v>178</v>
      </c>
      <c r="BK414" s="3" t="s">
        <v>179</v>
      </c>
      <c r="BL414" s="3" t="s">
        <v>178</v>
      </c>
      <c r="BM414" s="3" t="s">
        <v>8467</v>
      </c>
      <c r="BN414" s="3" t="s">
        <v>74</v>
      </c>
      <c r="BO414" s="3" t="s">
        <v>133</v>
      </c>
      <c r="BP414" s="3" t="s">
        <v>74</v>
      </c>
      <c r="BQ414" s="3" t="s">
        <v>74</v>
      </c>
      <c r="BR414" s="3" t="s">
        <v>101</v>
      </c>
      <c r="BS414" s="3" t="s">
        <v>8468</v>
      </c>
      <c r="BT414" s="3" t="str">
        <f>HYPERLINK("https%3A%2F%2Fwww.webofscience.com%2Fwos%2Fwoscc%2Ffull-record%2FWOS:000718533400001","View Full Record in Web of Science")</f>
        <v>View Full Record in Web of Science</v>
      </c>
      <c r="BU414" s="3"/>
      <c r="BV414" s="3"/>
      <c r="BW414" s="1"/>
    </row>
    <row r="415" spans="1:75" x14ac:dyDescent="0.25">
      <c r="A415" s="3" t="s">
        <v>103</v>
      </c>
      <c r="B415" s="3" t="s">
        <v>8469</v>
      </c>
      <c r="C415" s="3" t="s">
        <v>74</v>
      </c>
      <c r="D415" s="3" t="s">
        <v>74</v>
      </c>
      <c r="E415" s="3" t="s">
        <v>199</v>
      </c>
      <c r="F415" s="3" t="s">
        <v>8470</v>
      </c>
      <c r="G415" s="3" t="s">
        <v>74</v>
      </c>
      <c r="H415" s="3" t="s">
        <v>74</v>
      </c>
      <c r="I415" s="3" t="s">
        <v>8471</v>
      </c>
      <c r="J415" s="3" t="s">
        <v>8472</v>
      </c>
      <c r="K415" s="3" t="s">
        <v>8473</v>
      </c>
      <c r="L415" s="3" t="s">
        <v>74</v>
      </c>
      <c r="M415" s="3" t="s">
        <v>110</v>
      </c>
      <c r="N415" s="3" t="s">
        <v>111</v>
      </c>
      <c r="O415" s="3" t="s">
        <v>8474</v>
      </c>
      <c r="P415" s="3" t="s">
        <v>8475</v>
      </c>
      <c r="Q415" s="3" t="s">
        <v>8476</v>
      </c>
      <c r="R415" s="3" t="s">
        <v>74</v>
      </c>
      <c r="S415" s="3" t="s">
        <v>8477</v>
      </c>
      <c r="T415" s="3" t="s">
        <v>8478</v>
      </c>
      <c r="U415" s="3" t="s">
        <v>8479</v>
      </c>
      <c r="V415" s="3" t="s">
        <v>8480</v>
      </c>
      <c r="W415" s="3" t="s">
        <v>8481</v>
      </c>
      <c r="X415" s="3" t="s">
        <v>8482</v>
      </c>
      <c r="Y415" s="3" t="s">
        <v>8483</v>
      </c>
      <c r="Z415" s="3" t="s">
        <v>8484</v>
      </c>
      <c r="AA415" s="3" t="s">
        <v>8485</v>
      </c>
      <c r="AB415" s="3" t="s">
        <v>74</v>
      </c>
      <c r="AC415" s="3" t="s">
        <v>8486</v>
      </c>
      <c r="AD415" s="3" t="s">
        <v>8487</v>
      </c>
      <c r="AE415" s="3" t="s">
        <v>8488</v>
      </c>
      <c r="AF415" s="3" t="s">
        <v>74</v>
      </c>
      <c r="AG415" s="3">
        <v>26</v>
      </c>
      <c r="AH415" s="3">
        <v>6</v>
      </c>
      <c r="AI415" s="3">
        <v>7</v>
      </c>
      <c r="AJ415" s="3">
        <v>0</v>
      </c>
      <c r="AK415" s="3">
        <v>2</v>
      </c>
      <c r="AL415" s="3" t="s">
        <v>199</v>
      </c>
      <c r="AM415" s="3" t="s">
        <v>200</v>
      </c>
      <c r="AN415" s="3" t="s">
        <v>201</v>
      </c>
      <c r="AO415" s="3" t="s">
        <v>8489</v>
      </c>
      <c r="AP415" s="3" t="s">
        <v>74</v>
      </c>
      <c r="AQ415" s="3" t="s">
        <v>8490</v>
      </c>
      <c r="AR415" s="3" t="s">
        <v>8491</v>
      </c>
      <c r="AS415" s="3" t="s">
        <v>74</v>
      </c>
      <c r="AT415" s="3" t="s">
        <v>74</v>
      </c>
      <c r="AU415" s="3">
        <v>2019</v>
      </c>
      <c r="AV415" s="3" t="s">
        <v>74</v>
      </c>
      <c r="AW415" s="3" t="s">
        <v>74</v>
      </c>
      <c r="AX415" s="3" t="s">
        <v>74</v>
      </c>
      <c r="AY415" s="3" t="s">
        <v>74</v>
      </c>
      <c r="AZ415" s="3" t="s">
        <v>74</v>
      </c>
      <c r="BA415" s="3" t="s">
        <v>74</v>
      </c>
      <c r="BB415" s="3" t="s">
        <v>74</v>
      </c>
      <c r="BC415" s="3" t="s">
        <v>74</v>
      </c>
      <c r="BD415" s="3" t="s">
        <v>74</v>
      </c>
      <c r="BE415" s="3" t="s">
        <v>74</v>
      </c>
      <c r="BF415" s="3" t="s">
        <v>74</v>
      </c>
      <c r="BG415" s="3" t="s">
        <v>74</v>
      </c>
      <c r="BH415" s="3" t="s">
        <v>74</v>
      </c>
      <c r="BI415" s="3">
        <v>7</v>
      </c>
      <c r="BJ415" s="3" t="s">
        <v>8492</v>
      </c>
      <c r="BK415" s="3" t="s">
        <v>208</v>
      </c>
      <c r="BL415" s="3" t="s">
        <v>1826</v>
      </c>
      <c r="BM415" s="3" t="s">
        <v>8493</v>
      </c>
      <c r="BN415" s="3" t="s">
        <v>74</v>
      </c>
      <c r="BO415" s="3" t="s">
        <v>74</v>
      </c>
      <c r="BP415" s="3" t="s">
        <v>74</v>
      </c>
      <c r="BQ415" s="3" t="s">
        <v>74</v>
      </c>
      <c r="BR415" s="3" t="s">
        <v>101</v>
      </c>
      <c r="BS415" s="3" t="s">
        <v>8494</v>
      </c>
      <c r="BT415" s="3" t="str">
        <f>HYPERLINK("https%3A%2F%2Fwww.webofscience.com%2Fwos%2Fwoscc%2Ffull-record%2FWOS:000525828100128","View Full Record in Web of Science")</f>
        <v>View Full Record in Web of Science</v>
      </c>
      <c r="BU415" s="3"/>
      <c r="BV415" s="3"/>
      <c r="BW415" s="1"/>
    </row>
    <row r="416" spans="1:75" x14ac:dyDescent="0.25">
      <c r="A416" s="3" t="s">
        <v>103</v>
      </c>
      <c r="B416" s="3" t="s">
        <v>8495</v>
      </c>
      <c r="C416" s="3" t="s">
        <v>74</v>
      </c>
      <c r="D416" s="3" t="s">
        <v>74</v>
      </c>
      <c r="E416" s="3" t="s">
        <v>199</v>
      </c>
      <c r="F416" s="3" t="s">
        <v>8496</v>
      </c>
      <c r="G416" s="3" t="s">
        <v>74</v>
      </c>
      <c r="H416" s="3" t="s">
        <v>74</v>
      </c>
      <c r="I416" s="3" t="s">
        <v>8497</v>
      </c>
      <c r="J416" s="3" t="s">
        <v>8498</v>
      </c>
      <c r="K416" s="3" t="s">
        <v>8499</v>
      </c>
      <c r="L416" s="3" t="s">
        <v>74</v>
      </c>
      <c r="M416" s="3" t="s">
        <v>110</v>
      </c>
      <c r="N416" s="3" t="s">
        <v>111</v>
      </c>
      <c r="O416" s="3" t="s">
        <v>8500</v>
      </c>
      <c r="P416" s="3" t="s">
        <v>8501</v>
      </c>
      <c r="Q416" s="3" t="s">
        <v>8502</v>
      </c>
      <c r="R416" s="3" t="s">
        <v>74</v>
      </c>
      <c r="S416" s="3" t="s">
        <v>74</v>
      </c>
      <c r="T416" s="3" t="s">
        <v>8503</v>
      </c>
      <c r="U416" s="3" t="s">
        <v>74</v>
      </c>
      <c r="V416" s="3" t="s">
        <v>8504</v>
      </c>
      <c r="W416" s="3" t="s">
        <v>8505</v>
      </c>
      <c r="X416" s="3" t="s">
        <v>8506</v>
      </c>
      <c r="Y416" s="3" t="s">
        <v>8507</v>
      </c>
      <c r="Z416" s="3" t="s">
        <v>8508</v>
      </c>
      <c r="AA416" s="3" t="s">
        <v>8509</v>
      </c>
      <c r="AB416" s="3" t="s">
        <v>8510</v>
      </c>
      <c r="AC416" s="3" t="s">
        <v>74</v>
      </c>
      <c r="AD416" s="3" t="s">
        <v>74</v>
      </c>
      <c r="AE416" s="3" t="s">
        <v>74</v>
      </c>
      <c r="AF416" s="3" t="s">
        <v>74</v>
      </c>
      <c r="AG416" s="3">
        <v>20</v>
      </c>
      <c r="AH416" s="3">
        <v>8</v>
      </c>
      <c r="AI416" s="3">
        <v>10</v>
      </c>
      <c r="AJ416" s="3">
        <v>0</v>
      </c>
      <c r="AK416" s="3">
        <v>27</v>
      </c>
      <c r="AL416" s="3" t="s">
        <v>199</v>
      </c>
      <c r="AM416" s="3" t="s">
        <v>200</v>
      </c>
      <c r="AN416" s="3" t="s">
        <v>201</v>
      </c>
      <c r="AO416" s="3" t="s">
        <v>8511</v>
      </c>
      <c r="AP416" s="3" t="s">
        <v>74</v>
      </c>
      <c r="AQ416" s="3" t="s">
        <v>8512</v>
      </c>
      <c r="AR416" s="3" t="s">
        <v>8513</v>
      </c>
      <c r="AS416" s="3" t="s">
        <v>74</v>
      </c>
      <c r="AT416" s="3" t="s">
        <v>74</v>
      </c>
      <c r="AU416" s="3">
        <v>2017</v>
      </c>
      <c r="AV416" s="3" t="s">
        <v>74</v>
      </c>
      <c r="AW416" s="3" t="s">
        <v>74</v>
      </c>
      <c r="AX416" s="3" t="s">
        <v>74</v>
      </c>
      <c r="AY416" s="3" t="s">
        <v>74</v>
      </c>
      <c r="AZ416" s="3" t="s">
        <v>74</v>
      </c>
      <c r="BA416" s="3" t="s">
        <v>74</v>
      </c>
      <c r="BB416" s="3">
        <v>124</v>
      </c>
      <c r="BC416" s="3">
        <v>133</v>
      </c>
      <c r="BD416" s="3" t="s">
        <v>74</v>
      </c>
      <c r="BE416" s="3" t="s">
        <v>8514</v>
      </c>
      <c r="BF416" s="3" t="str">
        <f>HYPERLINK("http://dx.doi.org/10.1109/MDM.2017.26","http://dx.doi.org/10.1109/MDM.2017.26")</f>
        <v>http://dx.doi.org/10.1109/MDM.2017.26</v>
      </c>
      <c r="BG416" s="3" t="s">
        <v>74</v>
      </c>
      <c r="BH416" s="3" t="s">
        <v>74</v>
      </c>
      <c r="BI416" s="3">
        <v>10</v>
      </c>
      <c r="BJ416" s="3" t="s">
        <v>1225</v>
      </c>
      <c r="BK416" s="3" t="s">
        <v>208</v>
      </c>
      <c r="BL416" s="3" t="s">
        <v>1226</v>
      </c>
      <c r="BM416" s="3" t="s">
        <v>8515</v>
      </c>
      <c r="BN416" s="3" t="s">
        <v>74</v>
      </c>
      <c r="BO416" s="3" t="s">
        <v>74</v>
      </c>
      <c r="BP416" s="3" t="s">
        <v>74</v>
      </c>
      <c r="BQ416" s="3" t="s">
        <v>74</v>
      </c>
      <c r="BR416" s="3" t="s">
        <v>101</v>
      </c>
      <c r="BS416" s="3" t="s">
        <v>8516</v>
      </c>
      <c r="BT416" s="3" t="str">
        <f>HYPERLINK("https%3A%2F%2Fwww.webofscience.com%2Fwos%2Fwoscc%2Ffull-record%2FWOS:000425916300015","View Full Record in Web of Science")</f>
        <v>View Full Record in Web of Science</v>
      </c>
      <c r="BU416" s="3"/>
      <c r="BV416" s="3"/>
      <c r="BW416" s="1"/>
    </row>
    <row r="417" spans="1:75" x14ac:dyDescent="0.25">
      <c r="A417" s="3" t="s">
        <v>103</v>
      </c>
      <c r="B417" s="3" t="s">
        <v>8517</v>
      </c>
      <c r="C417" s="3" t="s">
        <v>74</v>
      </c>
      <c r="D417" s="3" t="s">
        <v>5268</v>
      </c>
      <c r="E417" s="3" t="s">
        <v>74</v>
      </c>
      <c r="F417" s="3" t="s">
        <v>8518</v>
      </c>
      <c r="G417" s="3" t="s">
        <v>74</v>
      </c>
      <c r="H417" s="3" t="s">
        <v>74</v>
      </c>
      <c r="I417" s="3" t="s">
        <v>8519</v>
      </c>
      <c r="J417" s="3" t="s">
        <v>5271</v>
      </c>
      <c r="K417" s="3" t="s">
        <v>109</v>
      </c>
      <c r="L417" s="3" t="s">
        <v>74</v>
      </c>
      <c r="M417" s="3" t="s">
        <v>110</v>
      </c>
      <c r="N417" s="3" t="s">
        <v>111</v>
      </c>
      <c r="O417" s="3" t="s">
        <v>5272</v>
      </c>
      <c r="P417" s="3" t="s">
        <v>5273</v>
      </c>
      <c r="Q417" s="3" t="s">
        <v>3651</v>
      </c>
      <c r="R417" s="3" t="s">
        <v>74</v>
      </c>
      <c r="S417" s="3" t="s">
        <v>74</v>
      </c>
      <c r="T417" s="3" t="s">
        <v>8520</v>
      </c>
      <c r="U417" s="3" t="s">
        <v>74</v>
      </c>
      <c r="V417" s="3" t="s">
        <v>8521</v>
      </c>
      <c r="W417" s="3" t="s">
        <v>8522</v>
      </c>
      <c r="X417" s="3" t="s">
        <v>5892</v>
      </c>
      <c r="Y417" s="3" t="s">
        <v>8523</v>
      </c>
      <c r="Z417" s="3" t="s">
        <v>8524</v>
      </c>
      <c r="AA417" s="3" t="s">
        <v>8525</v>
      </c>
      <c r="AB417" s="3" t="s">
        <v>8526</v>
      </c>
      <c r="AC417" s="3" t="s">
        <v>74</v>
      </c>
      <c r="AD417" s="3" t="s">
        <v>74</v>
      </c>
      <c r="AE417" s="3" t="s">
        <v>74</v>
      </c>
      <c r="AF417" s="3" t="s">
        <v>74</v>
      </c>
      <c r="AG417" s="3">
        <v>8</v>
      </c>
      <c r="AH417" s="3">
        <v>7</v>
      </c>
      <c r="AI417" s="3">
        <v>8</v>
      </c>
      <c r="AJ417" s="3">
        <v>0</v>
      </c>
      <c r="AK417" s="3">
        <v>5</v>
      </c>
      <c r="AL417" s="3" t="s">
        <v>123</v>
      </c>
      <c r="AM417" s="3" t="s">
        <v>124</v>
      </c>
      <c r="AN417" s="3" t="s">
        <v>125</v>
      </c>
      <c r="AO417" s="3" t="s">
        <v>126</v>
      </c>
      <c r="AP417" s="3" t="s">
        <v>74</v>
      </c>
      <c r="AQ417" s="3" t="s">
        <v>74</v>
      </c>
      <c r="AR417" s="3" t="s">
        <v>127</v>
      </c>
      <c r="AS417" s="3" t="s">
        <v>74</v>
      </c>
      <c r="AT417" s="3" t="s">
        <v>74</v>
      </c>
      <c r="AU417" s="3">
        <v>2016</v>
      </c>
      <c r="AV417" s="3">
        <v>14</v>
      </c>
      <c r="AW417" s="3" t="s">
        <v>74</v>
      </c>
      <c r="AX417" s="3" t="s">
        <v>74</v>
      </c>
      <c r="AY417" s="3" t="s">
        <v>74</v>
      </c>
      <c r="AZ417" s="3" t="s">
        <v>74</v>
      </c>
      <c r="BA417" s="3" t="s">
        <v>74</v>
      </c>
      <c r="BB417" s="3">
        <v>2900</v>
      </c>
      <c r="BC417" s="3">
        <v>2909</v>
      </c>
      <c r="BD417" s="3" t="s">
        <v>74</v>
      </c>
      <c r="BE417" s="3" t="s">
        <v>8527</v>
      </c>
      <c r="BF417" s="3" t="str">
        <f>HYPERLINK("http://dx.doi.org/10.1016/j.trpro.2016.05.408","http://dx.doi.org/10.1016/j.trpro.2016.05.408")</f>
        <v>http://dx.doi.org/10.1016/j.trpro.2016.05.408</v>
      </c>
      <c r="BG417" s="3" t="s">
        <v>74</v>
      </c>
      <c r="BH417" s="3" t="s">
        <v>74</v>
      </c>
      <c r="BI417" s="3">
        <v>10</v>
      </c>
      <c r="BJ417" s="3" t="s">
        <v>129</v>
      </c>
      <c r="BK417" s="3" t="s">
        <v>130</v>
      </c>
      <c r="BL417" s="3" t="s">
        <v>131</v>
      </c>
      <c r="BM417" s="3" t="s">
        <v>5280</v>
      </c>
      <c r="BN417" s="3" t="s">
        <v>74</v>
      </c>
      <c r="BO417" s="3" t="s">
        <v>100</v>
      </c>
      <c r="BP417" s="3" t="s">
        <v>74</v>
      </c>
      <c r="BQ417" s="3" t="s">
        <v>74</v>
      </c>
      <c r="BR417" s="3" t="s">
        <v>101</v>
      </c>
      <c r="BS417" s="3" t="s">
        <v>8528</v>
      </c>
      <c r="BT417" s="3" t="str">
        <f>HYPERLINK("https%3A%2F%2Fwww.webofscience.com%2Fwos%2Fwoscc%2Ffull-record%2FWOS:000383251002104","View Full Record in Web of Science")</f>
        <v>View Full Record in Web of Science</v>
      </c>
      <c r="BU417" s="3"/>
      <c r="BV417" s="3"/>
      <c r="BW417" s="1"/>
    </row>
    <row r="418" spans="1:75" x14ac:dyDescent="0.25">
      <c r="A418" s="3" t="s">
        <v>72</v>
      </c>
      <c r="B418" s="3" t="s">
        <v>8529</v>
      </c>
      <c r="C418" s="3" t="s">
        <v>74</v>
      </c>
      <c r="D418" s="3" t="s">
        <v>74</v>
      </c>
      <c r="E418" s="3" t="s">
        <v>74</v>
      </c>
      <c r="F418" s="3" t="s">
        <v>8530</v>
      </c>
      <c r="G418" s="3" t="s">
        <v>74</v>
      </c>
      <c r="H418" s="3" t="s">
        <v>74</v>
      </c>
      <c r="I418" s="3" t="s">
        <v>8531</v>
      </c>
      <c r="J418" s="3" t="s">
        <v>8532</v>
      </c>
      <c r="K418" s="3" t="s">
        <v>74</v>
      </c>
      <c r="L418" s="3" t="s">
        <v>74</v>
      </c>
      <c r="M418" s="3" t="s">
        <v>110</v>
      </c>
      <c r="N418" s="3" t="s">
        <v>79</v>
      </c>
      <c r="O418" s="3" t="s">
        <v>74</v>
      </c>
      <c r="P418" s="3" t="s">
        <v>74</v>
      </c>
      <c r="Q418" s="3" t="s">
        <v>74</v>
      </c>
      <c r="R418" s="3" t="s">
        <v>74</v>
      </c>
      <c r="S418" s="3" t="s">
        <v>74</v>
      </c>
      <c r="T418" s="3" t="s">
        <v>8533</v>
      </c>
      <c r="U418" s="3" t="s">
        <v>74</v>
      </c>
      <c r="V418" s="3" t="s">
        <v>8534</v>
      </c>
      <c r="W418" s="3" t="s">
        <v>8535</v>
      </c>
      <c r="X418" s="3" t="s">
        <v>8536</v>
      </c>
      <c r="Y418" s="3" t="s">
        <v>8537</v>
      </c>
      <c r="Z418" s="3" t="s">
        <v>74</v>
      </c>
      <c r="AA418" s="3" t="s">
        <v>8538</v>
      </c>
      <c r="AB418" s="3" t="s">
        <v>74</v>
      </c>
      <c r="AC418" s="3" t="s">
        <v>74</v>
      </c>
      <c r="AD418" s="3" t="s">
        <v>74</v>
      </c>
      <c r="AE418" s="3" t="s">
        <v>74</v>
      </c>
      <c r="AF418" s="3" t="s">
        <v>74</v>
      </c>
      <c r="AG418" s="3">
        <v>12</v>
      </c>
      <c r="AH418" s="3">
        <v>43</v>
      </c>
      <c r="AI418" s="3">
        <v>55</v>
      </c>
      <c r="AJ418" s="3">
        <v>3</v>
      </c>
      <c r="AK418" s="3">
        <v>44</v>
      </c>
      <c r="AL418" s="3" t="s">
        <v>3951</v>
      </c>
      <c r="AM418" s="3" t="s">
        <v>3952</v>
      </c>
      <c r="AN418" s="3" t="s">
        <v>5937</v>
      </c>
      <c r="AO418" s="3" t="s">
        <v>8539</v>
      </c>
      <c r="AP418" s="3" t="s">
        <v>8540</v>
      </c>
      <c r="AQ418" s="3" t="s">
        <v>74</v>
      </c>
      <c r="AR418" s="3" t="s">
        <v>8541</v>
      </c>
      <c r="AS418" s="3" t="s">
        <v>8542</v>
      </c>
      <c r="AT418" s="3" t="s">
        <v>8543</v>
      </c>
      <c r="AU418" s="3">
        <v>2019</v>
      </c>
      <c r="AV418" s="3">
        <v>21</v>
      </c>
      <c r="AW418" s="3">
        <v>6</v>
      </c>
      <c r="AX418" s="3" t="s">
        <v>74</v>
      </c>
      <c r="AY418" s="3" t="s">
        <v>74</v>
      </c>
      <c r="AZ418" s="3" t="s">
        <v>74</v>
      </c>
      <c r="BA418" s="3" t="s">
        <v>74</v>
      </c>
      <c r="BB418" s="3">
        <v>46</v>
      </c>
      <c r="BC418" s="3">
        <v>50</v>
      </c>
      <c r="BD418" s="3" t="s">
        <v>74</v>
      </c>
      <c r="BE418" s="3" t="s">
        <v>8544</v>
      </c>
      <c r="BF418" s="3" t="str">
        <f>HYPERLINK("http://dx.doi.org/10.1109/MITP.2019.2935405","http://dx.doi.org/10.1109/MITP.2019.2935405")</f>
        <v>http://dx.doi.org/10.1109/MITP.2019.2935405</v>
      </c>
      <c r="BG418" s="3" t="s">
        <v>74</v>
      </c>
      <c r="BH418" s="3" t="s">
        <v>74</v>
      </c>
      <c r="BI418" s="3">
        <v>5</v>
      </c>
      <c r="BJ418" s="3" t="s">
        <v>8545</v>
      </c>
      <c r="BK418" s="3" t="s">
        <v>179</v>
      </c>
      <c r="BL418" s="3" t="s">
        <v>1826</v>
      </c>
      <c r="BM418" s="3" t="s">
        <v>8546</v>
      </c>
      <c r="BN418" s="3" t="s">
        <v>74</v>
      </c>
      <c r="BO418" s="3" t="s">
        <v>74</v>
      </c>
      <c r="BP418" s="3" t="s">
        <v>74</v>
      </c>
      <c r="BQ418" s="3" t="s">
        <v>74</v>
      </c>
      <c r="BR418" s="3" t="s">
        <v>101</v>
      </c>
      <c r="BS418" s="3" t="s">
        <v>8547</v>
      </c>
      <c r="BT418" s="3" t="str">
        <f>HYPERLINK("https%3A%2F%2Fwww.webofscience.com%2Fwos%2Fwoscc%2Ffull-record%2FWOS:000497454100008","View Full Record in Web of Science")</f>
        <v>View Full Record in Web of Science</v>
      </c>
      <c r="BU418" s="3"/>
      <c r="BV418" s="3"/>
      <c r="BW418" s="1"/>
    </row>
    <row r="419" spans="1:75" x14ac:dyDescent="0.25">
      <c r="A419" s="3" t="s">
        <v>103</v>
      </c>
      <c r="B419" s="3" t="s">
        <v>8548</v>
      </c>
      <c r="C419" s="3" t="s">
        <v>74</v>
      </c>
      <c r="D419" s="3" t="s">
        <v>8549</v>
      </c>
      <c r="E419" s="3" t="s">
        <v>74</v>
      </c>
      <c r="F419" s="3" t="s">
        <v>8550</v>
      </c>
      <c r="G419" s="3" t="s">
        <v>74</v>
      </c>
      <c r="H419" s="3" t="s">
        <v>74</v>
      </c>
      <c r="I419" s="3" t="s">
        <v>8551</v>
      </c>
      <c r="J419" s="3" t="s">
        <v>8552</v>
      </c>
      <c r="K419" s="3" t="s">
        <v>74</v>
      </c>
      <c r="L419" s="3" t="s">
        <v>74</v>
      </c>
      <c r="M419" s="3" t="s">
        <v>110</v>
      </c>
      <c r="N419" s="3" t="s">
        <v>111</v>
      </c>
      <c r="O419" s="3" t="s">
        <v>8553</v>
      </c>
      <c r="P419" s="3" t="s">
        <v>8554</v>
      </c>
      <c r="Q419" s="3" t="s">
        <v>1786</v>
      </c>
      <c r="R419" s="3" t="s">
        <v>74</v>
      </c>
      <c r="S419" s="3" t="s">
        <v>74</v>
      </c>
      <c r="T419" s="3" t="s">
        <v>74</v>
      </c>
      <c r="U419" s="3" t="s">
        <v>8555</v>
      </c>
      <c r="V419" s="3" t="s">
        <v>8556</v>
      </c>
      <c r="W419" s="3" t="s">
        <v>8557</v>
      </c>
      <c r="X419" s="3" t="s">
        <v>8558</v>
      </c>
      <c r="Y419" s="3" t="s">
        <v>8559</v>
      </c>
      <c r="Z419" s="3" t="s">
        <v>8560</v>
      </c>
      <c r="AA419" s="3" t="s">
        <v>74</v>
      </c>
      <c r="AB419" s="3" t="s">
        <v>74</v>
      </c>
      <c r="AC419" s="3" t="s">
        <v>8561</v>
      </c>
      <c r="AD419" s="3" t="s">
        <v>8562</v>
      </c>
      <c r="AE419" s="3" t="s">
        <v>8563</v>
      </c>
      <c r="AF419" s="3" t="s">
        <v>74</v>
      </c>
      <c r="AG419" s="3">
        <v>26</v>
      </c>
      <c r="AH419" s="3">
        <v>3</v>
      </c>
      <c r="AI419" s="3">
        <v>3</v>
      </c>
      <c r="AJ419" s="3">
        <v>0</v>
      </c>
      <c r="AK419" s="3">
        <v>1</v>
      </c>
      <c r="AL419" s="3" t="s">
        <v>199</v>
      </c>
      <c r="AM419" s="3" t="s">
        <v>200</v>
      </c>
      <c r="AN419" s="3" t="s">
        <v>201</v>
      </c>
      <c r="AO419" s="3" t="s">
        <v>74</v>
      </c>
      <c r="AP419" s="3" t="s">
        <v>74</v>
      </c>
      <c r="AQ419" s="3" t="s">
        <v>8564</v>
      </c>
      <c r="AR419" s="3" t="s">
        <v>74</v>
      </c>
      <c r="AS419" s="3" t="s">
        <v>74</v>
      </c>
      <c r="AT419" s="3" t="s">
        <v>74</v>
      </c>
      <c r="AU419" s="3">
        <v>2019</v>
      </c>
      <c r="AV419" s="3" t="s">
        <v>74</v>
      </c>
      <c r="AW419" s="3" t="s">
        <v>74</v>
      </c>
      <c r="AX419" s="3" t="s">
        <v>74</v>
      </c>
      <c r="AY419" s="3" t="s">
        <v>74</v>
      </c>
      <c r="AZ419" s="3" t="s">
        <v>74</v>
      </c>
      <c r="BA419" s="3" t="s">
        <v>74</v>
      </c>
      <c r="BB419" s="3">
        <v>768</v>
      </c>
      <c r="BC419" s="3">
        <v>774</v>
      </c>
      <c r="BD419" s="3" t="s">
        <v>74</v>
      </c>
      <c r="BE419" s="3" t="s">
        <v>74</v>
      </c>
      <c r="BF419" s="3" t="s">
        <v>74</v>
      </c>
      <c r="BG419" s="3" t="s">
        <v>74</v>
      </c>
      <c r="BH419" s="3" t="s">
        <v>74</v>
      </c>
      <c r="BI419" s="3">
        <v>7</v>
      </c>
      <c r="BJ419" s="3" t="s">
        <v>3500</v>
      </c>
      <c r="BK419" s="3" t="s">
        <v>208</v>
      </c>
      <c r="BL419" s="3" t="s">
        <v>1826</v>
      </c>
      <c r="BM419" s="3" t="s">
        <v>8565</v>
      </c>
      <c r="BN419" s="3" t="s">
        <v>74</v>
      </c>
      <c r="BO419" s="3" t="s">
        <v>74</v>
      </c>
      <c r="BP419" s="3" t="s">
        <v>74</v>
      </c>
      <c r="BQ419" s="3" t="s">
        <v>74</v>
      </c>
      <c r="BR419" s="3" t="s">
        <v>101</v>
      </c>
      <c r="BS419" s="3" t="s">
        <v>8566</v>
      </c>
      <c r="BT419" s="3" t="str">
        <f>HYPERLINK("https%3A%2F%2Fwww.webofscience.com%2Fwos%2Fwoscc%2Ffull-record%2FWOS:001435004500139","View Full Record in Web of Science")</f>
        <v>View Full Record in Web of Science</v>
      </c>
      <c r="BU419" s="3"/>
      <c r="BV419" s="3"/>
      <c r="BW419" s="1"/>
    </row>
    <row r="420" spans="1:75" x14ac:dyDescent="0.25">
      <c r="A420" s="3" t="s">
        <v>103</v>
      </c>
      <c r="B420" s="3" t="s">
        <v>8567</v>
      </c>
      <c r="C420" s="3" t="s">
        <v>74</v>
      </c>
      <c r="D420" s="3" t="s">
        <v>74</v>
      </c>
      <c r="E420" s="3" t="s">
        <v>199</v>
      </c>
      <c r="F420" s="3" t="s">
        <v>8568</v>
      </c>
      <c r="G420" s="3" t="s">
        <v>74</v>
      </c>
      <c r="H420" s="3" t="s">
        <v>74</v>
      </c>
      <c r="I420" s="3" t="s">
        <v>8569</v>
      </c>
      <c r="J420" s="3" t="s">
        <v>8570</v>
      </c>
      <c r="K420" s="3" t="s">
        <v>74</v>
      </c>
      <c r="L420" s="3" t="s">
        <v>74</v>
      </c>
      <c r="M420" s="3" t="s">
        <v>110</v>
      </c>
      <c r="N420" s="3" t="s">
        <v>111</v>
      </c>
      <c r="O420" s="3" t="s">
        <v>8571</v>
      </c>
      <c r="P420" s="3" t="s">
        <v>8572</v>
      </c>
      <c r="Q420" s="3" t="s">
        <v>8573</v>
      </c>
      <c r="R420" s="3" t="s">
        <v>74</v>
      </c>
      <c r="S420" s="3" t="s">
        <v>74</v>
      </c>
      <c r="T420" s="3" t="s">
        <v>8574</v>
      </c>
      <c r="U420" s="3" t="s">
        <v>74</v>
      </c>
      <c r="V420" s="3" t="s">
        <v>8575</v>
      </c>
      <c r="W420" s="3" t="s">
        <v>8576</v>
      </c>
      <c r="X420" s="3" t="s">
        <v>8577</v>
      </c>
      <c r="Y420" s="3" t="s">
        <v>8578</v>
      </c>
      <c r="Z420" s="3" t="s">
        <v>8579</v>
      </c>
      <c r="AA420" s="3" t="s">
        <v>74</v>
      </c>
      <c r="AB420" s="3" t="s">
        <v>74</v>
      </c>
      <c r="AC420" s="3" t="s">
        <v>8580</v>
      </c>
      <c r="AD420" s="3" t="s">
        <v>8581</v>
      </c>
      <c r="AE420" s="3" t="s">
        <v>8582</v>
      </c>
      <c r="AF420" s="3" t="s">
        <v>74</v>
      </c>
      <c r="AG420" s="3">
        <v>19</v>
      </c>
      <c r="AH420" s="3">
        <v>0</v>
      </c>
      <c r="AI420" s="3">
        <v>0</v>
      </c>
      <c r="AJ420" s="3">
        <v>1</v>
      </c>
      <c r="AK420" s="3">
        <v>30</v>
      </c>
      <c r="AL420" s="3" t="s">
        <v>199</v>
      </c>
      <c r="AM420" s="3" t="s">
        <v>200</v>
      </c>
      <c r="AN420" s="3" t="s">
        <v>201</v>
      </c>
      <c r="AO420" s="3" t="s">
        <v>74</v>
      </c>
      <c r="AP420" s="3" t="s">
        <v>74</v>
      </c>
      <c r="AQ420" s="3" t="s">
        <v>8583</v>
      </c>
      <c r="AR420" s="3" t="s">
        <v>74</v>
      </c>
      <c r="AS420" s="3" t="s">
        <v>74</v>
      </c>
      <c r="AT420" s="3" t="s">
        <v>74</v>
      </c>
      <c r="AU420" s="3">
        <v>2019</v>
      </c>
      <c r="AV420" s="3" t="s">
        <v>74</v>
      </c>
      <c r="AW420" s="3" t="s">
        <v>74</v>
      </c>
      <c r="AX420" s="3" t="s">
        <v>74</v>
      </c>
      <c r="AY420" s="3" t="s">
        <v>74</v>
      </c>
      <c r="AZ420" s="3" t="s">
        <v>74</v>
      </c>
      <c r="BA420" s="3" t="s">
        <v>74</v>
      </c>
      <c r="BB420" s="3">
        <v>1330</v>
      </c>
      <c r="BC420" s="3">
        <v>1336</v>
      </c>
      <c r="BD420" s="3" t="s">
        <v>74</v>
      </c>
      <c r="BE420" s="3" t="s">
        <v>8584</v>
      </c>
      <c r="BF420" s="3" t="str">
        <f>HYPERLINK("http://dx.doi.org/10.1109/ictis.2019.8883755","http://dx.doi.org/10.1109/ictis.2019.8883755")</f>
        <v>http://dx.doi.org/10.1109/ictis.2019.8883755</v>
      </c>
      <c r="BG420" s="3" t="s">
        <v>74</v>
      </c>
      <c r="BH420" s="3" t="s">
        <v>74</v>
      </c>
      <c r="BI420" s="3">
        <v>7</v>
      </c>
      <c r="BJ420" s="3" t="s">
        <v>129</v>
      </c>
      <c r="BK420" s="3" t="s">
        <v>130</v>
      </c>
      <c r="BL420" s="3" t="s">
        <v>131</v>
      </c>
      <c r="BM420" s="3" t="s">
        <v>8585</v>
      </c>
      <c r="BN420" s="3" t="s">
        <v>74</v>
      </c>
      <c r="BO420" s="3" t="s">
        <v>74</v>
      </c>
      <c r="BP420" s="3" t="s">
        <v>74</v>
      </c>
      <c r="BQ420" s="3" t="s">
        <v>74</v>
      </c>
      <c r="BR420" s="3" t="s">
        <v>101</v>
      </c>
      <c r="BS420" s="3" t="s">
        <v>8586</v>
      </c>
      <c r="BT420" s="3" t="str">
        <f>HYPERLINK("https%3A%2F%2Fwww.webofscience.com%2Fwos%2Fwoscc%2Ffull-record%2FWOS:000614113600214","View Full Record in Web of Science")</f>
        <v>View Full Record in Web of Science</v>
      </c>
      <c r="BU420" s="3"/>
      <c r="BV420" s="3"/>
      <c r="BW420" s="1"/>
    </row>
    <row r="421" spans="1:75" x14ac:dyDescent="0.25">
      <c r="A421" s="3" t="s">
        <v>72</v>
      </c>
      <c r="B421" s="3" t="s">
        <v>8587</v>
      </c>
      <c r="C421" s="3" t="s">
        <v>74</v>
      </c>
      <c r="D421" s="3" t="s">
        <v>74</v>
      </c>
      <c r="E421" s="3" t="s">
        <v>74</v>
      </c>
      <c r="F421" s="3" t="s">
        <v>8588</v>
      </c>
      <c r="G421" s="3" t="s">
        <v>74</v>
      </c>
      <c r="H421" s="3" t="s">
        <v>74</v>
      </c>
      <c r="I421" s="3" t="s">
        <v>8589</v>
      </c>
      <c r="J421" s="3" t="s">
        <v>8590</v>
      </c>
      <c r="K421" s="3" t="s">
        <v>74</v>
      </c>
      <c r="L421" s="3" t="s">
        <v>74</v>
      </c>
      <c r="M421" s="3" t="s">
        <v>6284</v>
      </c>
      <c r="N421" s="3" t="s">
        <v>79</v>
      </c>
      <c r="O421" s="3" t="s">
        <v>74</v>
      </c>
      <c r="P421" s="3" t="s">
        <v>74</v>
      </c>
      <c r="Q421" s="3" t="s">
        <v>74</v>
      </c>
      <c r="R421" s="3" t="s">
        <v>74</v>
      </c>
      <c r="S421" s="3" t="s">
        <v>74</v>
      </c>
      <c r="T421" s="3" t="s">
        <v>8591</v>
      </c>
      <c r="U421" s="3" t="s">
        <v>74</v>
      </c>
      <c r="V421" s="3" t="s">
        <v>8592</v>
      </c>
      <c r="W421" s="3" t="s">
        <v>8593</v>
      </c>
      <c r="X421" s="3" t="s">
        <v>3374</v>
      </c>
      <c r="Y421" s="3" t="s">
        <v>8594</v>
      </c>
      <c r="Z421" s="3" t="s">
        <v>8595</v>
      </c>
      <c r="AA421" s="3" t="s">
        <v>74</v>
      </c>
      <c r="AB421" s="3" t="s">
        <v>74</v>
      </c>
      <c r="AC421" s="3" t="s">
        <v>74</v>
      </c>
      <c r="AD421" s="3" t="s">
        <v>74</v>
      </c>
      <c r="AE421" s="3" t="s">
        <v>74</v>
      </c>
      <c r="AF421" s="3" t="s">
        <v>74</v>
      </c>
      <c r="AG421" s="3">
        <v>13</v>
      </c>
      <c r="AH421" s="3">
        <v>4</v>
      </c>
      <c r="AI421" s="3">
        <v>4</v>
      </c>
      <c r="AJ421" s="3">
        <v>1</v>
      </c>
      <c r="AK421" s="3">
        <v>51</v>
      </c>
      <c r="AL421" s="3" t="s">
        <v>8596</v>
      </c>
      <c r="AM421" s="3" t="s">
        <v>8597</v>
      </c>
      <c r="AN421" s="3" t="s">
        <v>8598</v>
      </c>
      <c r="AO421" s="3" t="s">
        <v>8599</v>
      </c>
      <c r="AP421" s="3" t="s">
        <v>8600</v>
      </c>
      <c r="AQ421" s="3" t="s">
        <v>74</v>
      </c>
      <c r="AR421" s="3" t="s">
        <v>8601</v>
      </c>
      <c r="AS421" s="3" t="s">
        <v>8602</v>
      </c>
      <c r="AT421" s="3" t="s">
        <v>1589</v>
      </c>
      <c r="AU421" s="3">
        <v>2015</v>
      </c>
      <c r="AV421" s="3" t="s">
        <v>74</v>
      </c>
      <c r="AW421" s="3">
        <v>1</v>
      </c>
      <c r="AX421" s="3" t="s">
        <v>74</v>
      </c>
      <c r="AY421" s="3" t="s">
        <v>74</v>
      </c>
      <c r="AZ421" s="3" t="s">
        <v>74</v>
      </c>
      <c r="BA421" s="3" t="s">
        <v>74</v>
      </c>
      <c r="BB421" s="3">
        <v>56</v>
      </c>
      <c r="BC421" s="3">
        <v>62</v>
      </c>
      <c r="BD421" s="3" t="s">
        <v>74</v>
      </c>
      <c r="BE421" s="3" t="s">
        <v>8603</v>
      </c>
      <c r="BF421" s="3" t="str">
        <f>HYPERLINK("http://dx.doi.org/10.1051/lhb/2015007","http://dx.doi.org/10.1051/lhb/2015007")</f>
        <v>http://dx.doi.org/10.1051/lhb/2015007</v>
      </c>
      <c r="BG421" s="3" t="s">
        <v>74</v>
      </c>
      <c r="BH421" s="3" t="s">
        <v>74</v>
      </c>
      <c r="BI421" s="3">
        <v>7</v>
      </c>
      <c r="BJ421" s="3" t="s">
        <v>1082</v>
      </c>
      <c r="BK421" s="3" t="s">
        <v>179</v>
      </c>
      <c r="BL421" s="3" t="s">
        <v>1082</v>
      </c>
      <c r="BM421" s="3" t="s">
        <v>8604</v>
      </c>
      <c r="BN421" s="3" t="s">
        <v>74</v>
      </c>
      <c r="BO421" s="3" t="s">
        <v>74</v>
      </c>
      <c r="BP421" s="3" t="s">
        <v>74</v>
      </c>
      <c r="BQ421" s="3" t="s">
        <v>74</v>
      </c>
      <c r="BR421" s="3" t="s">
        <v>101</v>
      </c>
      <c r="BS421" s="3" t="s">
        <v>8605</v>
      </c>
      <c r="BT421" s="3" t="str">
        <f>HYPERLINK("https%3A%2F%2Fwww.webofscience.com%2Fwos%2Fwoscc%2Ffull-record%2FWOS:000351029900009","View Full Record in Web of Science")</f>
        <v>View Full Record in Web of Science</v>
      </c>
      <c r="BU421" s="3"/>
      <c r="BV421" s="3"/>
      <c r="BW421" s="1"/>
    </row>
    <row r="422" spans="1:75" x14ac:dyDescent="0.25">
      <c r="A422" s="3" t="s">
        <v>103</v>
      </c>
      <c r="B422" s="3" t="s">
        <v>8606</v>
      </c>
      <c r="C422" s="3" t="s">
        <v>74</v>
      </c>
      <c r="D422" s="3" t="s">
        <v>5103</v>
      </c>
      <c r="E422" s="3" t="s">
        <v>74</v>
      </c>
      <c r="F422" s="3" t="s">
        <v>8607</v>
      </c>
      <c r="G422" s="3" t="s">
        <v>74</v>
      </c>
      <c r="H422" s="3" t="s">
        <v>74</v>
      </c>
      <c r="I422" s="3" t="s">
        <v>8608</v>
      </c>
      <c r="J422" s="3" t="s">
        <v>5285</v>
      </c>
      <c r="K422" s="3" t="s">
        <v>109</v>
      </c>
      <c r="L422" s="3" t="s">
        <v>74</v>
      </c>
      <c r="M422" s="3" t="s">
        <v>110</v>
      </c>
      <c r="N422" s="3" t="s">
        <v>111</v>
      </c>
      <c r="O422" s="3" t="s">
        <v>5286</v>
      </c>
      <c r="P422" s="3" t="s">
        <v>5287</v>
      </c>
      <c r="Q422" s="3" t="s">
        <v>5109</v>
      </c>
      <c r="R422" s="3" t="s">
        <v>74</v>
      </c>
      <c r="S422" s="3" t="s">
        <v>74</v>
      </c>
      <c r="T422" s="3" t="s">
        <v>8520</v>
      </c>
      <c r="U422" s="3" t="s">
        <v>74</v>
      </c>
      <c r="V422" s="3" t="s">
        <v>8609</v>
      </c>
      <c r="W422" s="3" t="s">
        <v>8610</v>
      </c>
      <c r="X422" s="3" t="s">
        <v>3357</v>
      </c>
      <c r="Y422" s="3" t="s">
        <v>8523</v>
      </c>
      <c r="Z422" s="3" t="s">
        <v>8524</v>
      </c>
      <c r="AA422" s="3" t="s">
        <v>8611</v>
      </c>
      <c r="AB422" s="3" t="s">
        <v>8612</v>
      </c>
      <c r="AC422" s="3" t="s">
        <v>74</v>
      </c>
      <c r="AD422" s="3" t="s">
        <v>74</v>
      </c>
      <c r="AE422" s="3" t="s">
        <v>74</v>
      </c>
      <c r="AF422" s="3" t="s">
        <v>74</v>
      </c>
      <c r="AG422" s="3">
        <v>8</v>
      </c>
      <c r="AH422" s="3">
        <v>2</v>
      </c>
      <c r="AI422" s="3">
        <v>2</v>
      </c>
      <c r="AJ422" s="3">
        <v>1</v>
      </c>
      <c r="AK422" s="3">
        <v>7</v>
      </c>
      <c r="AL422" s="3" t="s">
        <v>123</v>
      </c>
      <c r="AM422" s="3" t="s">
        <v>124</v>
      </c>
      <c r="AN422" s="3" t="s">
        <v>125</v>
      </c>
      <c r="AO422" s="3" t="s">
        <v>126</v>
      </c>
      <c r="AP422" s="3" t="s">
        <v>74</v>
      </c>
      <c r="AQ422" s="3" t="s">
        <v>74</v>
      </c>
      <c r="AR422" s="3" t="s">
        <v>127</v>
      </c>
      <c r="AS422" s="3" t="s">
        <v>74</v>
      </c>
      <c r="AT422" s="3" t="s">
        <v>74</v>
      </c>
      <c r="AU422" s="3">
        <v>2016</v>
      </c>
      <c r="AV422" s="3">
        <v>16</v>
      </c>
      <c r="AW422" s="3" t="s">
        <v>74</v>
      </c>
      <c r="AX422" s="3" t="s">
        <v>74</v>
      </c>
      <c r="AY422" s="3" t="s">
        <v>74</v>
      </c>
      <c r="AZ422" s="3" t="s">
        <v>74</v>
      </c>
      <c r="BA422" s="3" t="s">
        <v>74</v>
      </c>
      <c r="BB422" s="3">
        <v>179</v>
      </c>
      <c r="BC422" s="3">
        <v>190</v>
      </c>
      <c r="BD422" s="3" t="s">
        <v>74</v>
      </c>
      <c r="BE422" s="3" t="s">
        <v>8613</v>
      </c>
      <c r="BF422" s="3" t="str">
        <f>HYPERLINK("http://dx.doi.org/10.1016/j.trpro.2016.11.018","http://dx.doi.org/10.1016/j.trpro.2016.11.018")</f>
        <v>http://dx.doi.org/10.1016/j.trpro.2016.11.018</v>
      </c>
      <c r="BG422" s="3" t="s">
        <v>74</v>
      </c>
      <c r="BH422" s="3" t="s">
        <v>74</v>
      </c>
      <c r="BI422" s="3">
        <v>12</v>
      </c>
      <c r="BJ422" s="3" t="s">
        <v>5295</v>
      </c>
      <c r="BK422" s="3" t="s">
        <v>2556</v>
      </c>
      <c r="BL422" s="3" t="s">
        <v>5296</v>
      </c>
      <c r="BM422" s="3" t="s">
        <v>5297</v>
      </c>
      <c r="BN422" s="3" t="s">
        <v>74</v>
      </c>
      <c r="BO422" s="3" t="s">
        <v>100</v>
      </c>
      <c r="BP422" s="3" t="s">
        <v>74</v>
      </c>
      <c r="BQ422" s="3" t="s">
        <v>74</v>
      </c>
      <c r="BR422" s="3" t="s">
        <v>101</v>
      </c>
      <c r="BS422" s="3" t="s">
        <v>8614</v>
      </c>
      <c r="BT422" s="3" t="str">
        <f>HYPERLINK("https%3A%2F%2Fwww.webofscience.com%2Fwos%2Fwoscc%2Ffull-record%2FWOS:000390612800017","View Full Record in Web of Science")</f>
        <v>View Full Record in Web of Science</v>
      </c>
      <c r="BU422" s="3"/>
      <c r="BV422" s="3"/>
      <c r="BW422" s="1"/>
    </row>
    <row r="423" spans="1:75" x14ac:dyDescent="0.25">
      <c r="A423" s="3" t="s">
        <v>103</v>
      </c>
      <c r="B423" s="3" t="s">
        <v>8615</v>
      </c>
      <c r="C423" s="3" t="s">
        <v>74</v>
      </c>
      <c r="D423" s="3" t="s">
        <v>2534</v>
      </c>
      <c r="E423" s="3" t="s">
        <v>74</v>
      </c>
      <c r="F423" s="3" t="s">
        <v>8616</v>
      </c>
      <c r="G423" s="3" t="s">
        <v>74</v>
      </c>
      <c r="H423" s="3" t="s">
        <v>74</v>
      </c>
      <c r="I423" s="3" t="s">
        <v>8617</v>
      </c>
      <c r="J423" s="3" t="s">
        <v>4754</v>
      </c>
      <c r="K423" s="3" t="s">
        <v>74</v>
      </c>
      <c r="L423" s="3" t="s">
        <v>74</v>
      </c>
      <c r="M423" s="3" t="s">
        <v>110</v>
      </c>
      <c r="N423" s="3" t="s">
        <v>111</v>
      </c>
      <c r="O423" s="3" t="s">
        <v>4755</v>
      </c>
      <c r="P423" s="3" t="s">
        <v>4756</v>
      </c>
      <c r="Q423" s="3" t="s">
        <v>2540</v>
      </c>
      <c r="R423" s="3" t="s">
        <v>74</v>
      </c>
      <c r="S423" s="3" t="s">
        <v>74</v>
      </c>
      <c r="T423" s="3" t="s">
        <v>8618</v>
      </c>
      <c r="U423" s="3" t="s">
        <v>8619</v>
      </c>
      <c r="V423" s="3" t="s">
        <v>8620</v>
      </c>
      <c r="W423" s="3" t="s">
        <v>8621</v>
      </c>
      <c r="X423" s="3" t="s">
        <v>8622</v>
      </c>
      <c r="Y423" s="3" t="s">
        <v>8623</v>
      </c>
      <c r="Z423" s="3" t="s">
        <v>8624</v>
      </c>
      <c r="AA423" s="3" t="s">
        <v>74</v>
      </c>
      <c r="AB423" s="3" t="s">
        <v>8625</v>
      </c>
      <c r="AC423" s="3" t="s">
        <v>74</v>
      </c>
      <c r="AD423" s="3" t="s">
        <v>74</v>
      </c>
      <c r="AE423" s="3" t="s">
        <v>74</v>
      </c>
      <c r="AF423" s="3" t="s">
        <v>74</v>
      </c>
      <c r="AG423" s="3">
        <v>24</v>
      </c>
      <c r="AH423" s="3">
        <v>0</v>
      </c>
      <c r="AI423" s="3">
        <v>0</v>
      </c>
      <c r="AJ423" s="3">
        <v>0</v>
      </c>
      <c r="AK423" s="3">
        <v>1</v>
      </c>
      <c r="AL423" s="3" t="s">
        <v>2551</v>
      </c>
      <c r="AM423" s="3" t="s">
        <v>2552</v>
      </c>
      <c r="AN423" s="3" t="s">
        <v>2553</v>
      </c>
      <c r="AO423" s="3" t="s">
        <v>74</v>
      </c>
      <c r="AP423" s="3" t="s">
        <v>74</v>
      </c>
      <c r="AQ423" s="3" t="s">
        <v>4764</v>
      </c>
      <c r="AR423" s="3" t="s">
        <v>74</v>
      </c>
      <c r="AS423" s="3" t="s">
        <v>74</v>
      </c>
      <c r="AT423" s="3" t="s">
        <v>74</v>
      </c>
      <c r="AU423" s="3">
        <v>2018</v>
      </c>
      <c r="AV423" s="3" t="s">
        <v>74</v>
      </c>
      <c r="AW423" s="3" t="s">
        <v>74</v>
      </c>
      <c r="AX423" s="3" t="s">
        <v>74</v>
      </c>
      <c r="AY423" s="3" t="s">
        <v>74</v>
      </c>
      <c r="AZ423" s="3" t="s">
        <v>74</v>
      </c>
      <c r="BA423" s="3" t="s">
        <v>74</v>
      </c>
      <c r="BB423" s="3">
        <v>2191</v>
      </c>
      <c r="BC423" s="3">
        <v>2198</v>
      </c>
      <c r="BD423" s="3" t="s">
        <v>74</v>
      </c>
      <c r="BE423" s="3" t="s">
        <v>74</v>
      </c>
      <c r="BF423" s="3" t="s">
        <v>74</v>
      </c>
      <c r="BG423" s="3" t="s">
        <v>74</v>
      </c>
      <c r="BH423" s="3" t="s">
        <v>74</v>
      </c>
      <c r="BI423" s="3">
        <v>8</v>
      </c>
      <c r="BJ423" s="3" t="s">
        <v>2555</v>
      </c>
      <c r="BK423" s="3" t="s">
        <v>2556</v>
      </c>
      <c r="BL423" s="3" t="s">
        <v>2557</v>
      </c>
      <c r="BM423" s="3" t="s">
        <v>4765</v>
      </c>
      <c r="BN423" s="3" t="s">
        <v>74</v>
      </c>
      <c r="BO423" s="3" t="s">
        <v>74</v>
      </c>
      <c r="BP423" s="3" t="s">
        <v>74</v>
      </c>
      <c r="BQ423" s="3" t="s">
        <v>74</v>
      </c>
      <c r="BR423" s="3" t="s">
        <v>101</v>
      </c>
      <c r="BS423" s="3" t="s">
        <v>8626</v>
      </c>
      <c r="BT423" s="3" t="str">
        <f>HYPERLINK("https%3A%2F%2Fwww.webofscience.com%2Fwos%2Fwoscc%2Ffull-record%2FWOS:000681676300280","View Full Record in Web of Science")</f>
        <v>View Full Record in Web of Science</v>
      </c>
      <c r="BU423" s="3"/>
      <c r="BV423" s="3"/>
      <c r="BW423" s="1"/>
    </row>
    <row r="424" spans="1:75" x14ac:dyDescent="0.25">
      <c r="A424" s="3" t="s">
        <v>103</v>
      </c>
      <c r="B424" s="3" t="s">
        <v>8627</v>
      </c>
      <c r="C424" s="3" t="s">
        <v>74</v>
      </c>
      <c r="D424" s="3" t="s">
        <v>8628</v>
      </c>
      <c r="E424" s="3" t="s">
        <v>74</v>
      </c>
      <c r="F424" s="3" t="s">
        <v>8629</v>
      </c>
      <c r="G424" s="3" t="s">
        <v>74</v>
      </c>
      <c r="H424" s="3" t="s">
        <v>74</v>
      </c>
      <c r="I424" s="3" t="s">
        <v>8630</v>
      </c>
      <c r="J424" s="3" t="s">
        <v>8631</v>
      </c>
      <c r="K424" s="3" t="s">
        <v>8632</v>
      </c>
      <c r="L424" s="3" t="s">
        <v>74</v>
      </c>
      <c r="M424" s="3" t="s">
        <v>110</v>
      </c>
      <c r="N424" s="3" t="s">
        <v>111</v>
      </c>
      <c r="O424" s="3" t="s">
        <v>8633</v>
      </c>
      <c r="P424" s="3" t="s">
        <v>8634</v>
      </c>
      <c r="Q424" s="3" t="s">
        <v>8635</v>
      </c>
      <c r="R424" s="3" t="s">
        <v>74</v>
      </c>
      <c r="S424" s="3" t="s">
        <v>74</v>
      </c>
      <c r="T424" s="3" t="s">
        <v>8636</v>
      </c>
      <c r="U424" s="3" t="s">
        <v>270</v>
      </c>
      <c r="V424" s="3" t="s">
        <v>8637</v>
      </c>
      <c r="W424" s="3" t="s">
        <v>8638</v>
      </c>
      <c r="X424" s="3" t="s">
        <v>2616</v>
      </c>
      <c r="Y424" s="3" t="s">
        <v>8639</v>
      </c>
      <c r="Z424" s="3" t="s">
        <v>8640</v>
      </c>
      <c r="AA424" s="3" t="s">
        <v>8641</v>
      </c>
      <c r="AB424" s="3" t="s">
        <v>74</v>
      </c>
      <c r="AC424" s="3" t="s">
        <v>74</v>
      </c>
      <c r="AD424" s="3" t="s">
        <v>74</v>
      </c>
      <c r="AE424" s="3" t="s">
        <v>74</v>
      </c>
      <c r="AF424" s="3" t="s">
        <v>74</v>
      </c>
      <c r="AG424" s="3">
        <v>33</v>
      </c>
      <c r="AH424" s="3">
        <v>0</v>
      </c>
      <c r="AI424" s="3">
        <v>0</v>
      </c>
      <c r="AJ424" s="3">
        <v>0</v>
      </c>
      <c r="AK424" s="3">
        <v>2</v>
      </c>
      <c r="AL424" s="3" t="s">
        <v>8642</v>
      </c>
      <c r="AM424" s="3" t="s">
        <v>8643</v>
      </c>
      <c r="AN424" s="3" t="s">
        <v>8644</v>
      </c>
      <c r="AO424" s="3" t="s">
        <v>8645</v>
      </c>
      <c r="AP424" s="3" t="s">
        <v>74</v>
      </c>
      <c r="AQ424" s="3" t="s">
        <v>8646</v>
      </c>
      <c r="AR424" s="3" t="s">
        <v>8647</v>
      </c>
      <c r="AS424" s="3" t="s">
        <v>74</v>
      </c>
      <c r="AT424" s="3" t="s">
        <v>74</v>
      </c>
      <c r="AU424" s="3">
        <v>2018</v>
      </c>
      <c r="AV424" s="3" t="s">
        <v>74</v>
      </c>
      <c r="AW424" s="3" t="s">
        <v>74</v>
      </c>
      <c r="AX424" s="3" t="s">
        <v>74</v>
      </c>
      <c r="AY424" s="3" t="s">
        <v>74</v>
      </c>
      <c r="AZ424" s="3" t="s">
        <v>74</v>
      </c>
      <c r="BA424" s="3" t="s">
        <v>74</v>
      </c>
      <c r="BB424" s="3">
        <v>1186</v>
      </c>
      <c r="BC424" s="3">
        <v>1200</v>
      </c>
      <c r="BD424" s="3" t="s">
        <v>74</v>
      </c>
      <c r="BE424" s="3" t="s">
        <v>74</v>
      </c>
      <c r="BF424" s="3" t="s">
        <v>74</v>
      </c>
      <c r="BG424" s="3" t="s">
        <v>74</v>
      </c>
      <c r="BH424" s="3" t="s">
        <v>74</v>
      </c>
      <c r="BI424" s="3">
        <v>15</v>
      </c>
      <c r="BJ424" s="3" t="s">
        <v>8648</v>
      </c>
      <c r="BK424" s="3" t="s">
        <v>2556</v>
      </c>
      <c r="BL424" s="3" t="s">
        <v>8649</v>
      </c>
      <c r="BM424" s="3" t="s">
        <v>8650</v>
      </c>
      <c r="BN424" s="3" t="s">
        <v>74</v>
      </c>
      <c r="BO424" s="3" t="s">
        <v>74</v>
      </c>
      <c r="BP424" s="3" t="s">
        <v>74</v>
      </c>
      <c r="BQ424" s="3" t="s">
        <v>74</v>
      </c>
      <c r="BR424" s="3" t="s">
        <v>101</v>
      </c>
      <c r="BS424" s="3" t="s">
        <v>8651</v>
      </c>
      <c r="BT424" s="3" t="str">
        <f>HYPERLINK("https%3A%2F%2Fwww.webofscience.com%2Fwos%2Fwoscc%2Ffull-record%2FWOS:000482078200101","View Full Record in Web of Science")</f>
        <v>View Full Record in Web of Science</v>
      </c>
      <c r="BU424" s="3"/>
      <c r="BV424" s="3"/>
      <c r="BW424" s="1"/>
    </row>
    <row r="425" spans="1:75" x14ac:dyDescent="0.25">
      <c r="A425" s="3" t="s">
        <v>103</v>
      </c>
      <c r="B425" s="3" t="s">
        <v>8652</v>
      </c>
      <c r="C425" s="3" t="s">
        <v>74</v>
      </c>
      <c r="D425" s="3" t="s">
        <v>74</v>
      </c>
      <c r="E425" s="3" t="s">
        <v>199</v>
      </c>
      <c r="F425" s="3" t="s">
        <v>8653</v>
      </c>
      <c r="G425" s="3" t="s">
        <v>74</v>
      </c>
      <c r="H425" s="3" t="s">
        <v>74</v>
      </c>
      <c r="I425" s="3" t="s">
        <v>8654</v>
      </c>
      <c r="J425" s="3" t="s">
        <v>8655</v>
      </c>
      <c r="K425" s="3" t="s">
        <v>74</v>
      </c>
      <c r="L425" s="3" t="s">
        <v>74</v>
      </c>
      <c r="M425" s="3" t="s">
        <v>110</v>
      </c>
      <c r="N425" s="3" t="s">
        <v>111</v>
      </c>
      <c r="O425" s="3" t="s">
        <v>8656</v>
      </c>
      <c r="P425" s="3" t="s">
        <v>8657</v>
      </c>
      <c r="Q425" s="3" t="s">
        <v>8658</v>
      </c>
      <c r="R425" s="3" t="s">
        <v>74</v>
      </c>
      <c r="S425" s="3" t="s">
        <v>8659</v>
      </c>
      <c r="T425" s="3" t="s">
        <v>8660</v>
      </c>
      <c r="U425" s="3" t="s">
        <v>74</v>
      </c>
      <c r="V425" s="3" t="s">
        <v>8661</v>
      </c>
      <c r="W425" s="3" t="s">
        <v>8662</v>
      </c>
      <c r="X425" s="3" t="s">
        <v>8663</v>
      </c>
      <c r="Y425" s="3" t="s">
        <v>8664</v>
      </c>
      <c r="Z425" s="3" t="s">
        <v>8665</v>
      </c>
      <c r="AA425" s="3" t="s">
        <v>74</v>
      </c>
      <c r="AB425" s="3" t="s">
        <v>74</v>
      </c>
      <c r="AC425" s="3" t="s">
        <v>74</v>
      </c>
      <c r="AD425" s="3" t="s">
        <v>74</v>
      </c>
      <c r="AE425" s="3" t="s">
        <v>74</v>
      </c>
      <c r="AF425" s="3" t="s">
        <v>74</v>
      </c>
      <c r="AG425" s="3">
        <v>21</v>
      </c>
      <c r="AH425" s="3">
        <v>0</v>
      </c>
      <c r="AI425" s="3">
        <v>0</v>
      </c>
      <c r="AJ425" s="3">
        <v>0</v>
      </c>
      <c r="AK425" s="3">
        <v>3</v>
      </c>
      <c r="AL425" s="3" t="s">
        <v>199</v>
      </c>
      <c r="AM425" s="3" t="s">
        <v>200</v>
      </c>
      <c r="AN425" s="3" t="s">
        <v>201</v>
      </c>
      <c r="AO425" s="3" t="s">
        <v>74</v>
      </c>
      <c r="AP425" s="3" t="s">
        <v>74</v>
      </c>
      <c r="AQ425" s="3" t="s">
        <v>8666</v>
      </c>
      <c r="AR425" s="3" t="s">
        <v>74</v>
      </c>
      <c r="AS425" s="3" t="s">
        <v>74</v>
      </c>
      <c r="AT425" s="3" t="s">
        <v>74</v>
      </c>
      <c r="AU425" s="3">
        <v>2018</v>
      </c>
      <c r="AV425" s="3" t="s">
        <v>74</v>
      </c>
      <c r="AW425" s="3" t="s">
        <v>74</v>
      </c>
      <c r="AX425" s="3" t="s">
        <v>74</v>
      </c>
      <c r="AY425" s="3" t="s">
        <v>74</v>
      </c>
      <c r="AZ425" s="3" t="s">
        <v>74</v>
      </c>
      <c r="BA425" s="3" t="s">
        <v>74</v>
      </c>
      <c r="BB425" s="3" t="s">
        <v>74</v>
      </c>
      <c r="BC425" s="3" t="s">
        <v>74</v>
      </c>
      <c r="BD425" s="3" t="s">
        <v>74</v>
      </c>
      <c r="BE425" s="3" t="s">
        <v>74</v>
      </c>
      <c r="BF425" s="3" t="s">
        <v>74</v>
      </c>
      <c r="BG425" s="3" t="s">
        <v>74</v>
      </c>
      <c r="BH425" s="3" t="s">
        <v>74</v>
      </c>
      <c r="BI425" s="3">
        <v>8</v>
      </c>
      <c r="BJ425" s="3" t="s">
        <v>2122</v>
      </c>
      <c r="BK425" s="3" t="s">
        <v>208</v>
      </c>
      <c r="BL425" s="3" t="s">
        <v>383</v>
      </c>
      <c r="BM425" s="3" t="s">
        <v>8667</v>
      </c>
      <c r="BN425" s="3" t="s">
        <v>74</v>
      </c>
      <c r="BO425" s="3" t="s">
        <v>74</v>
      </c>
      <c r="BP425" s="3" t="s">
        <v>74</v>
      </c>
      <c r="BQ425" s="3" t="s">
        <v>74</v>
      </c>
      <c r="BR425" s="3" t="s">
        <v>101</v>
      </c>
      <c r="BS425" s="3" t="s">
        <v>8668</v>
      </c>
      <c r="BT425" s="3" t="str">
        <f>HYPERLINK("https%3A%2F%2Fwww.webofscience.com%2Fwos%2Fwoscc%2Ffull-record%2FWOS:000435239200005","View Full Record in Web of Science")</f>
        <v>View Full Record in Web of Science</v>
      </c>
      <c r="BU425" s="3"/>
      <c r="BV425" s="3"/>
      <c r="BW425" s="1"/>
    </row>
    <row r="426" spans="1:75" x14ac:dyDescent="0.25">
      <c r="A426" s="3" t="s">
        <v>72</v>
      </c>
      <c r="B426" s="3" t="s">
        <v>8669</v>
      </c>
      <c r="C426" s="3" t="s">
        <v>74</v>
      </c>
      <c r="D426" s="3" t="s">
        <v>74</v>
      </c>
      <c r="E426" s="3" t="s">
        <v>74</v>
      </c>
      <c r="F426" s="3" t="s">
        <v>8670</v>
      </c>
      <c r="G426" s="3" t="s">
        <v>74</v>
      </c>
      <c r="H426" s="3" t="s">
        <v>74</v>
      </c>
      <c r="I426" s="3" t="s">
        <v>8671</v>
      </c>
      <c r="J426" s="3" t="s">
        <v>3961</v>
      </c>
      <c r="K426" s="3" t="s">
        <v>74</v>
      </c>
      <c r="L426" s="3" t="s">
        <v>74</v>
      </c>
      <c r="M426" s="3" t="s">
        <v>110</v>
      </c>
      <c r="N426" s="3" t="s">
        <v>79</v>
      </c>
      <c r="O426" s="3" t="s">
        <v>74</v>
      </c>
      <c r="P426" s="3" t="s">
        <v>74</v>
      </c>
      <c r="Q426" s="3" t="s">
        <v>74</v>
      </c>
      <c r="R426" s="3" t="s">
        <v>74</v>
      </c>
      <c r="S426" s="3" t="s">
        <v>74</v>
      </c>
      <c r="T426" s="3" t="s">
        <v>8672</v>
      </c>
      <c r="U426" s="3" t="s">
        <v>8673</v>
      </c>
      <c r="V426" s="3" t="s">
        <v>8674</v>
      </c>
      <c r="W426" s="3" t="s">
        <v>8675</v>
      </c>
      <c r="X426" s="3" t="s">
        <v>74</v>
      </c>
      <c r="Y426" s="3" t="s">
        <v>8676</v>
      </c>
      <c r="Z426" s="3" t="s">
        <v>8677</v>
      </c>
      <c r="AA426" s="3" t="s">
        <v>74</v>
      </c>
      <c r="AB426" s="3" t="s">
        <v>8678</v>
      </c>
      <c r="AC426" s="3" t="s">
        <v>8679</v>
      </c>
      <c r="AD426" s="3" t="s">
        <v>8680</v>
      </c>
      <c r="AE426" s="3" t="s">
        <v>8681</v>
      </c>
      <c r="AF426" s="3" t="s">
        <v>74</v>
      </c>
      <c r="AG426" s="3">
        <v>49</v>
      </c>
      <c r="AH426" s="3">
        <v>54</v>
      </c>
      <c r="AI426" s="3">
        <v>64</v>
      </c>
      <c r="AJ426" s="3">
        <v>0</v>
      </c>
      <c r="AK426" s="3">
        <v>34</v>
      </c>
      <c r="AL426" s="3" t="s">
        <v>254</v>
      </c>
      <c r="AM426" s="3" t="s">
        <v>305</v>
      </c>
      <c r="AN426" s="3" t="s">
        <v>7896</v>
      </c>
      <c r="AO426" s="3" t="s">
        <v>3974</v>
      </c>
      <c r="AP426" s="3" t="s">
        <v>3975</v>
      </c>
      <c r="AQ426" s="3" t="s">
        <v>74</v>
      </c>
      <c r="AR426" s="3" t="s">
        <v>3976</v>
      </c>
      <c r="AS426" s="3" t="s">
        <v>3977</v>
      </c>
      <c r="AT426" s="3" t="s">
        <v>333</v>
      </c>
      <c r="AU426" s="3">
        <v>2017</v>
      </c>
      <c r="AV426" s="3">
        <v>64</v>
      </c>
      <c r="AW426" s="3" t="s">
        <v>74</v>
      </c>
      <c r="AX426" s="3" t="s">
        <v>74</v>
      </c>
      <c r="AY426" s="3" t="s">
        <v>74</v>
      </c>
      <c r="AZ426" s="3" t="s">
        <v>74</v>
      </c>
      <c r="BA426" s="3" t="s">
        <v>74</v>
      </c>
      <c r="BB426" s="3">
        <v>36</v>
      </c>
      <c r="BC426" s="3">
        <v>47</v>
      </c>
      <c r="BD426" s="3" t="s">
        <v>74</v>
      </c>
      <c r="BE426" s="3" t="s">
        <v>8682</v>
      </c>
      <c r="BF426" s="3" t="str">
        <f>HYPERLINK("http://dx.doi.org/10.1016/j.retrec.2017.09.009","http://dx.doi.org/10.1016/j.retrec.2017.09.009")</f>
        <v>http://dx.doi.org/10.1016/j.retrec.2017.09.009</v>
      </c>
      <c r="BG426" s="3" t="s">
        <v>74</v>
      </c>
      <c r="BH426" s="3" t="s">
        <v>74</v>
      </c>
      <c r="BI426" s="3">
        <v>12</v>
      </c>
      <c r="BJ426" s="3" t="s">
        <v>3979</v>
      </c>
      <c r="BK426" s="3" t="s">
        <v>264</v>
      </c>
      <c r="BL426" s="3" t="s">
        <v>1187</v>
      </c>
      <c r="BM426" s="3" t="s">
        <v>8683</v>
      </c>
      <c r="BN426" s="3" t="s">
        <v>74</v>
      </c>
      <c r="BO426" s="3" t="s">
        <v>683</v>
      </c>
      <c r="BP426" s="3" t="s">
        <v>74</v>
      </c>
      <c r="BQ426" s="3" t="s">
        <v>74</v>
      </c>
      <c r="BR426" s="3" t="s">
        <v>101</v>
      </c>
      <c r="BS426" s="3" t="s">
        <v>8684</v>
      </c>
      <c r="BT426" s="3" t="str">
        <f>HYPERLINK("https%3A%2F%2Fwww.webofscience.com%2Fwos%2Fwoscc%2Ffull-record%2FWOS:000423007000005","View Full Record in Web of Science")</f>
        <v>View Full Record in Web of Science</v>
      </c>
      <c r="BU426" s="3"/>
      <c r="BV426" s="3"/>
      <c r="BW426" s="1"/>
    </row>
    <row r="427" spans="1:75" x14ac:dyDescent="0.25">
      <c r="A427" s="3" t="s">
        <v>103</v>
      </c>
      <c r="B427" s="3" t="s">
        <v>8685</v>
      </c>
      <c r="C427" s="3" t="s">
        <v>74</v>
      </c>
      <c r="D427" s="3" t="s">
        <v>74</v>
      </c>
      <c r="E427" s="3" t="s">
        <v>8686</v>
      </c>
      <c r="F427" s="3" t="s">
        <v>8687</v>
      </c>
      <c r="G427" s="3" t="s">
        <v>74</v>
      </c>
      <c r="H427" s="3" t="s">
        <v>74</v>
      </c>
      <c r="I427" s="3" t="s">
        <v>8688</v>
      </c>
      <c r="J427" s="3" t="s">
        <v>8689</v>
      </c>
      <c r="K427" s="3" t="s">
        <v>74</v>
      </c>
      <c r="L427" s="3" t="s">
        <v>74</v>
      </c>
      <c r="M427" s="3" t="s">
        <v>110</v>
      </c>
      <c r="N427" s="3" t="s">
        <v>111</v>
      </c>
      <c r="O427" s="3" t="s">
        <v>8690</v>
      </c>
      <c r="P427" s="3" t="s">
        <v>8691</v>
      </c>
      <c r="Q427" s="3" t="s">
        <v>8692</v>
      </c>
      <c r="R427" s="3" t="s">
        <v>74</v>
      </c>
      <c r="S427" s="3" t="s">
        <v>74</v>
      </c>
      <c r="T427" s="3" t="s">
        <v>8693</v>
      </c>
      <c r="U427" s="3" t="s">
        <v>74</v>
      </c>
      <c r="V427" s="3" t="s">
        <v>8694</v>
      </c>
      <c r="W427" s="3" t="s">
        <v>8695</v>
      </c>
      <c r="X427" s="3" t="s">
        <v>3357</v>
      </c>
      <c r="Y427" s="3" t="s">
        <v>8696</v>
      </c>
      <c r="Z427" s="3" t="s">
        <v>8697</v>
      </c>
      <c r="AA427" s="3" t="s">
        <v>8698</v>
      </c>
      <c r="AB427" s="3" t="s">
        <v>74</v>
      </c>
      <c r="AC427" s="3" t="s">
        <v>74</v>
      </c>
      <c r="AD427" s="3" t="s">
        <v>74</v>
      </c>
      <c r="AE427" s="3" t="s">
        <v>74</v>
      </c>
      <c r="AF427" s="3" t="s">
        <v>74</v>
      </c>
      <c r="AG427" s="3">
        <v>7</v>
      </c>
      <c r="AH427" s="3">
        <v>0</v>
      </c>
      <c r="AI427" s="3">
        <v>0</v>
      </c>
      <c r="AJ427" s="3">
        <v>0</v>
      </c>
      <c r="AK427" s="3">
        <v>2</v>
      </c>
      <c r="AL427" s="3" t="s">
        <v>8699</v>
      </c>
      <c r="AM427" s="3" t="s">
        <v>8700</v>
      </c>
      <c r="AN427" s="3" t="s">
        <v>8701</v>
      </c>
      <c r="AO427" s="3" t="s">
        <v>74</v>
      </c>
      <c r="AP427" s="3" t="s">
        <v>74</v>
      </c>
      <c r="AQ427" s="3" t="s">
        <v>8702</v>
      </c>
      <c r="AR427" s="3" t="s">
        <v>74</v>
      </c>
      <c r="AS427" s="3" t="s">
        <v>74</v>
      </c>
      <c r="AT427" s="3" t="s">
        <v>74</v>
      </c>
      <c r="AU427" s="3">
        <v>2014</v>
      </c>
      <c r="AV427" s="3" t="s">
        <v>74</v>
      </c>
      <c r="AW427" s="3" t="s">
        <v>74</v>
      </c>
      <c r="AX427" s="3" t="s">
        <v>74</v>
      </c>
      <c r="AY427" s="3" t="s">
        <v>74</v>
      </c>
      <c r="AZ427" s="3" t="s">
        <v>74</v>
      </c>
      <c r="BA427" s="3" t="s">
        <v>74</v>
      </c>
      <c r="BB427" s="3">
        <v>218</v>
      </c>
      <c r="BC427" s="3">
        <v>223</v>
      </c>
      <c r="BD427" s="3" t="s">
        <v>74</v>
      </c>
      <c r="BE427" s="3" t="s">
        <v>74</v>
      </c>
      <c r="BF427" s="3" t="s">
        <v>74</v>
      </c>
      <c r="BG427" s="3" t="s">
        <v>74</v>
      </c>
      <c r="BH427" s="3" t="s">
        <v>74</v>
      </c>
      <c r="BI427" s="3">
        <v>6</v>
      </c>
      <c r="BJ427" s="3" t="s">
        <v>1060</v>
      </c>
      <c r="BK427" s="3" t="s">
        <v>208</v>
      </c>
      <c r="BL427" s="3" t="s">
        <v>1060</v>
      </c>
      <c r="BM427" s="3" t="s">
        <v>8703</v>
      </c>
      <c r="BN427" s="3" t="s">
        <v>74</v>
      </c>
      <c r="BO427" s="3" t="s">
        <v>74</v>
      </c>
      <c r="BP427" s="3" t="s">
        <v>74</v>
      </c>
      <c r="BQ427" s="3" t="s">
        <v>74</v>
      </c>
      <c r="BR427" s="3" t="s">
        <v>101</v>
      </c>
      <c r="BS427" s="3" t="s">
        <v>8704</v>
      </c>
      <c r="BT427" s="3" t="str">
        <f>HYPERLINK("https%3A%2F%2Fwww.webofscience.com%2Fwos%2Fwoscc%2Ffull-record%2FWOS:000363813400031","View Full Record in Web of Science")</f>
        <v>View Full Record in Web of Science</v>
      </c>
      <c r="BU427" s="3"/>
      <c r="BV427" s="3"/>
      <c r="BW427" s="1"/>
    </row>
    <row r="428" spans="1:75" x14ac:dyDescent="0.25">
      <c r="A428" s="3" t="s">
        <v>103</v>
      </c>
      <c r="B428" s="3" t="s">
        <v>8705</v>
      </c>
      <c r="C428" s="3" t="s">
        <v>74</v>
      </c>
      <c r="D428" s="3" t="s">
        <v>74</v>
      </c>
      <c r="E428" s="3" t="s">
        <v>199</v>
      </c>
      <c r="F428" s="3" t="s">
        <v>8706</v>
      </c>
      <c r="G428" s="3" t="s">
        <v>74</v>
      </c>
      <c r="H428" s="3" t="s">
        <v>74</v>
      </c>
      <c r="I428" s="3" t="s">
        <v>8707</v>
      </c>
      <c r="J428" s="3" t="s">
        <v>8708</v>
      </c>
      <c r="K428" s="3" t="s">
        <v>74</v>
      </c>
      <c r="L428" s="3" t="s">
        <v>74</v>
      </c>
      <c r="M428" s="3" t="s">
        <v>110</v>
      </c>
      <c r="N428" s="3" t="s">
        <v>111</v>
      </c>
      <c r="O428" s="3" t="s">
        <v>8709</v>
      </c>
      <c r="P428" s="3" t="s">
        <v>8710</v>
      </c>
      <c r="Q428" s="3" t="s">
        <v>8711</v>
      </c>
      <c r="R428" s="3" t="s">
        <v>74</v>
      </c>
      <c r="S428" s="3" t="s">
        <v>74</v>
      </c>
      <c r="T428" s="3" t="s">
        <v>8712</v>
      </c>
      <c r="U428" s="3" t="s">
        <v>74</v>
      </c>
      <c r="V428" s="3" t="s">
        <v>8713</v>
      </c>
      <c r="W428" s="3" t="s">
        <v>8714</v>
      </c>
      <c r="X428" s="3" t="s">
        <v>5661</v>
      </c>
      <c r="Y428" s="3" t="s">
        <v>8715</v>
      </c>
      <c r="Z428" s="3" t="s">
        <v>6492</v>
      </c>
      <c r="AA428" s="3" t="s">
        <v>74</v>
      </c>
      <c r="AB428" s="3" t="s">
        <v>74</v>
      </c>
      <c r="AC428" s="3" t="s">
        <v>74</v>
      </c>
      <c r="AD428" s="3" t="s">
        <v>74</v>
      </c>
      <c r="AE428" s="3" t="s">
        <v>74</v>
      </c>
      <c r="AF428" s="3" t="s">
        <v>74</v>
      </c>
      <c r="AG428" s="3">
        <v>17</v>
      </c>
      <c r="AH428" s="3">
        <v>1</v>
      </c>
      <c r="AI428" s="3">
        <v>1</v>
      </c>
      <c r="AJ428" s="3">
        <v>0</v>
      </c>
      <c r="AK428" s="3">
        <v>2</v>
      </c>
      <c r="AL428" s="3" t="s">
        <v>199</v>
      </c>
      <c r="AM428" s="3" t="s">
        <v>200</v>
      </c>
      <c r="AN428" s="3" t="s">
        <v>201</v>
      </c>
      <c r="AO428" s="3" t="s">
        <v>74</v>
      </c>
      <c r="AP428" s="3" t="s">
        <v>74</v>
      </c>
      <c r="AQ428" s="3" t="s">
        <v>8716</v>
      </c>
      <c r="AR428" s="3" t="s">
        <v>74</v>
      </c>
      <c r="AS428" s="3" t="s">
        <v>74</v>
      </c>
      <c r="AT428" s="3" t="s">
        <v>74</v>
      </c>
      <c r="AU428" s="3">
        <v>2013</v>
      </c>
      <c r="AV428" s="3" t="s">
        <v>74</v>
      </c>
      <c r="AW428" s="3" t="s">
        <v>74</v>
      </c>
      <c r="AX428" s="3" t="s">
        <v>74</v>
      </c>
      <c r="AY428" s="3" t="s">
        <v>74</v>
      </c>
      <c r="AZ428" s="3" t="s">
        <v>74</v>
      </c>
      <c r="BA428" s="3" t="s">
        <v>74</v>
      </c>
      <c r="BB428" s="3">
        <v>2052</v>
      </c>
      <c r="BC428" s="3">
        <v>2056</v>
      </c>
      <c r="BD428" s="3" t="s">
        <v>74</v>
      </c>
      <c r="BE428" s="3" t="s">
        <v>74</v>
      </c>
      <c r="BF428" s="3" t="s">
        <v>74</v>
      </c>
      <c r="BG428" s="3" t="s">
        <v>74</v>
      </c>
      <c r="BH428" s="3" t="s">
        <v>74</v>
      </c>
      <c r="BI428" s="3">
        <v>5</v>
      </c>
      <c r="BJ428" s="3" t="s">
        <v>4524</v>
      </c>
      <c r="BK428" s="3" t="s">
        <v>208</v>
      </c>
      <c r="BL428" s="3" t="s">
        <v>2601</v>
      </c>
      <c r="BM428" s="3" t="s">
        <v>8717</v>
      </c>
      <c r="BN428" s="3" t="s">
        <v>74</v>
      </c>
      <c r="BO428" s="3" t="s">
        <v>74</v>
      </c>
      <c r="BP428" s="3" t="s">
        <v>74</v>
      </c>
      <c r="BQ428" s="3" t="s">
        <v>74</v>
      </c>
      <c r="BR428" s="3" t="s">
        <v>101</v>
      </c>
      <c r="BS428" s="3" t="s">
        <v>8718</v>
      </c>
      <c r="BT428" s="3" t="str">
        <f>HYPERLINK("https%3A%2F%2Fwww.webofscience.com%2Fwos%2Fwoscc%2Ffull-record%2FWOS:000366663001146","View Full Record in Web of Science")</f>
        <v>View Full Record in Web of Science</v>
      </c>
      <c r="BU428" s="3"/>
      <c r="BV428" s="3"/>
      <c r="BW428" s="1"/>
    </row>
    <row r="429" spans="1:75" x14ac:dyDescent="0.25">
      <c r="A429" s="3" t="s">
        <v>103</v>
      </c>
      <c r="B429" s="3" t="s">
        <v>8719</v>
      </c>
      <c r="C429" s="3" t="s">
        <v>74</v>
      </c>
      <c r="D429" s="3" t="s">
        <v>8720</v>
      </c>
      <c r="E429" s="3" t="s">
        <v>74</v>
      </c>
      <c r="F429" s="3" t="s">
        <v>8721</v>
      </c>
      <c r="G429" s="3" t="s">
        <v>74</v>
      </c>
      <c r="H429" s="3" t="s">
        <v>74</v>
      </c>
      <c r="I429" s="3" t="s">
        <v>8722</v>
      </c>
      <c r="J429" s="3" t="s">
        <v>8723</v>
      </c>
      <c r="K429" s="3" t="s">
        <v>74</v>
      </c>
      <c r="L429" s="3" t="s">
        <v>74</v>
      </c>
      <c r="M429" s="3" t="s">
        <v>110</v>
      </c>
      <c r="N429" s="3" t="s">
        <v>111</v>
      </c>
      <c r="O429" s="3" t="s">
        <v>8724</v>
      </c>
      <c r="P429" s="3" t="s">
        <v>8725</v>
      </c>
      <c r="Q429" s="3" t="s">
        <v>8726</v>
      </c>
      <c r="R429" s="3" t="s">
        <v>74</v>
      </c>
      <c r="S429" s="3" t="s">
        <v>74</v>
      </c>
      <c r="T429" s="3" t="s">
        <v>8727</v>
      </c>
      <c r="U429" s="3" t="s">
        <v>74</v>
      </c>
      <c r="V429" s="3" t="s">
        <v>8728</v>
      </c>
      <c r="W429" s="3" t="s">
        <v>8729</v>
      </c>
      <c r="X429" s="3" t="s">
        <v>5661</v>
      </c>
      <c r="Y429" s="3" t="s">
        <v>74</v>
      </c>
      <c r="Z429" s="3" t="s">
        <v>8730</v>
      </c>
      <c r="AA429" s="3" t="s">
        <v>74</v>
      </c>
      <c r="AB429" s="3" t="s">
        <v>74</v>
      </c>
      <c r="AC429" s="3" t="s">
        <v>74</v>
      </c>
      <c r="AD429" s="3" t="s">
        <v>74</v>
      </c>
      <c r="AE429" s="3" t="s">
        <v>74</v>
      </c>
      <c r="AF429" s="3" t="s">
        <v>74</v>
      </c>
      <c r="AG429" s="3">
        <v>5</v>
      </c>
      <c r="AH429" s="3">
        <v>0</v>
      </c>
      <c r="AI429" s="3">
        <v>0</v>
      </c>
      <c r="AJ429" s="3">
        <v>0</v>
      </c>
      <c r="AK429" s="3">
        <v>7</v>
      </c>
      <c r="AL429" s="3" t="s">
        <v>8731</v>
      </c>
      <c r="AM429" s="3" t="s">
        <v>8732</v>
      </c>
      <c r="AN429" s="3" t="s">
        <v>8733</v>
      </c>
      <c r="AO429" s="3" t="s">
        <v>74</v>
      </c>
      <c r="AP429" s="3" t="s">
        <v>74</v>
      </c>
      <c r="AQ429" s="3" t="s">
        <v>8734</v>
      </c>
      <c r="AR429" s="3" t="s">
        <v>74</v>
      </c>
      <c r="AS429" s="3" t="s">
        <v>74</v>
      </c>
      <c r="AT429" s="3" t="s">
        <v>74</v>
      </c>
      <c r="AU429" s="3">
        <v>2012</v>
      </c>
      <c r="AV429" s="3" t="s">
        <v>74</v>
      </c>
      <c r="AW429" s="3" t="s">
        <v>74</v>
      </c>
      <c r="AX429" s="3" t="s">
        <v>74</v>
      </c>
      <c r="AY429" s="3" t="s">
        <v>74</v>
      </c>
      <c r="AZ429" s="3" t="s">
        <v>74</v>
      </c>
      <c r="BA429" s="3" t="s">
        <v>74</v>
      </c>
      <c r="BB429" s="3">
        <v>1657</v>
      </c>
      <c r="BC429" s="3">
        <v>1659</v>
      </c>
      <c r="BD429" s="3" t="s">
        <v>74</v>
      </c>
      <c r="BE429" s="3" t="s">
        <v>74</v>
      </c>
      <c r="BF429" s="3" t="s">
        <v>74</v>
      </c>
      <c r="BG429" s="3" t="s">
        <v>74</v>
      </c>
      <c r="BH429" s="3" t="s">
        <v>74</v>
      </c>
      <c r="BI429" s="3">
        <v>3</v>
      </c>
      <c r="BJ429" s="3" t="s">
        <v>8735</v>
      </c>
      <c r="BK429" s="3" t="s">
        <v>2556</v>
      </c>
      <c r="BL429" s="3" t="s">
        <v>5717</v>
      </c>
      <c r="BM429" s="3" t="s">
        <v>8736</v>
      </c>
      <c r="BN429" s="3" t="s">
        <v>74</v>
      </c>
      <c r="BO429" s="3" t="s">
        <v>74</v>
      </c>
      <c r="BP429" s="3" t="s">
        <v>74</v>
      </c>
      <c r="BQ429" s="3" t="s">
        <v>74</v>
      </c>
      <c r="BR429" s="3" t="s">
        <v>101</v>
      </c>
      <c r="BS429" s="3" t="s">
        <v>8737</v>
      </c>
      <c r="BT429" s="3" t="str">
        <f>HYPERLINK("https%3A%2F%2Fwww.webofscience.com%2Fwos%2Fwoscc%2Ffull-record%2FWOS:000308816302078","View Full Record in Web of Science")</f>
        <v>View Full Record in Web of Science</v>
      </c>
      <c r="BU429" s="3"/>
      <c r="BV429" s="3"/>
      <c r="BW429" s="1"/>
    </row>
    <row r="430" spans="1:75" x14ac:dyDescent="0.25">
      <c r="A430" s="3" t="s">
        <v>103</v>
      </c>
      <c r="B430" s="3" t="s">
        <v>8738</v>
      </c>
      <c r="C430" s="3" t="s">
        <v>74</v>
      </c>
      <c r="D430" s="3" t="s">
        <v>8739</v>
      </c>
      <c r="E430" s="3" t="s">
        <v>74</v>
      </c>
      <c r="F430" s="3" t="s">
        <v>8740</v>
      </c>
      <c r="G430" s="3" t="s">
        <v>74</v>
      </c>
      <c r="H430" s="3" t="s">
        <v>74</v>
      </c>
      <c r="I430" s="3" t="s">
        <v>8741</v>
      </c>
      <c r="J430" s="3" t="s">
        <v>8742</v>
      </c>
      <c r="K430" s="3" t="s">
        <v>74</v>
      </c>
      <c r="L430" s="3" t="s">
        <v>74</v>
      </c>
      <c r="M430" s="3" t="s">
        <v>110</v>
      </c>
      <c r="N430" s="3" t="s">
        <v>111</v>
      </c>
      <c r="O430" s="3" t="s">
        <v>8743</v>
      </c>
      <c r="P430" s="3" t="s">
        <v>8744</v>
      </c>
      <c r="Q430" s="3" t="s">
        <v>8745</v>
      </c>
      <c r="R430" s="3" t="s">
        <v>74</v>
      </c>
      <c r="S430" s="3" t="s">
        <v>74</v>
      </c>
      <c r="T430" s="3" t="s">
        <v>8746</v>
      </c>
      <c r="U430" s="3" t="s">
        <v>74</v>
      </c>
      <c r="V430" s="3" t="s">
        <v>8747</v>
      </c>
      <c r="W430" s="3" t="s">
        <v>8748</v>
      </c>
      <c r="X430" s="3" t="s">
        <v>5661</v>
      </c>
      <c r="Y430" s="3" t="s">
        <v>74</v>
      </c>
      <c r="Z430" s="3" t="s">
        <v>8749</v>
      </c>
      <c r="AA430" s="3" t="s">
        <v>74</v>
      </c>
      <c r="AB430" s="3" t="s">
        <v>74</v>
      </c>
      <c r="AC430" s="3" t="s">
        <v>74</v>
      </c>
      <c r="AD430" s="3" t="s">
        <v>74</v>
      </c>
      <c r="AE430" s="3" t="s">
        <v>74</v>
      </c>
      <c r="AF430" s="3" t="s">
        <v>74</v>
      </c>
      <c r="AG430" s="3">
        <v>7</v>
      </c>
      <c r="AH430" s="3">
        <v>1</v>
      </c>
      <c r="AI430" s="3">
        <v>1</v>
      </c>
      <c r="AJ430" s="3">
        <v>0</v>
      </c>
      <c r="AK430" s="3">
        <v>5</v>
      </c>
      <c r="AL430" s="3" t="s">
        <v>5335</v>
      </c>
      <c r="AM430" s="3" t="s">
        <v>5336</v>
      </c>
      <c r="AN430" s="3" t="s">
        <v>5337</v>
      </c>
      <c r="AO430" s="3" t="s">
        <v>74</v>
      </c>
      <c r="AP430" s="3" t="s">
        <v>74</v>
      </c>
      <c r="AQ430" s="3" t="s">
        <v>8750</v>
      </c>
      <c r="AR430" s="3" t="s">
        <v>74</v>
      </c>
      <c r="AS430" s="3" t="s">
        <v>74</v>
      </c>
      <c r="AT430" s="3" t="s">
        <v>74</v>
      </c>
      <c r="AU430" s="3">
        <v>2008</v>
      </c>
      <c r="AV430" s="3" t="s">
        <v>74</v>
      </c>
      <c r="AW430" s="3" t="s">
        <v>74</v>
      </c>
      <c r="AX430" s="3" t="s">
        <v>74</v>
      </c>
      <c r="AY430" s="3" t="s">
        <v>74</v>
      </c>
      <c r="AZ430" s="3" t="s">
        <v>74</v>
      </c>
      <c r="BA430" s="3" t="s">
        <v>74</v>
      </c>
      <c r="BB430" s="3">
        <v>624</v>
      </c>
      <c r="BC430" s="3">
        <v>630</v>
      </c>
      <c r="BD430" s="3" t="s">
        <v>74</v>
      </c>
      <c r="BE430" s="3" t="s">
        <v>74</v>
      </c>
      <c r="BF430" s="3" t="s">
        <v>74</v>
      </c>
      <c r="BG430" s="3" t="s">
        <v>74</v>
      </c>
      <c r="BH430" s="3" t="s">
        <v>74</v>
      </c>
      <c r="BI430" s="3">
        <v>7</v>
      </c>
      <c r="BJ430" s="3" t="s">
        <v>8751</v>
      </c>
      <c r="BK430" s="3" t="s">
        <v>130</v>
      </c>
      <c r="BL430" s="3" t="s">
        <v>8752</v>
      </c>
      <c r="BM430" s="3" t="s">
        <v>8753</v>
      </c>
      <c r="BN430" s="3" t="s">
        <v>74</v>
      </c>
      <c r="BO430" s="3" t="s">
        <v>74</v>
      </c>
      <c r="BP430" s="3" t="s">
        <v>74</v>
      </c>
      <c r="BQ430" s="3" t="s">
        <v>74</v>
      </c>
      <c r="BR430" s="3" t="s">
        <v>101</v>
      </c>
      <c r="BS430" s="3" t="s">
        <v>8754</v>
      </c>
      <c r="BT430" s="3" t="str">
        <f>HYPERLINK("https%3A%2F%2Fwww.webofscience.com%2Fwos%2Fwoscc%2Ffull-record%2FWOS:000262060100111","View Full Record in Web of Science")</f>
        <v>View Full Record in Web of Science</v>
      </c>
      <c r="BU430" s="3"/>
      <c r="BV430" s="3"/>
      <c r="BW430" s="1"/>
    </row>
    <row r="431" spans="1:75" x14ac:dyDescent="0.25">
      <c r="A431" s="3" t="s">
        <v>72</v>
      </c>
      <c r="B431" s="3" t="s">
        <v>8755</v>
      </c>
      <c r="C431" s="3" t="s">
        <v>74</v>
      </c>
      <c r="D431" s="3" t="s">
        <v>74</v>
      </c>
      <c r="E431" s="3" t="s">
        <v>74</v>
      </c>
      <c r="F431" s="3" t="s">
        <v>8756</v>
      </c>
      <c r="G431" s="3" t="s">
        <v>74</v>
      </c>
      <c r="H431" s="3" t="s">
        <v>74</v>
      </c>
      <c r="I431" s="3" t="s">
        <v>8757</v>
      </c>
      <c r="J431" s="3" t="s">
        <v>8758</v>
      </c>
      <c r="K431" s="3" t="s">
        <v>74</v>
      </c>
      <c r="L431" s="3" t="s">
        <v>74</v>
      </c>
      <c r="M431" s="3" t="s">
        <v>110</v>
      </c>
      <c r="N431" s="3" t="s">
        <v>79</v>
      </c>
      <c r="O431" s="3" t="s">
        <v>74</v>
      </c>
      <c r="P431" s="3" t="s">
        <v>74</v>
      </c>
      <c r="Q431" s="3" t="s">
        <v>74</v>
      </c>
      <c r="R431" s="3" t="s">
        <v>74</v>
      </c>
      <c r="S431" s="3" t="s">
        <v>74</v>
      </c>
      <c r="T431" s="3" t="s">
        <v>8759</v>
      </c>
      <c r="U431" s="3" t="s">
        <v>8760</v>
      </c>
      <c r="V431" s="3" t="s">
        <v>8761</v>
      </c>
      <c r="W431" s="3" t="s">
        <v>8762</v>
      </c>
      <c r="X431" s="3" t="s">
        <v>1176</v>
      </c>
      <c r="Y431" s="3" t="s">
        <v>8763</v>
      </c>
      <c r="Z431" s="3" t="s">
        <v>8764</v>
      </c>
      <c r="AA431" s="3" t="s">
        <v>8765</v>
      </c>
      <c r="AB431" s="3" t="s">
        <v>8766</v>
      </c>
      <c r="AC431" s="3" t="s">
        <v>74</v>
      </c>
      <c r="AD431" s="3" t="s">
        <v>74</v>
      </c>
      <c r="AE431" s="3" t="s">
        <v>74</v>
      </c>
      <c r="AF431" s="3" t="s">
        <v>74</v>
      </c>
      <c r="AG431" s="3">
        <v>61</v>
      </c>
      <c r="AH431" s="3">
        <v>37</v>
      </c>
      <c r="AI431" s="3">
        <v>42</v>
      </c>
      <c r="AJ431" s="3">
        <v>2</v>
      </c>
      <c r="AK431" s="3">
        <v>60</v>
      </c>
      <c r="AL431" s="3" t="s">
        <v>2239</v>
      </c>
      <c r="AM431" s="3" t="s">
        <v>2240</v>
      </c>
      <c r="AN431" s="3" t="s">
        <v>2241</v>
      </c>
      <c r="AO431" s="3" t="s">
        <v>8767</v>
      </c>
      <c r="AP431" s="3" t="s">
        <v>8768</v>
      </c>
      <c r="AQ431" s="3" t="s">
        <v>74</v>
      </c>
      <c r="AR431" s="3" t="s">
        <v>8769</v>
      </c>
      <c r="AS431" s="3" t="s">
        <v>8770</v>
      </c>
      <c r="AT431" s="3" t="s">
        <v>74</v>
      </c>
      <c r="AU431" s="3">
        <v>2017</v>
      </c>
      <c r="AV431" s="3">
        <v>28</v>
      </c>
      <c r="AW431" s="3">
        <v>4</v>
      </c>
      <c r="AX431" s="3" t="s">
        <v>74</v>
      </c>
      <c r="AY431" s="3" t="s">
        <v>74</v>
      </c>
      <c r="AZ431" s="3" t="s">
        <v>74</v>
      </c>
      <c r="BA431" s="3" t="s">
        <v>74</v>
      </c>
      <c r="BB431" s="3">
        <v>1218</v>
      </c>
      <c r="BC431" s="3">
        <v>1242</v>
      </c>
      <c r="BD431" s="3" t="s">
        <v>74</v>
      </c>
      <c r="BE431" s="3" t="s">
        <v>8771</v>
      </c>
      <c r="BF431" s="3" t="str">
        <f>HYPERLINK("http://dx.doi.org/10.1108/IJLM-05-2016-0123","http://dx.doi.org/10.1108/IJLM-05-2016-0123")</f>
        <v>http://dx.doi.org/10.1108/IJLM-05-2016-0123</v>
      </c>
      <c r="BG431" s="3" t="s">
        <v>74</v>
      </c>
      <c r="BH431" s="3" t="s">
        <v>74</v>
      </c>
      <c r="BI431" s="3">
        <v>25</v>
      </c>
      <c r="BJ431" s="3" t="s">
        <v>96</v>
      </c>
      <c r="BK431" s="3" t="s">
        <v>264</v>
      </c>
      <c r="BL431" s="3" t="s">
        <v>98</v>
      </c>
      <c r="BM431" s="3" t="s">
        <v>8772</v>
      </c>
      <c r="BN431" s="3" t="s">
        <v>74</v>
      </c>
      <c r="BO431" s="3" t="s">
        <v>74</v>
      </c>
      <c r="BP431" s="3" t="s">
        <v>74</v>
      </c>
      <c r="BQ431" s="3" t="s">
        <v>74</v>
      </c>
      <c r="BR431" s="3" t="s">
        <v>101</v>
      </c>
      <c r="BS431" s="3" t="s">
        <v>8773</v>
      </c>
      <c r="BT431" s="3" t="str">
        <f>HYPERLINK("https%3A%2F%2Fwww.webofscience.com%2Fwos%2Fwoscc%2Ffull-record%2FWOS:000414260300013","View Full Record in Web of Science")</f>
        <v>View Full Record in Web of Science</v>
      </c>
      <c r="BU431" s="3"/>
      <c r="BV431" s="3"/>
      <c r="BW431" s="1"/>
    </row>
    <row r="432" spans="1:75" x14ac:dyDescent="0.25">
      <c r="A432" s="3" t="s">
        <v>72</v>
      </c>
      <c r="B432" s="3" t="s">
        <v>8774</v>
      </c>
      <c r="C432" s="3" t="s">
        <v>74</v>
      </c>
      <c r="D432" s="3" t="s">
        <v>74</v>
      </c>
      <c r="E432" s="3" t="s">
        <v>74</v>
      </c>
      <c r="F432" s="3" t="s">
        <v>8775</v>
      </c>
      <c r="G432" s="3" t="s">
        <v>74</v>
      </c>
      <c r="H432" s="3" t="s">
        <v>74</v>
      </c>
      <c r="I432" s="3" t="s">
        <v>8776</v>
      </c>
      <c r="J432" s="3" t="s">
        <v>8777</v>
      </c>
      <c r="K432" s="3" t="s">
        <v>74</v>
      </c>
      <c r="L432" s="3" t="s">
        <v>74</v>
      </c>
      <c r="M432" s="3" t="s">
        <v>110</v>
      </c>
      <c r="N432" s="3" t="s">
        <v>79</v>
      </c>
      <c r="O432" s="3" t="s">
        <v>74</v>
      </c>
      <c r="P432" s="3" t="s">
        <v>74</v>
      </c>
      <c r="Q432" s="3" t="s">
        <v>74</v>
      </c>
      <c r="R432" s="3" t="s">
        <v>74</v>
      </c>
      <c r="S432" s="3" t="s">
        <v>74</v>
      </c>
      <c r="T432" s="3" t="s">
        <v>8778</v>
      </c>
      <c r="U432" s="3" t="s">
        <v>8779</v>
      </c>
      <c r="V432" s="3" t="s">
        <v>8780</v>
      </c>
      <c r="W432" s="3" t="s">
        <v>8781</v>
      </c>
      <c r="X432" s="3" t="s">
        <v>8782</v>
      </c>
      <c r="Y432" s="3" t="s">
        <v>8783</v>
      </c>
      <c r="Z432" s="3" t="s">
        <v>8784</v>
      </c>
      <c r="AA432" s="3" t="s">
        <v>8785</v>
      </c>
      <c r="AB432" s="3" t="s">
        <v>74</v>
      </c>
      <c r="AC432" s="3" t="s">
        <v>74</v>
      </c>
      <c r="AD432" s="3" t="s">
        <v>74</v>
      </c>
      <c r="AE432" s="3" t="s">
        <v>74</v>
      </c>
      <c r="AF432" s="3" t="s">
        <v>74</v>
      </c>
      <c r="AG432" s="3">
        <v>47</v>
      </c>
      <c r="AH432" s="3">
        <v>13</v>
      </c>
      <c r="AI432" s="3">
        <v>14</v>
      </c>
      <c r="AJ432" s="3">
        <v>5</v>
      </c>
      <c r="AK432" s="3">
        <v>59</v>
      </c>
      <c r="AL432" s="3" t="s">
        <v>8786</v>
      </c>
      <c r="AM432" s="3" t="s">
        <v>2162</v>
      </c>
      <c r="AN432" s="3" t="s">
        <v>8787</v>
      </c>
      <c r="AO432" s="3" t="s">
        <v>8788</v>
      </c>
      <c r="AP432" s="3" t="s">
        <v>8789</v>
      </c>
      <c r="AQ432" s="3" t="s">
        <v>74</v>
      </c>
      <c r="AR432" s="3" t="s">
        <v>8790</v>
      </c>
      <c r="AS432" s="3" t="s">
        <v>8791</v>
      </c>
      <c r="AT432" s="3" t="s">
        <v>807</v>
      </c>
      <c r="AU432" s="3">
        <v>2024</v>
      </c>
      <c r="AV432" s="3">
        <v>29</v>
      </c>
      <c r="AW432" s="3">
        <v>1</v>
      </c>
      <c r="AX432" s="3" t="s">
        <v>74</v>
      </c>
      <c r="AY432" s="3" t="s">
        <v>74</v>
      </c>
      <c r="AZ432" s="3" t="s">
        <v>74</v>
      </c>
      <c r="BA432" s="3" t="s">
        <v>74</v>
      </c>
      <c r="BB432" s="3">
        <v>143</v>
      </c>
      <c r="BC432" s="3">
        <v>157</v>
      </c>
      <c r="BD432" s="3" t="s">
        <v>74</v>
      </c>
      <c r="BE432" s="3" t="s">
        <v>8792</v>
      </c>
      <c r="BF432" s="3" t="str">
        <f>HYPERLINK("http://dx.doi.org/10.26599/TST.2023.9010008","http://dx.doi.org/10.26599/TST.2023.9010008")</f>
        <v>http://dx.doi.org/10.26599/TST.2023.9010008</v>
      </c>
      <c r="BG432" s="3" t="s">
        <v>74</v>
      </c>
      <c r="BH432" s="3" t="s">
        <v>74</v>
      </c>
      <c r="BI432" s="3">
        <v>15</v>
      </c>
      <c r="BJ432" s="3" t="s">
        <v>8793</v>
      </c>
      <c r="BK432" s="3" t="s">
        <v>179</v>
      </c>
      <c r="BL432" s="3" t="s">
        <v>383</v>
      </c>
      <c r="BM432" s="3" t="s">
        <v>8794</v>
      </c>
      <c r="BN432" s="3" t="s">
        <v>74</v>
      </c>
      <c r="BO432" s="3" t="s">
        <v>554</v>
      </c>
      <c r="BP432" s="3" t="s">
        <v>74</v>
      </c>
      <c r="BQ432" s="3" t="s">
        <v>74</v>
      </c>
      <c r="BR432" s="3" t="s">
        <v>101</v>
      </c>
      <c r="BS432" s="3" t="s">
        <v>8795</v>
      </c>
      <c r="BT432" s="3" t="str">
        <f>HYPERLINK("https%3A%2F%2Fwww.webofscience.com%2Fwos%2Fwoscc%2Ffull-record%2FWOS:001074356700012","View Full Record in Web of Science")</f>
        <v>View Full Record in Web of Science</v>
      </c>
      <c r="BU432" s="3"/>
      <c r="BV432" s="3"/>
      <c r="BW432" s="1"/>
    </row>
    <row r="433" spans="1:75" x14ac:dyDescent="0.25">
      <c r="A433" s="3" t="s">
        <v>72</v>
      </c>
      <c r="B433" s="3" t="s">
        <v>8796</v>
      </c>
      <c r="C433" s="3" t="s">
        <v>74</v>
      </c>
      <c r="D433" s="3" t="s">
        <v>74</v>
      </c>
      <c r="E433" s="3" t="s">
        <v>74</v>
      </c>
      <c r="F433" s="3" t="s">
        <v>8797</v>
      </c>
      <c r="G433" s="3" t="s">
        <v>74</v>
      </c>
      <c r="H433" s="3" t="s">
        <v>74</v>
      </c>
      <c r="I433" s="3" t="s">
        <v>8798</v>
      </c>
      <c r="J433" s="3" t="s">
        <v>661</v>
      </c>
      <c r="K433" s="3" t="s">
        <v>74</v>
      </c>
      <c r="L433" s="3" t="s">
        <v>74</v>
      </c>
      <c r="M433" s="3" t="s">
        <v>110</v>
      </c>
      <c r="N433" s="3" t="s">
        <v>79</v>
      </c>
      <c r="O433" s="3" t="s">
        <v>74</v>
      </c>
      <c r="P433" s="3" t="s">
        <v>74</v>
      </c>
      <c r="Q433" s="3" t="s">
        <v>74</v>
      </c>
      <c r="R433" s="3" t="s">
        <v>74</v>
      </c>
      <c r="S433" s="3" t="s">
        <v>74</v>
      </c>
      <c r="T433" s="3" t="s">
        <v>8799</v>
      </c>
      <c r="U433" s="3" t="s">
        <v>8800</v>
      </c>
      <c r="V433" s="3" t="s">
        <v>8801</v>
      </c>
      <c r="W433" s="3" t="s">
        <v>8802</v>
      </c>
      <c r="X433" s="3" t="s">
        <v>8803</v>
      </c>
      <c r="Y433" s="3" t="s">
        <v>8804</v>
      </c>
      <c r="Z433" s="3" t="s">
        <v>8805</v>
      </c>
      <c r="AA433" s="3" t="s">
        <v>8806</v>
      </c>
      <c r="AB433" s="3" t="s">
        <v>8807</v>
      </c>
      <c r="AC433" s="3" t="s">
        <v>74</v>
      </c>
      <c r="AD433" s="3" t="s">
        <v>74</v>
      </c>
      <c r="AE433" s="3" t="s">
        <v>74</v>
      </c>
      <c r="AF433" s="3" t="s">
        <v>74</v>
      </c>
      <c r="AG433" s="3">
        <v>124</v>
      </c>
      <c r="AH433" s="3">
        <v>11</v>
      </c>
      <c r="AI433" s="3">
        <v>12</v>
      </c>
      <c r="AJ433" s="3">
        <v>7</v>
      </c>
      <c r="AK433" s="3">
        <v>24</v>
      </c>
      <c r="AL433" s="3" t="s">
        <v>671</v>
      </c>
      <c r="AM433" s="3" t="s">
        <v>124</v>
      </c>
      <c r="AN433" s="3" t="s">
        <v>672</v>
      </c>
      <c r="AO433" s="3" t="s">
        <v>673</v>
      </c>
      <c r="AP433" s="3" t="s">
        <v>674</v>
      </c>
      <c r="AQ433" s="3" t="s">
        <v>74</v>
      </c>
      <c r="AR433" s="3" t="s">
        <v>675</v>
      </c>
      <c r="AS433" s="3" t="s">
        <v>676</v>
      </c>
      <c r="AT433" s="3" t="s">
        <v>533</v>
      </c>
      <c r="AU433" s="3">
        <v>2024</v>
      </c>
      <c r="AV433" s="3">
        <v>116</v>
      </c>
      <c r="AW433" s="3" t="s">
        <v>74</v>
      </c>
      <c r="AX433" s="3" t="s">
        <v>74</v>
      </c>
      <c r="AY433" s="3" t="s">
        <v>74</v>
      </c>
      <c r="AZ433" s="3" t="s">
        <v>74</v>
      </c>
      <c r="BA433" s="3" t="s">
        <v>74</v>
      </c>
      <c r="BB433" s="3" t="s">
        <v>74</v>
      </c>
      <c r="BC433" s="3" t="s">
        <v>74</v>
      </c>
      <c r="BD433" s="3">
        <v>105882</v>
      </c>
      <c r="BE433" s="3" t="s">
        <v>8808</v>
      </c>
      <c r="BF433" s="3" t="str">
        <f>HYPERLINK("http://dx.doi.org/10.1016/j.scs.2024.105882","http://dx.doi.org/10.1016/j.scs.2024.105882")</f>
        <v>http://dx.doi.org/10.1016/j.scs.2024.105882</v>
      </c>
      <c r="BG433" s="3" t="s">
        <v>74</v>
      </c>
      <c r="BH433" s="3" t="s">
        <v>262</v>
      </c>
      <c r="BI433" s="3">
        <v>29</v>
      </c>
      <c r="BJ433" s="3" t="s">
        <v>680</v>
      </c>
      <c r="BK433" s="3" t="s">
        <v>179</v>
      </c>
      <c r="BL433" s="3" t="s">
        <v>681</v>
      </c>
      <c r="BM433" s="3" t="s">
        <v>8809</v>
      </c>
      <c r="BN433" s="3" t="s">
        <v>74</v>
      </c>
      <c r="BO433" s="3" t="s">
        <v>74</v>
      </c>
      <c r="BP433" s="3" t="s">
        <v>74</v>
      </c>
      <c r="BQ433" s="3" t="s">
        <v>74</v>
      </c>
      <c r="BR433" s="3" t="s">
        <v>101</v>
      </c>
      <c r="BS433" s="3" t="s">
        <v>8810</v>
      </c>
      <c r="BT433" s="3" t="str">
        <f>HYPERLINK("https%3A%2F%2Fwww.webofscience.com%2Fwos%2Fwoscc%2Ffull-record%2FWOS:001343528100001","View Full Record in Web of Science")</f>
        <v>View Full Record in Web of Science</v>
      </c>
      <c r="BU433" s="3"/>
      <c r="BV433" s="3"/>
      <c r="BW433" s="1"/>
    </row>
    <row r="434" spans="1:75" x14ac:dyDescent="0.25">
      <c r="A434" s="3" t="s">
        <v>72</v>
      </c>
      <c r="B434" s="3" t="s">
        <v>8811</v>
      </c>
      <c r="C434" s="3" t="s">
        <v>74</v>
      </c>
      <c r="D434" s="3" t="s">
        <v>74</v>
      </c>
      <c r="E434" s="3" t="s">
        <v>74</v>
      </c>
      <c r="F434" s="3" t="s">
        <v>8812</v>
      </c>
      <c r="G434" s="3" t="s">
        <v>74</v>
      </c>
      <c r="H434" s="3" t="s">
        <v>74</v>
      </c>
      <c r="I434" s="3" t="s">
        <v>8813</v>
      </c>
      <c r="J434" s="3" t="s">
        <v>3961</v>
      </c>
      <c r="K434" s="3" t="s">
        <v>74</v>
      </c>
      <c r="L434" s="3" t="s">
        <v>74</v>
      </c>
      <c r="M434" s="3" t="s">
        <v>110</v>
      </c>
      <c r="N434" s="3" t="s">
        <v>79</v>
      </c>
      <c r="O434" s="3" t="s">
        <v>74</v>
      </c>
      <c r="P434" s="3" t="s">
        <v>74</v>
      </c>
      <c r="Q434" s="3" t="s">
        <v>74</v>
      </c>
      <c r="R434" s="3" t="s">
        <v>74</v>
      </c>
      <c r="S434" s="3" t="s">
        <v>74</v>
      </c>
      <c r="T434" s="3" t="s">
        <v>8814</v>
      </c>
      <c r="U434" s="3" t="s">
        <v>8815</v>
      </c>
      <c r="V434" s="3" t="s">
        <v>8816</v>
      </c>
      <c r="W434" s="3" t="s">
        <v>8817</v>
      </c>
      <c r="X434" s="3" t="s">
        <v>8818</v>
      </c>
      <c r="Y434" s="3" t="s">
        <v>8819</v>
      </c>
      <c r="Z434" s="3" t="s">
        <v>8820</v>
      </c>
      <c r="AA434" s="3" t="s">
        <v>8821</v>
      </c>
      <c r="AB434" s="3" t="s">
        <v>8822</v>
      </c>
      <c r="AC434" s="3" t="s">
        <v>8823</v>
      </c>
      <c r="AD434" s="3" t="s">
        <v>8824</v>
      </c>
      <c r="AE434" s="3" t="s">
        <v>8825</v>
      </c>
      <c r="AF434" s="3" t="s">
        <v>74</v>
      </c>
      <c r="AG434" s="3">
        <v>50</v>
      </c>
      <c r="AH434" s="3">
        <v>29</v>
      </c>
      <c r="AI434" s="3">
        <v>34</v>
      </c>
      <c r="AJ434" s="3">
        <v>1</v>
      </c>
      <c r="AK434" s="3">
        <v>59</v>
      </c>
      <c r="AL434" s="3" t="s">
        <v>254</v>
      </c>
      <c r="AM434" s="3" t="s">
        <v>305</v>
      </c>
      <c r="AN434" s="3" t="s">
        <v>7896</v>
      </c>
      <c r="AO434" s="3" t="s">
        <v>3974</v>
      </c>
      <c r="AP434" s="3" t="s">
        <v>3975</v>
      </c>
      <c r="AQ434" s="3" t="s">
        <v>74</v>
      </c>
      <c r="AR434" s="3" t="s">
        <v>3976</v>
      </c>
      <c r="AS434" s="3" t="s">
        <v>3977</v>
      </c>
      <c r="AT434" s="3" t="s">
        <v>1164</v>
      </c>
      <c r="AU434" s="3">
        <v>2017</v>
      </c>
      <c r="AV434" s="3">
        <v>65</v>
      </c>
      <c r="AW434" s="3" t="s">
        <v>74</v>
      </c>
      <c r="AX434" s="3" t="s">
        <v>74</v>
      </c>
      <c r="AY434" s="3" t="s">
        <v>74</v>
      </c>
      <c r="AZ434" s="3" t="s">
        <v>74</v>
      </c>
      <c r="BA434" s="3" t="s">
        <v>74</v>
      </c>
      <c r="BB434" s="3">
        <v>24</v>
      </c>
      <c r="BC434" s="3">
        <v>33</v>
      </c>
      <c r="BD434" s="3" t="s">
        <v>74</v>
      </c>
      <c r="BE434" s="3" t="s">
        <v>8826</v>
      </c>
      <c r="BF434" s="3" t="str">
        <f>HYPERLINK("http://dx.doi.org/10.1016/j.retrec.2017.09.007","http://dx.doi.org/10.1016/j.retrec.2017.09.007")</f>
        <v>http://dx.doi.org/10.1016/j.retrec.2017.09.007</v>
      </c>
      <c r="BG434" s="3" t="s">
        <v>74</v>
      </c>
      <c r="BH434" s="3" t="s">
        <v>74</v>
      </c>
      <c r="BI434" s="3">
        <v>10</v>
      </c>
      <c r="BJ434" s="3" t="s">
        <v>3979</v>
      </c>
      <c r="BK434" s="3" t="s">
        <v>264</v>
      </c>
      <c r="BL434" s="3" t="s">
        <v>1187</v>
      </c>
      <c r="BM434" s="3" t="s">
        <v>8827</v>
      </c>
      <c r="BN434" s="3" t="s">
        <v>74</v>
      </c>
      <c r="BO434" s="3" t="s">
        <v>74</v>
      </c>
      <c r="BP434" s="3" t="s">
        <v>74</v>
      </c>
      <c r="BQ434" s="3" t="s">
        <v>74</v>
      </c>
      <c r="BR434" s="3" t="s">
        <v>101</v>
      </c>
      <c r="BS434" s="3" t="s">
        <v>8828</v>
      </c>
      <c r="BT434" s="3" t="str">
        <f>HYPERLINK("https%3A%2F%2Fwww.webofscience.com%2Fwos%2Fwoscc%2Ffull-record%2FWOS:000423007200004","View Full Record in Web of Science")</f>
        <v>View Full Record in Web of Science</v>
      </c>
      <c r="BU434" s="3"/>
      <c r="BV434" s="3"/>
      <c r="BW434" s="1"/>
    </row>
    <row r="435" spans="1:75" x14ac:dyDescent="0.25">
      <c r="A435" s="3" t="s">
        <v>72</v>
      </c>
      <c r="B435" s="3" t="s">
        <v>8829</v>
      </c>
      <c r="C435" s="3" t="s">
        <v>74</v>
      </c>
      <c r="D435" s="3" t="s">
        <v>74</v>
      </c>
      <c r="E435" s="3" t="s">
        <v>74</v>
      </c>
      <c r="F435" s="3" t="s">
        <v>8830</v>
      </c>
      <c r="G435" s="3" t="s">
        <v>74</v>
      </c>
      <c r="H435" s="3" t="s">
        <v>74</v>
      </c>
      <c r="I435" s="3" t="s">
        <v>8831</v>
      </c>
      <c r="J435" s="3" t="s">
        <v>835</v>
      </c>
      <c r="K435" s="3" t="s">
        <v>74</v>
      </c>
      <c r="L435" s="3" t="s">
        <v>74</v>
      </c>
      <c r="M435" s="3" t="s">
        <v>110</v>
      </c>
      <c r="N435" s="3" t="s">
        <v>79</v>
      </c>
      <c r="O435" s="3" t="s">
        <v>74</v>
      </c>
      <c r="P435" s="3" t="s">
        <v>74</v>
      </c>
      <c r="Q435" s="3" t="s">
        <v>74</v>
      </c>
      <c r="R435" s="3" t="s">
        <v>74</v>
      </c>
      <c r="S435" s="3" t="s">
        <v>74</v>
      </c>
      <c r="T435" s="3" t="s">
        <v>8832</v>
      </c>
      <c r="U435" s="3" t="s">
        <v>74</v>
      </c>
      <c r="V435" s="3" t="s">
        <v>8833</v>
      </c>
      <c r="W435" s="3" t="s">
        <v>8834</v>
      </c>
      <c r="X435" s="3" t="s">
        <v>8835</v>
      </c>
      <c r="Y435" s="3" t="s">
        <v>8836</v>
      </c>
      <c r="Z435" s="3" t="s">
        <v>8837</v>
      </c>
      <c r="AA435" s="3" t="s">
        <v>8838</v>
      </c>
      <c r="AB435" s="3" t="s">
        <v>8839</v>
      </c>
      <c r="AC435" s="3" t="s">
        <v>74</v>
      </c>
      <c r="AD435" s="3" t="s">
        <v>74</v>
      </c>
      <c r="AE435" s="3" t="s">
        <v>74</v>
      </c>
      <c r="AF435" s="3" t="s">
        <v>74</v>
      </c>
      <c r="AG435" s="3">
        <v>30</v>
      </c>
      <c r="AH435" s="3">
        <v>5</v>
      </c>
      <c r="AI435" s="3">
        <v>5</v>
      </c>
      <c r="AJ435" s="3">
        <v>16</v>
      </c>
      <c r="AK435" s="3">
        <v>138</v>
      </c>
      <c r="AL435" s="3" t="s">
        <v>846</v>
      </c>
      <c r="AM435" s="3" t="s">
        <v>847</v>
      </c>
      <c r="AN435" s="3" t="s">
        <v>848</v>
      </c>
      <c r="AO435" s="3" t="s">
        <v>849</v>
      </c>
      <c r="AP435" s="3" t="s">
        <v>74</v>
      </c>
      <c r="AQ435" s="3" t="s">
        <v>74</v>
      </c>
      <c r="AR435" s="3" t="s">
        <v>835</v>
      </c>
      <c r="AS435" s="3" t="s">
        <v>850</v>
      </c>
      <c r="AT435" s="3" t="s">
        <v>74</v>
      </c>
      <c r="AU435" s="3">
        <v>2024</v>
      </c>
      <c r="AV435" s="3">
        <v>12</v>
      </c>
      <c r="AW435" s="3" t="s">
        <v>74</v>
      </c>
      <c r="AX435" s="3" t="s">
        <v>74</v>
      </c>
      <c r="AY435" s="3" t="s">
        <v>74</v>
      </c>
      <c r="AZ435" s="3" t="s">
        <v>74</v>
      </c>
      <c r="BA435" s="3" t="s">
        <v>74</v>
      </c>
      <c r="BB435" s="3">
        <v>143745</v>
      </c>
      <c r="BC435" s="3">
        <v>143753</v>
      </c>
      <c r="BD435" s="3" t="s">
        <v>74</v>
      </c>
      <c r="BE435" s="3" t="s">
        <v>8840</v>
      </c>
      <c r="BF435" s="3" t="str">
        <f>HYPERLINK("http://dx.doi.org/10.1109/ACCESS.2024.3471690","http://dx.doi.org/10.1109/ACCESS.2024.3471690")</f>
        <v>http://dx.doi.org/10.1109/ACCESS.2024.3471690</v>
      </c>
      <c r="BG435" s="3" t="s">
        <v>74</v>
      </c>
      <c r="BH435" s="3" t="s">
        <v>74</v>
      </c>
      <c r="BI435" s="3">
        <v>9</v>
      </c>
      <c r="BJ435" s="3" t="s">
        <v>852</v>
      </c>
      <c r="BK435" s="3" t="s">
        <v>179</v>
      </c>
      <c r="BL435" s="3" t="s">
        <v>853</v>
      </c>
      <c r="BM435" s="3" t="s">
        <v>8841</v>
      </c>
      <c r="BN435" s="3" t="s">
        <v>74</v>
      </c>
      <c r="BO435" s="3" t="s">
        <v>100</v>
      </c>
      <c r="BP435" s="3" t="s">
        <v>74</v>
      </c>
      <c r="BQ435" s="3" t="s">
        <v>74</v>
      </c>
      <c r="BR435" s="3" t="s">
        <v>101</v>
      </c>
      <c r="BS435" s="3" t="s">
        <v>8842</v>
      </c>
      <c r="BT435" s="3" t="str">
        <f>HYPERLINK("https%3A%2F%2Fwww.webofscience.com%2Fwos%2Fwoscc%2Ffull-record%2FWOS:001337347300001","View Full Record in Web of Science")</f>
        <v>View Full Record in Web of Science</v>
      </c>
      <c r="BU435" s="3"/>
      <c r="BV435" s="3"/>
      <c r="BW435" s="1"/>
    </row>
    <row r="436" spans="1:75" x14ac:dyDescent="0.25">
      <c r="A436" s="3" t="s">
        <v>72</v>
      </c>
      <c r="B436" s="3" t="s">
        <v>8843</v>
      </c>
      <c r="C436" s="3" t="s">
        <v>74</v>
      </c>
      <c r="D436" s="3" t="s">
        <v>74</v>
      </c>
      <c r="E436" s="3" t="s">
        <v>74</v>
      </c>
      <c r="F436" s="3" t="s">
        <v>8844</v>
      </c>
      <c r="G436" s="3" t="s">
        <v>74</v>
      </c>
      <c r="H436" s="3" t="s">
        <v>74</v>
      </c>
      <c r="I436" s="3" t="s">
        <v>8845</v>
      </c>
      <c r="J436" s="3" t="s">
        <v>835</v>
      </c>
      <c r="K436" s="3" t="s">
        <v>74</v>
      </c>
      <c r="L436" s="3" t="s">
        <v>74</v>
      </c>
      <c r="M436" s="3" t="s">
        <v>110</v>
      </c>
      <c r="N436" s="3" t="s">
        <v>79</v>
      </c>
      <c r="O436" s="3" t="s">
        <v>74</v>
      </c>
      <c r="P436" s="3" t="s">
        <v>74</v>
      </c>
      <c r="Q436" s="3" t="s">
        <v>74</v>
      </c>
      <c r="R436" s="3" t="s">
        <v>74</v>
      </c>
      <c r="S436" s="3" t="s">
        <v>74</v>
      </c>
      <c r="T436" s="3" t="s">
        <v>8846</v>
      </c>
      <c r="U436" s="3" t="s">
        <v>8847</v>
      </c>
      <c r="V436" s="3" t="s">
        <v>8848</v>
      </c>
      <c r="W436" s="3" t="s">
        <v>8849</v>
      </c>
      <c r="X436" s="3" t="s">
        <v>8850</v>
      </c>
      <c r="Y436" s="3" t="s">
        <v>8851</v>
      </c>
      <c r="Z436" s="3" t="s">
        <v>8852</v>
      </c>
      <c r="AA436" s="3" t="s">
        <v>8853</v>
      </c>
      <c r="AB436" s="3" t="s">
        <v>8854</v>
      </c>
      <c r="AC436" s="3" t="s">
        <v>8855</v>
      </c>
      <c r="AD436" s="3" t="s">
        <v>8856</v>
      </c>
      <c r="AE436" s="3" t="s">
        <v>8857</v>
      </c>
      <c r="AF436" s="3" t="s">
        <v>74</v>
      </c>
      <c r="AG436" s="3">
        <v>89</v>
      </c>
      <c r="AH436" s="3">
        <v>5</v>
      </c>
      <c r="AI436" s="3">
        <v>6</v>
      </c>
      <c r="AJ436" s="3">
        <v>13</v>
      </c>
      <c r="AK436" s="3">
        <v>49</v>
      </c>
      <c r="AL436" s="3" t="s">
        <v>846</v>
      </c>
      <c r="AM436" s="3" t="s">
        <v>847</v>
      </c>
      <c r="AN436" s="3" t="s">
        <v>848</v>
      </c>
      <c r="AO436" s="3" t="s">
        <v>849</v>
      </c>
      <c r="AP436" s="3" t="s">
        <v>74</v>
      </c>
      <c r="AQ436" s="3" t="s">
        <v>74</v>
      </c>
      <c r="AR436" s="3" t="s">
        <v>835</v>
      </c>
      <c r="AS436" s="3" t="s">
        <v>850</v>
      </c>
      <c r="AT436" s="3" t="s">
        <v>74</v>
      </c>
      <c r="AU436" s="3">
        <v>2024</v>
      </c>
      <c r="AV436" s="3">
        <v>12</v>
      </c>
      <c r="AW436" s="3" t="s">
        <v>74</v>
      </c>
      <c r="AX436" s="3" t="s">
        <v>74</v>
      </c>
      <c r="AY436" s="3" t="s">
        <v>74</v>
      </c>
      <c r="AZ436" s="3" t="s">
        <v>74</v>
      </c>
      <c r="BA436" s="3" t="s">
        <v>74</v>
      </c>
      <c r="BB436" s="3">
        <v>152444</v>
      </c>
      <c r="BC436" s="3">
        <v>152465</v>
      </c>
      <c r="BD436" s="3" t="s">
        <v>74</v>
      </c>
      <c r="BE436" s="3" t="s">
        <v>8858</v>
      </c>
      <c r="BF436" s="3" t="str">
        <f>HYPERLINK("http://dx.doi.org/10.1109/ACCESS.2024.3478379","http://dx.doi.org/10.1109/ACCESS.2024.3478379")</f>
        <v>http://dx.doi.org/10.1109/ACCESS.2024.3478379</v>
      </c>
      <c r="BG436" s="3" t="s">
        <v>74</v>
      </c>
      <c r="BH436" s="3" t="s">
        <v>74</v>
      </c>
      <c r="BI436" s="3">
        <v>22</v>
      </c>
      <c r="BJ436" s="3" t="s">
        <v>852</v>
      </c>
      <c r="BK436" s="3" t="s">
        <v>179</v>
      </c>
      <c r="BL436" s="3" t="s">
        <v>853</v>
      </c>
      <c r="BM436" s="3" t="s">
        <v>8859</v>
      </c>
      <c r="BN436" s="3" t="s">
        <v>74</v>
      </c>
      <c r="BO436" s="3" t="s">
        <v>100</v>
      </c>
      <c r="BP436" s="3" t="s">
        <v>74</v>
      </c>
      <c r="BQ436" s="3" t="s">
        <v>74</v>
      </c>
      <c r="BR436" s="3" t="s">
        <v>101</v>
      </c>
      <c r="BS436" s="3" t="s">
        <v>8860</v>
      </c>
      <c r="BT436" s="3" t="str">
        <f>HYPERLINK("https%3A%2F%2Fwww.webofscience.com%2Fwos%2Fwoscc%2Ffull-record%2FWOS:001340671800001","View Full Record in Web of Science")</f>
        <v>View Full Record in Web of Science</v>
      </c>
      <c r="BU436" s="3"/>
      <c r="BV436" s="3"/>
      <c r="BW436" s="1"/>
    </row>
    <row r="437" spans="1:75" x14ac:dyDescent="0.25">
      <c r="A437" s="3" t="s">
        <v>72</v>
      </c>
      <c r="B437" s="3" t="s">
        <v>8861</v>
      </c>
      <c r="C437" s="3" t="s">
        <v>74</v>
      </c>
      <c r="D437" s="3" t="s">
        <v>74</v>
      </c>
      <c r="E437" s="3" t="s">
        <v>74</v>
      </c>
      <c r="F437" s="3" t="s">
        <v>8862</v>
      </c>
      <c r="G437" s="3" t="s">
        <v>74</v>
      </c>
      <c r="H437" s="3" t="s">
        <v>74</v>
      </c>
      <c r="I437" s="3" t="s">
        <v>8863</v>
      </c>
      <c r="J437" s="3" t="s">
        <v>1171</v>
      </c>
      <c r="K437" s="3" t="s">
        <v>74</v>
      </c>
      <c r="L437" s="3" t="s">
        <v>74</v>
      </c>
      <c r="M437" s="3" t="s">
        <v>110</v>
      </c>
      <c r="N437" s="3" t="s">
        <v>79</v>
      </c>
      <c r="O437" s="3" t="s">
        <v>74</v>
      </c>
      <c r="P437" s="3" t="s">
        <v>74</v>
      </c>
      <c r="Q437" s="3" t="s">
        <v>74</v>
      </c>
      <c r="R437" s="3" t="s">
        <v>74</v>
      </c>
      <c r="S437" s="3" t="s">
        <v>74</v>
      </c>
      <c r="T437" s="3" t="s">
        <v>8864</v>
      </c>
      <c r="U437" s="3" t="s">
        <v>8865</v>
      </c>
      <c r="V437" s="3" t="s">
        <v>8866</v>
      </c>
      <c r="W437" s="3" t="s">
        <v>8867</v>
      </c>
      <c r="X437" s="3" t="s">
        <v>6775</v>
      </c>
      <c r="Y437" s="3" t="s">
        <v>8868</v>
      </c>
      <c r="Z437" s="3" t="s">
        <v>8869</v>
      </c>
      <c r="AA437" s="3" t="s">
        <v>74</v>
      </c>
      <c r="AB437" s="3" t="s">
        <v>74</v>
      </c>
      <c r="AC437" s="3" t="s">
        <v>8870</v>
      </c>
      <c r="AD437" s="3" t="s">
        <v>8871</v>
      </c>
      <c r="AE437" s="3" t="s">
        <v>8872</v>
      </c>
      <c r="AF437" s="3" t="s">
        <v>74</v>
      </c>
      <c r="AG437" s="3">
        <v>42</v>
      </c>
      <c r="AH437" s="3">
        <v>3</v>
      </c>
      <c r="AI437" s="3">
        <v>5</v>
      </c>
      <c r="AJ437" s="3">
        <v>11</v>
      </c>
      <c r="AK437" s="3">
        <v>31</v>
      </c>
      <c r="AL437" s="3" t="s">
        <v>671</v>
      </c>
      <c r="AM437" s="3" t="s">
        <v>124</v>
      </c>
      <c r="AN437" s="3" t="s">
        <v>672</v>
      </c>
      <c r="AO437" s="3" t="s">
        <v>1181</v>
      </c>
      <c r="AP437" s="3" t="s">
        <v>1182</v>
      </c>
      <c r="AQ437" s="3" t="s">
        <v>74</v>
      </c>
      <c r="AR437" s="3" t="s">
        <v>1183</v>
      </c>
      <c r="AS437" s="3" t="s">
        <v>1184</v>
      </c>
      <c r="AT437" s="3" t="s">
        <v>1164</v>
      </c>
      <c r="AU437" s="3">
        <v>2024</v>
      </c>
      <c r="AV437" s="3">
        <v>56</v>
      </c>
      <c r="AW437" s="3" t="s">
        <v>74</v>
      </c>
      <c r="AX437" s="3" t="s">
        <v>74</v>
      </c>
      <c r="AY437" s="3" t="s">
        <v>74</v>
      </c>
      <c r="AZ437" s="3" t="s">
        <v>74</v>
      </c>
      <c r="BA437" s="3" t="s">
        <v>74</v>
      </c>
      <c r="BB437" s="3" t="s">
        <v>74</v>
      </c>
      <c r="BC437" s="3" t="s">
        <v>74</v>
      </c>
      <c r="BD437" s="3">
        <v>101174</v>
      </c>
      <c r="BE437" s="3" t="s">
        <v>8873</v>
      </c>
      <c r="BF437" s="3" t="str">
        <f>HYPERLINK("http://dx.doi.org/10.1016/j.rtbm.2024.101174","http://dx.doi.org/10.1016/j.rtbm.2024.101174")</f>
        <v>http://dx.doi.org/10.1016/j.rtbm.2024.101174</v>
      </c>
      <c r="BG437" s="3" t="s">
        <v>74</v>
      </c>
      <c r="BH437" s="3" t="s">
        <v>2879</v>
      </c>
      <c r="BI437" s="3">
        <v>11</v>
      </c>
      <c r="BJ437" s="3" t="s">
        <v>1186</v>
      </c>
      <c r="BK437" s="3" t="s">
        <v>264</v>
      </c>
      <c r="BL437" s="3" t="s">
        <v>1187</v>
      </c>
      <c r="BM437" s="3" t="s">
        <v>8874</v>
      </c>
      <c r="BN437" s="3" t="s">
        <v>74</v>
      </c>
      <c r="BO437" s="3" t="s">
        <v>3738</v>
      </c>
      <c r="BP437" s="3" t="s">
        <v>74</v>
      </c>
      <c r="BQ437" s="3" t="s">
        <v>74</v>
      </c>
      <c r="BR437" s="3" t="s">
        <v>101</v>
      </c>
      <c r="BS437" s="3" t="s">
        <v>8875</v>
      </c>
      <c r="BT437" s="3" t="str">
        <f>HYPERLINK("https%3A%2F%2Fwww.webofscience.com%2Fwos%2Fwoscc%2Ffull-record%2FWOS:001288009500001","View Full Record in Web of Science")</f>
        <v>View Full Record in Web of Science</v>
      </c>
      <c r="BU437" s="3"/>
      <c r="BV437" s="3"/>
      <c r="BW437" s="1"/>
    </row>
    <row r="438" spans="1:75" x14ac:dyDescent="0.25">
      <c r="A438" s="3" t="s">
        <v>72</v>
      </c>
      <c r="B438" s="3" t="s">
        <v>8876</v>
      </c>
      <c r="C438" s="3" t="s">
        <v>74</v>
      </c>
      <c r="D438" s="3" t="s">
        <v>74</v>
      </c>
      <c r="E438" s="3" t="s">
        <v>74</v>
      </c>
      <c r="F438" s="3" t="s">
        <v>8877</v>
      </c>
      <c r="G438" s="3" t="s">
        <v>74</v>
      </c>
      <c r="H438" s="3" t="s">
        <v>74</v>
      </c>
      <c r="I438" s="3" t="s">
        <v>8878</v>
      </c>
      <c r="J438" s="3" t="s">
        <v>835</v>
      </c>
      <c r="K438" s="3" t="s">
        <v>74</v>
      </c>
      <c r="L438" s="3" t="s">
        <v>74</v>
      </c>
      <c r="M438" s="3" t="s">
        <v>110</v>
      </c>
      <c r="N438" s="3" t="s">
        <v>79</v>
      </c>
      <c r="O438" s="3" t="s">
        <v>74</v>
      </c>
      <c r="P438" s="3" t="s">
        <v>74</v>
      </c>
      <c r="Q438" s="3" t="s">
        <v>74</v>
      </c>
      <c r="R438" s="3" t="s">
        <v>74</v>
      </c>
      <c r="S438" s="3" t="s">
        <v>74</v>
      </c>
      <c r="T438" s="3" t="s">
        <v>8879</v>
      </c>
      <c r="U438" s="3" t="s">
        <v>8880</v>
      </c>
      <c r="V438" s="3" t="s">
        <v>8881</v>
      </c>
      <c r="W438" s="3" t="s">
        <v>8882</v>
      </c>
      <c r="X438" s="3" t="s">
        <v>8883</v>
      </c>
      <c r="Y438" s="3" t="s">
        <v>8884</v>
      </c>
      <c r="Z438" s="3" t="s">
        <v>8885</v>
      </c>
      <c r="AA438" s="3" t="s">
        <v>8886</v>
      </c>
      <c r="AB438" s="3" t="s">
        <v>8887</v>
      </c>
      <c r="AC438" s="3" t="s">
        <v>8888</v>
      </c>
      <c r="AD438" s="3" t="s">
        <v>8888</v>
      </c>
      <c r="AE438" s="3" t="s">
        <v>3342</v>
      </c>
      <c r="AF438" s="3" t="s">
        <v>74</v>
      </c>
      <c r="AG438" s="3">
        <v>41</v>
      </c>
      <c r="AH438" s="3">
        <v>3</v>
      </c>
      <c r="AI438" s="3">
        <v>5</v>
      </c>
      <c r="AJ438" s="3">
        <v>3</v>
      </c>
      <c r="AK438" s="3">
        <v>9</v>
      </c>
      <c r="AL438" s="3" t="s">
        <v>846</v>
      </c>
      <c r="AM438" s="3" t="s">
        <v>847</v>
      </c>
      <c r="AN438" s="3" t="s">
        <v>848</v>
      </c>
      <c r="AO438" s="3" t="s">
        <v>849</v>
      </c>
      <c r="AP438" s="3" t="s">
        <v>74</v>
      </c>
      <c r="AQ438" s="3" t="s">
        <v>74</v>
      </c>
      <c r="AR438" s="3" t="s">
        <v>835</v>
      </c>
      <c r="AS438" s="3" t="s">
        <v>850</v>
      </c>
      <c r="AT438" s="3" t="s">
        <v>74</v>
      </c>
      <c r="AU438" s="3">
        <v>2024</v>
      </c>
      <c r="AV438" s="3">
        <v>12</v>
      </c>
      <c r="AW438" s="3" t="s">
        <v>74</v>
      </c>
      <c r="AX438" s="3" t="s">
        <v>74</v>
      </c>
      <c r="AY438" s="3" t="s">
        <v>74</v>
      </c>
      <c r="AZ438" s="3" t="s">
        <v>74</v>
      </c>
      <c r="BA438" s="3" t="s">
        <v>74</v>
      </c>
      <c r="BB438" s="3">
        <v>62687</v>
      </c>
      <c r="BC438" s="3">
        <v>62708</v>
      </c>
      <c r="BD438" s="3" t="s">
        <v>74</v>
      </c>
      <c r="BE438" s="3" t="s">
        <v>8889</v>
      </c>
      <c r="BF438" s="3" t="str">
        <f>HYPERLINK("http://dx.doi.org/10.1109/ACCESS.2024.3392849","http://dx.doi.org/10.1109/ACCESS.2024.3392849")</f>
        <v>http://dx.doi.org/10.1109/ACCESS.2024.3392849</v>
      </c>
      <c r="BG438" s="3" t="s">
        <v>74</v>
      </c>
      <c r="BH438" s="3" t="s">
        <v>74</v>
      </c>
      <c r="BI438" s="3">
        <v>22</v>
      </c>
      <c r="BJ438" s="3" t="s">
        <v>852</v>
      </c>
      <c r="BK438" s="3" t="s">
        <v>179</v>
      </c>
      <c r="BL438" s="3" t="s">
        <v>853</v>
      </c>
      <c r="BM438" s="3" t="s">
        <v>8890</v>
      </c>
      <c r="BN438" s="3" t="s">
        <v>74</v>
      </c>
      <c r="BO438" s="3" t="s">
        <v>100</v>
      </c>
      <c r="BP438" s="3" t="s">
        <v>74</v>
      </c>
      <c r="BQ438" s="3" t="s">
        <v>74</v>
      </c>
      <c r="BR438" s="3" t="s">
        <v>101</v>
      </c>
      <c r="BS438" s="3" t="s">
        <v>8891</v>
      </c>
      <c r="BT438" s="3" t="str">
        <f>HYPERLINK("https%3A%2F%2Fwww.webofscience.com%2Fwos%2Fwoscc%2Ffull-record%2FWOS:001219371600001","View Full Record in Web of Science")</f>
        <v>View Full Record in Web of Science</v>
      </c>
      <c r="BU438" s="3"/>
      <c r="BV438" s="3"/>
      <c r="BW438" s="1"/>
    </row>
    <row r="439" spans="1:75" x14ac:dyDescent="0.25">
      <c r="A439" s="3" t="s">
        <v>72</v>
      </c>
      <c r="B439" s="3" t="s">
        <v>8892</v>
      </c>
      <c r="C439" s="3" t="s">
        <v>74</v>
      </c>
      <c r="D439" s="3" t="s">
        <v>74</v>
      </c>
      <c r="E439" s="3" t="s">
        <v>74</v>
      </c>
      <c r="F439" s="3" t="s">
        <v>8893</v>
      </c>
      <c r="G439" s="3" t="s">
        <v>74</v>
      </c>
      <c r="H439" s="3" t="s">
        <v>74</v>
      </c>
      <c r="I439" s="3" t="s">
        <v>8894</v>
      </c>
      <c r="J439" s="3" t="s">
        <v>138</v>
      </c>
      <c r="K439" s="3" t="s">
        <v>74</v>
      </c>
      <c r="L439" s="3" t="s">
        <v>74</v>
      </c>
      <c r="M439" s="3" t="s">
        <v>110</v>
      </c>
      <c r="N439" s="3" t="s">
        <v>79</v>
      </c>
      <c r="O439" s="3" t="s">
        <v>74</v>
      </c>
      <c r="P439" s="3" t="s">
        <v>74</v>
      </c>
      <c r="Q439" s="3" t="s">
        <v>74</v>
      </c>
      <c r="R439" s="3" t="s">
        <v>74</v>
      </c>
      <c r="S439" s="3" t="s">
        <v>74</v>
      </c>
      <c r="T439" s="3" t="s">
        <v>8895</v>
      </c>
      <c r="U439" s="3" t="s">
        <v>8896</v>
      </c>
      <c r="V439" s="3" t="s">
        <v>8897</v>
      </c>
      <c r="W439" s="3" t="s">
        <v>8898</v>
      </c>
      <c r="X439" s="3" t="s">
        <v>8899</v>
      </c>
      <c r="Y439" s="3" t="s">
        <v>8900</v>
      </c>
      <c r="Z439" s="3" t="s">
        <v>8901</v>
      </c>
      <c r="AA439" s="3" t="s">
        <v>8902</v>
      </c>
      <c r="AB439" s="3" t="s">
        <v>8903</v>
      </c>
      <c r="AC439" s="3" t="s">
        <v>8904</v>
      </c>
      <c r="AD439" s="3" t="s">
        <v>8905</v>
      </c>
      <c r="AE439" s="3" t="s">
        <v>8906</v>
      </c>
      <c r="AF439" s="3" t="s">
        <v>74</v>
      </c>
      <c r="AG439" s="3">
        <v>69</v>
      </c>
      <c r="AH439" s="3">
        <v>1</v>
      </c>
      <c r="AI439" s="3">
        <v>1</v>
      </c>
      <c r="AJ439" s="3">
        <v>5</v>
      </c>
      <c r="AK439" s="3">
        <v>10</v>
      </c>
      <c r="AL439" s="3" t="s">
        <v>145</v>
      </c>
      <c r="AM439" s="3" t="s">
        <v>146</v>
      </c>
      <c r="AN439" s="3" t="s">
        <v>147</v>
      </c>
      <c r="AO439" s="3" t="s">
        <v>74</v>
      </c>
      <c r="AP439" s="3" t="s">
        <v>148</v>
      </c>
      <c r="AQ439" s="3" t="s">
        <v>74</v>
      </c>
      <c r="AR439" s="3" t="s">
        <v>149</v>
      </c>
      <c r="AS439" s="3" t="s">
        <v>150</v>
      </c>
      <c r="AT439" s="3" t="s">
        <v>8907</v>
      </c>
      <c r="AU439" s="3">
        <v>2025</v>
      </c>
      <c r="AV439" s="3">
        <v>17</v>
      </c>
      <c r="AW439" s="3">
        <v>6</v>
      </c>
      <c r="AX439" s="3" t="s">
        <v>74</v>
      </c>
      <c r="AY439" s="3" t="s">
        <v>74</v>
      </c>
      <c r="AZ439" s="3" t="s">
        <v>74</v>
      </c>
      <c r="BA439" s="3" t="s">
        <v>74</v>
      </c>
      <c r="BB439" s="3" t="s">
        <v>74</v>
      </c>
      <c r="BC439" s="3" t="s">
        <v>74</v>
      </c>
      <c r="BD439" s="3">
        <v>2486</v>
      </c>
      <c r="BE439" s="3" t="s">
        <v>8908</v>
      </c>
      <c r="BF439" s="3" t="str">
        <f>HYPERLINK("http://dx.doi.org/10.3390/su17062486","http://dx.doi.org/10.3390/su17062486")</f>
        <v>http://dx.doi.org/10.3390/su17062486</v>
      </c>
      <c r="BG439" s="3" t="s">
        <v>74</v>
      </c>
      <c r="BH439" s="3" t="s">
        <v>74</v>
      </c>
      <c r="BI439" s="3">
        <v>26</v>
      </c>
      <c r="BJ439" s="3" t="s">
        <v>153</v>
      </c>
      <c r="BK439" s="3" t="s">
        <v>154</v>
      </c>
      <c r="BL439" s="3" t="s">
        <v>155</v>
      </c>
      <c r="BM439" s="3" t="s">
        <v>8909</v>
      </c>
      <c r="BN439" s="3" t="s">
        <v>74</v>
      </c>
      <c r="BO439" s="3" t="s">
        <v>100</v>
      </c>
      <c r="BP439" s="3" t="s">
        <v>74</v>
      </c>
      <c r="BQ439" s="3" t="s">
        <v>74</v>
      </c>
      <c r="BR439" s="3" t="s">
        <v>101</v>
      </c>
      <c r="BS439" s="3" t="s">
        <v>8910</v>
      </c>
      <c r="BT439" s="3" t="str">
        <f>HYPERLINK("https%3A%2F%2Fwww.webofscience.com%2Fwos%2Fwoscc%2Ffull-record%2FWOS:001453866100001","View Full Record in Web of Science")</f>
        <v>View Full Record in Web of Science</v>
      </c>
      <c r="BU439" s="3"/>
      <c r="BV439" s="3"/>
      <c r="BW439" s="1"/>
    </row>
    <row r="440" spans="1:75" x14ac:dyDescent="0.25">
      <c r="A440" s="3" t="s">
        <v>103</v>
      </c>
      <c r="B440" s="3" t="s">
        <v>8911</v>
      </c>
      <c r="C440" s="3" t="s">
        <v>74</v>
      </c>
      <c r="D440" s="3" t="s">
        <v>8912</v>
      </c>
      <c r="E440" s="3" t="s">
        <v>74</v>
      </c>
      <c r="F440" s="3" t="s">
        <v>8913</v>
      </c>
      <c r="G440" s="3" t="s">
        <v>74</v>
      </c>
      <c r="H440" s="3" t="s">
        <v>74</v>
      </c>
      <c r="I440" s="3" t="s">
        <v>8914</v>
      </c>
      <c r="J440" s="3" t="s">
        <v>8915</v>
      </c>
      <c r="K440" s="3" t="s">
        <v>4574</v>
      </c>
      <c r="L440" s="3" t="s">
        <v>74</v>
      </c>
      <c r="M440" s="3" t="s">
        <v>110</v>
      </c>
      <c r="N440" s="3" t="s">
        <v>111</v>
      </c>
      <c r="O440" s="3" t="s">
        <v>8916</v>
      </c>
      <c r="P440" s="3" t="s">
        <v>8917</v>
      </c>
      <c r="Q440" s="3" t="s">
        <v>8918</v>
      </c>
      <c r="R440" s="3" t="s">
        <v>74</v>
      </c>
      <c r="S440" s="3" t="s">
        <v>74</v>
      </c>
      <c r="T440" s="3" t="s">
        <v>74</v>
      </c>
      <c r="U440" s="3" t="s">
        <v>8919</v>
      </c>
      <c r="V440" s="3" t="s">
        <v>8920</v>
      </c>
      <c r="W440" s="3" t="s">
        <v>8921</v>
      </c>
      <c r="X440" s="3" t="s">
        <v>8922</v>
      </c>
      <c r="Y440" s="3" t="s">
        <v>8923</v>
      </c>
      <c r="Z440" s="3" t="s">
        <v>8924</v>
      </c>
      <c r="AA440" s="3" t="s">
        <v>8925</v>
      </c>
      <c r="AB440" s="3" t="s">
        <v>74</v>
      </c>
      <c r="AC440" s="3" t="s">
        <v>74</v>
      </c>
      <c r="AD440" s="3" t="s">
        <v>74</v>
      </c>
      <c r="AE440" s="3" t="s">
        <v>74</v>
      </c>
      <c r="AF440" s="3" t="s">
        <v>74</v>
      </c>
      <c r="AG440" s="3">
        <v>49</v>
      </c>
      <c r="AH440" s="3">
        <v>2</v>
      </c>
      <c r="AI440" s="3">
        <v>2</v>
      </c>
      <c r="AJ440" s="3">
        <v>3</v>
      </c>
      <c r="AK440" s="3">
        <v>8</v>
      </c>
      <c r="AL440" s="3" t="s">
        <v>374</v>
      </c>
      <c r="AM440" s="3" t="s">
        <v>375</v>
      </c>
      <c r="AN440" s="3" t="s">
        <v>376</v>
      </c>
      <c r="AO440" s="3" t="s">
        <v>4587</v>
      </c>
      <c r="AP440" s="3" t="s">
        <v>74</v>
      </c>
      <c r="AQ440" s="3" t="s">
        <v>8926</v>
      </c>
      <c r="AR440" s="3" t="s">
        <v>4589</v>
      </c>
      <c r="AS440" s="3" t="s">
        <v>74</v>
      </c>
      <c r="AT440" s="3" t="s">
        <v>74</v>
      </c>
      <c r="AU440" s="3">
        <v>2024</v>
      </c>
      <c r="AV440" s="3">
        <v>203</v>
      </c>
      <c r="AW440" s="3" t="s">
        <v>74</v>
      </c>
      <c r="AX440" s="3" t="s">
        <v>74</v>
      </c>
      <c r="AY440" s="3" t="s">
        <v>74</v>
      </c>
      <c r="AZ440" s="3" t="s">
        <v>74</v>
      </c>
      <c r="BA440" s="3" t="s">
        <v>74</v>
      </c>
      <c r="BB440" s="3">
        <v>224</v>
      </c>
      <c r="BC440" s="3">
        <v>233</v>
      </c>
      <c r="BD440" s="3" t="s">
        <v>74</v>
      </c>
      <c r="BE440" s="3" t="s">
        <v>8927</v>
      </c>
      <c r="BF440" s="3" t="str">
        <f>HYPERLINK("http://dx.doi.org/10.1007/978-3-031-57931-8_22","http://dx.doi.org/10.1007/978-3-031-57931-8_22")</f>
        <v>http://dx.doi.org/10.1007/978-3-031-57931-8_22</v>
      </c>
      <c r="BG440" s="3" t="s">
        <v>74</v>
      </c>
      <c r="BH440" s="3" t="s">
        <v>74</v>
      </c>
      <c r="BI440" s="3">
        <v>10</v>
      </c>
      <c r="BJ440" s="3" t="s">
        <v>2819</v>
      </c>
      <c r="BK440" s="3" t="s">
        <v>208</v>
      </c>
      <c r="BL440" s="3" t="s">
        <v>1826</v>
      </c>
      <c r="BM440" s="3" t="s">
        <v>8928</v>
      </c>
      <c r="BN440" s="3" t="s">
        <v>74</v>
      </c>
      <c r="BO440" s="3" t="s">
        <v>74</v>
      </c>
      <c r="BP440" s="3" t="s">
        <v>74</v>
      </c>
      <c r="BQ440" s="3" t="s">
        <v>74</v>
      </c>
      <c r="BR440" s="3" t="s">
        <v>101</v>
      </c>
      <c r="BS440" s="3" t="s">
        <v>8929</v>
      </c>
      <c r="BT440" s="3" t="str">
        <f>HYPERLINK("https%3A%2F%2Fwww.webofscience.com%2Fwos%2Fwoscc%2Ffull-record%2FWOS:001264790600022","View Full Record in Web of Science")</f>
        <v>View Full Record in Web of Science</v>
      </c>
      <c r="BU440" s="3"/>
      <c r="BV440" s="3"/>
      <c r="BW440" s="1"/>
    </row>
    <row r="441" spans="1:75" x14ac:dyDescent="0.25">
      <c r="A441" s="3" t="s">
        <v>72</v>
      </c>
      <c r="B441" s="3" t="s">
        <v>8930</v>
      </c>
      <c r="C441" s="3" t="s">
        <v>74</v>
      </c>
      <c r="D441" s="3" t="s">
        <v>74</v>
      </c>
      <c r="E441" s="3" t="s">
        <v>74</v>
      </c>
      <c r="F441" s="3" t="s">
        <v>8931</v>
      </c>
      <c r="G441" s="3" t="s">
        <v>74</v>
      </c>
      <c r="H441" s="3" t="s">
        <v>74</v>
      </c>
      <c r="I441" s="3" t="s">
        <v>8932</v>
      </c>
      <c r="J441" s="3" t="s">
        <v>8933</v>
      </c>
      <c r="K441" s="3" t="s">
        <v>74</v>
      </c>
      <c r="L441" s="3" t="s">
        <v>74</v>
      </c>
      <c r="M441" s="3" t="s">
        <v>110</v>
      </c>
      <c r="N441" s="3" t="s">
        <v>79</v>
      </c>
      <c r="O441" s="3" t="s">
        <v>74</v>
      </c>
      <c r="P441" s="3" t="s">
        <v>74</v>
      </c>
      <c r="Q441" s="3" t="s">
        <v>74</v>
      </c>
      <c r="R441" s="3" t="s">
        <v>74</v>
      </c>
      <c r="S441" s="3" t="s">
        <v>74</v>
      </c>
      <c r="T441" s="3" t="s">
        <v>8934</v>
      </c>
      <c r="U441" s="3" t="s">
        <v>8935</v>
      </c>
      <c r="V441" s="3" t="s">
        <v>8936</v>
      </c>
      <c r="W441" s="3" t="s">
        <v>8937</v>
      </c>
      <c r="X441" s="3" t="s">
        <v>8938</v>
      </c>
      <c r="Y441" s="3" t="s">
        <v>8939</v>
      </c>
      <c r="Z441" s="3" t="s">
        <v>8940</v>
      </c>
      <c r="AA441" s="3" t="s">
        <v>8941</v>
      </c>
      <c r="AB441" s="3" t="s">
        <v>74</v>
      </c>
      <c r="AC441" s="3" t="s">
        <v>8942</v>
      </c>
      <c r="AD441" s="3" t="s">
        <v>8943</v>
      </c>
      <c r="AE441" s="3" t="s">
        <v>8944</v>
      </c>
      <c r="AF441" s="3" t="s">
        <v>74</v>
      </c>
      <c r="AG441" s="3">
        <v>19</v>
      </c>
      <c r="AH441" s="3">
        <v>0</v>
      </c>
      <c r="AI441" s="3">
        <v>0</v>
      </c>
      <c r="AJ441" s="3">
        <v>1</v>
      </c>
      <c r="AK441" s="3">
        <v>1</v>
      </c>
      <c r="AL441" s="3" t="s">
        <v>3951</v>
      </c>
      <c r="AM441" s="3" t="s">
        <v>3952</v>
      </c>
      <c r="AN441" s="3" t="s">
        <v>5937</v>
      </c>
      <c r="AO441" s="3" t="s">
        <v>8945</v>
      </c>
      <c r="AP441" s="3" t="s">
        <v>8946</v>
      </c>
      <c r="AQ441" s="3" t="s">
        <v>74</v>
      </c>
      <c r="AR441" s="3" t="s">
        <v>8947</v>
      </c>
      <c r="AS441" s="3" t="s">
        <v>8948</v>
      </c>
      <c r="AT441" s="3" t="s">
        <v>7831</v>
      </c>
      <c r="AU441" s="3">
        <v>2025</v>
      </c>
      <c r="AV441" s="3">
        <v>29</v>
      </c>
      <c r="AW441" s="3">
        <v>3</v>
      </c>
      <c r="AX441" s="3" t="s">
        <v>74</v>
      </c>
      <c r="AY441" s="3" t="s">
        <v>74</v>
      </c>
      <c r="AZ441" s="3" t="s">
        <v>74</v>
      </c>
      <c r="BA441" s="3" t="s">
        <v>74</v>
      </c>
      <c r="BB441" s="3">
        <v>66</v>
      </c>
      <c r="BC441" s="3">
        <v>75</v>
      </c>
      <c r="BD441" s="3" t="s">
        <v>74</v>
      </c>
      <c r="BE441" s="3" t="s">
        <v>8949</v>
      </c>
      <c r="BF441" s="3" t="str">
        <f>HYPERLINK("http://dx.doi.org/10.1109/MIC.2025.3527821","http://dx.doi.org/10.1109/MIC.2025.3527821")</f>
        <v>http://dx.doi.org/10.1109/MIC.2025.3527821</v>
      </c>
      <c r="BG441" s="3" t="s">
        <v>74</v>
      </c>
      <c r="BH441" s="3" t="s">
        <v>74</v>
      </c>
      <c r="BI441" s="3">
        <v>10</v>
      </c>
      <c r="BJ441" s="3" t="s">
        <v>8950</v>
      </c>
      <c r="BK441" s="3" t="s">
        <v>179</v>
      </c>
      <c r="BL441" s="3" t="s">
        <v>486</v>
      </c>
      <c r="BM441" s="3" t="s">
        <v>8951</v>
      </c>
      <c r="BN441" s="3" t="s">
        <v>74</v>
      </c>
      <c r="BO441" s="3" t="s">
        <v>74</v>
      </c>
      <c r="BP441" s="3" t="s">
        <v>74</v>
      </c>
      <c r="BQ441" s="3" t="s">
        <v>74</v>
      </c>
      <c r="BR441" s="3" t="s">
        <v>101</v>
      </c>
      <c r="BS441" s="3" t="s">
        <v>8952</v>
      </c>
      <c r="BT441" s="3" t="str">
        <f>HYPERLINK("https%3A%2F%2Fwww.webofscience.com%2Fwos%2Fwoscc%2Ffull-record%2FWOS:001570182800007","View Full Record in Web of Science")</f>
        <v>View Full Record in Web of Science</v>
      </c>
      <c r="BU441" s="3"/>
      <c r="BV441" s="3"/>
      <c r="BW441" s="1"/>
    </row>
    <row r="442" spans="1:75" x14ac:dyDescent="0.25">
      <c r="A442" s="3" t="s">
        <v>72</v>
      </c>
      <c r="B442" s="3" t="s">
        <v>8953</v>
      </c>
      <c r="C442" s="3" t="s">
        <v>74</v>
      </c>
      <c r="D442" s="3" t="s">
        <v>74</v>
      </c>
      <c r="E442" s="3" t="s">
        <v>74</v>
      </c>
      <c r="F442" s="3" t="s">
        <v>8954</v>
      </c>
      <c r="G442" s="3" t="s">
        <v>74</v>
      </c>
      <c r="H442" s="3" t="s">
        <v>74</v>
      </c>
      <c r="I442" s="3" t="s">
        <v>8955</v>
      </c>
      <c r="J442" s="3" t="s">
        <v>835</v>
      </c>
      <c r="K442" s="3" t="s">
        <v>74</v>
      </c>
      <c r="L442" s="3" t="s">
        <v>74</v>
      </c>
      <c r="M442" s="3" t="s">
        <v>110</v>
      </c>
      <c r="N442" s="3" t="s">
        <v>79</v>
      </c>
      <c r="O442" s="3" t="s">
        <v>74</v>
      </c>
      <c r="P442" s="3" t="s">
        <v>74</v>
      </c>
      <c r="Q442" s="3" t="s">
        <v>74</v>
      </c>
      <c r="R442" s="3" t="s">
        <v>74</v>
      </c>
      <c r="S442" s="3" t="s">
        <v>74</v>
      </c>
      <c r="T442" s="3" t="s">
        <v>8956</v>
      </c>
      <c r="U442" s="3" t="s">
        <v>8957</v>
      </c>
      <c r="V442" s="3" t="s">
        <v>8958</v>
      </c>
      <c r="W442" s="3" t="s">
        <v>8959</v>
      </c>
      <c r="X442" s="3" t="s">
        <v>8960</v>
      </c>
      <c r="Y442" s="3" t="s">
        <v>8961</v>
      </c>
      <c r="Z442" s="3" t="s">
        <v>8962</v>
      </c>
      <c r="AA442" s="3" t="s">
        <v>8963</v>
      </c>
      <c r="AB442" s="3" t="s">
        <v>8964</v>
      </c>
      <c r="AC442" s="3" t="s">
        <v>8965</v>
      </c>
      <c r="AD442" s="3" t="s">
        <v>8966</v>
      </c>
      <c r="AE442" s="3" t="s">
        <v>8967</v>
      </c>
      <c r="AF442" s="3" t="s">
        <v>74</v>
      </c>
      <c r="AG442" s="3">
        <v>45</v>
      </c>
      <c r="AH442" s="3">
        <v>0</v>
      </c>
      <c r="AI442" s="3">
        <v>0</v>
      </c>
      <c r="AJ442" s="3">
        <v>3</v>
      </c>
      <c r="AK442" s="3">
        <v>3</v>
      </c>
      <c r="AL442" s="3" t="s">
        <v>846</v>
      </c>
      <c r="AM442" s="3" t="s">
        <v>847</v>
      </c>
      <c r="AN442" s="3" t="s">
        <v>848</v>
      </c>
      <c r="AO442" s="3" t="s">
        <v>849</v>
      </c>
      <c r="AP442" s="3" t="s">
        <v>74</v>
      </c>
      <c r="AQ442" s="3" t="s">
        <v>74</v>
      </c>
      <c r="AR442" s="3" t="s">
        <v>835</v>
      </c>
      <c r="AS442" s="3" t="s">
        <v>850</v>
      </c>
      <c r="AT442" s="3" t="s">
        <v>74</v>
      </c>
      <c r="AU442" s="3">
        <v>2025</v>
      </c>
      <c r="AV442" s="3">
        <v>13</v>
      </c>
      <c r="AW442" s="3" t="s">
        <v>74</v>
      </c>
      <c r="AX442" s="3" t="s">
        <v>74</v>
      </c>
      <c r="AY442" s="3" t="s">
        <v>74</v>
      </c>
      <c r="AZ442" s="3" t="s">
        <v>74</v>
      </c>
      <c r="BA442" s="3" t="s">
        <v>74</v>
      </c>
      <c r="BB442" s="3">
        <v>133053</v>
      </c>
      <c r="BC442" s="3">
        <v>133077</v>
      </c>
      <c r="BD442" s="3" t="s">
        <v>74</v>
      </c>
      <c r="BE442" s="3" t="s">
        <v>8968</v>
      </c>
      <c r="BF442" s="3" t="str">
        <f>HYPERLINK("http://dx.doi.org/10.1109/ACCESS.2025.3592668","http://dx.doi.org/10.1109/ACCESS.2025.3592668")</f>
        <v>http://dx.doi.org/10.1109/ACCESS.2025.3592668</v>
      </c>
      <c r="BG442" s="3" t="s">
        <v>74</v>
      </c>
      <c r="BH442" s="3" t="s">
        <v>74</v>
      </c>
      <c r="BI442" s="3">
        <v>25</v>
      </c>
      <c r="BJ442" s="3" t="s">
        <v>852</v>
      </c>
      <c r="BK442" s="3" t="s">
        <v>179</v>
      </c>
      <c r="BL442" s="3" t="s">
        <v>853</v>
      </c>
      <c r="BM442" s="3" t="s">
        <v>8969</v>
      </c>
      <c r="BN442" s="3" t="s">
        <v>74</v>
      </c>
      <c r="BO442" s="3" t="s">
        <v>100</v>
      </c>
      <c r="BP442" s="3" t="s">
        <v>74</v>
      </c>
      <c r="BQ442" s="3" t="s">
        <v>74</v>
      </c>
      <c r="BR442" s="3" t="s">
        <v>101</v>
      </c>
      <c r="BS442" s="3" t="s">
        <v>8970</v>
      </c>
      <c r="BT442" s="3" t="str">
        <f>HYPERLINK("https%3A%2F%2Fwww.webofscience.com%2Fwos%2Fwoscc%2Ffull-record%2FWOS:001542472500005","View Full Record in Web of Science")</f>
        <v>View Full Record in Web of Science</v>
      </c>
      <c r="BU442" s="3"/>
      <c r="BV442" s="3"/>
      <c r="BW442" s="1"/>
    </row>
    <row r="443" spans="1:75" x14ac:dyDescent="0.25">
      <c r="A443" s="3" t="s">
        <v>72</v>
      </c>
      <c r="B443" s="3" t="s">
        <v>8971</v>
      </c>
      <c r="C443" s="3" t="s">
        <v>74</v>
      </c>
      <c r="D443" s="3" t="s">
        <v>74</v>
      </c>
      <c r="E443" s="3" t="s">
        <v>74</v>
      </c>
      <c r="F443" s="3" t="s">
        <v>8972</v>
      </c>
      <c r="G443" s="3" t="s">
        <v>74</v>
      </c>
      <c r="H443" s="3" t="s">
        <v>74</v>
      </c>
      <c r="I443" s="3" t="s">
        <v>8973</v>
      </c>
      <c r="J443" s="3" t="s">
        <v>835</v>
      </c>
      <c r="K443" s="3" t="s">
        <v>74</v>
      </c>
      <c r="L443" s="3" t="s">
        <v>74</v>
      </c>
      <c r="M443" s="3" t="s">
        <v>110</v>
      </c>
      <c r="N443" s="3" t="s">
        <v>79</v>
      </c>
      <c r="O443" s="3" t="s">
        <v>74</v>
      </c>
      <c r="P443" s="3" t="s">
        <v>74</v>
      </c>
      <c r="Q443" s="3" t="s">
        <v>74</v>
      </c>
      <c r="R443" s="3" t="s">
        <v>74</v>
      </c>
      <c r="S443" s="3" t="s">
        <v>74</v>
      </c>
      <c r="T443" s="3" t="s">
        <v>8974</v>
      </c>
      <c r="U443" s="3" t="s">
        <v>8975</v>
      </c>
      <c r="V443" s="3" t="s">
        <v>8976</v>
      </c>
      <c r="W443" s="3" t="s">
        <v>8977</v>
      </c>
      <c r="X443" s="3" t="s">
        <v>8978</v>
      </c>
      <c r="Y443" s="3" t="s">
        <v>8979</v>
      </c>
      <c r="Z443" s="3" t="s">
        <v>8980</v>
      </c>
      <c r="AA443" s="3" t="s">
        <v>8981</v>
      </c>
      <c r="AB443" s="3" t="s">
        <v>74</v>
      </c>
      <c r="AC443" s="3" t="s">
        <v>74</v>
      </c>
      <c r="AD443" s="3" t="s">
        <v>74</v>
      </c>
      <c r="AE443" s="3" t="s">
        <v>74</v>
      </c>
      <c r="AF443" s="3" t="s">
        <v>74</v>
      </c>
      <c r="AG443" s="3">
        <v>40</v>
      </c>
      <c r="AH443" s="3">
        <v>0</v>
      </c>
      <c r="AI443" s="3">
        <v>0</v>
      </c>
      <c r="AJ443" s="3">
        <v>1</v>
      </c>
      <c r="AK443" s="3">
        <v>1</v>
      </c>
      <c r="AL443" s="3" t="s">
        <v>846</v>
      </c>
      <c r="AM443" s="3" t="s">
        <v>847</v>
      </c>
      <c r="AN443" s="3" t="s">
        <v>848</v>
      </c>
      <c r="AO443" s="3" t="s">
        <v>849</v>
      </c>
      <c r="AP443" s="3" t="s">
        <v>74</v>
      </c>
      <c r="AQ443" s="3" t="s">
        <v>74</v>
      </c>
      <c r="AR443" s="3" t="s">
        <v>835</v>
      </c>
      <c r="AS443" s="3" t="s">
        <v>850</v>
      </c>
      <c r="AT443" s="3" t="s">
        <v>74</v>
      </c>
      <c r="AU443" s="3">
        <v>2025</v>
      </c>
      <c r="AV443" s="3">
        <v>13</v>
      </c>
      <c r="AW443" s="3" t="s">
        <v>74</v>
      </c>
      <c r="AX443" s="3" t="s">
        <v>74</v>
      </c>
      <c r="AY443" s="3" t="s">
        <v>74</v>
      </c>
      <c r="AZ443" s="3" t="s">
        <v>74</v>
      </c>
      <c r="BA443" s="3" t="s">
        <v>74</v>
      </c>
      <c r="BB443" s="3">
        <v>164338</v>
      </c>
      <c r="BC443" s="3">
        <v>164357</v>
      </c>
      <c r="BD443" s="3" t="s">
        <v>74</v>
      </c>
      <c r="BE443" s="3" t="s">
        <v>8982</v>
      </c>
      <c r="BF443" s="3" t="str">
        <f>HYPERLINK("http://dx.doi.org/10.1109/ACCESS.2025.3610426","http://dx.doi.org/10.1109/ACCESS.2025.3610426")</f>
        <v>http://dx.doi.org/10.1109/ACCESS.2025.3610426</v>
      </c>
      <c r="BG443" s="3" t="s">
        <v>74</v>
      </c>
      <c r="BH443" s="3" t="s">
        <v>74</v>
      </c>
      <c r="BI443" s="3">
        <v>20</v>
      </c>
      <c r="BJ443" s="3" t="s">
        <v>852</v>
      </c>
      <c r="BK443" s="3" t="s">
        <v>179</v>
      </c>
      <c r="BL443" s="3" t="s">
        <v>853</v>
      </c>
      <c r="BM443" s="3" t="s">
        <v>8983</v>
      </c>
      <c r="BN443" s="3" t="s">
        <v>74</v>
      </c>
      <c r="BO443" s="3" t="s">
        <v>100</v>
      </c>
      <c r="BP443" s="3" t="s">
        <v>74</v>
      </c>
      <c r="BQ443" s="3" t="s">
        <v>74</v>
      </c>
      <c r="BR443" s="3" t="s">
        <v>101</v>
      </c>
      <c r="BS443" s="3" t="s">
        <v>8984</v>
      </c>
      <c r="BT443" s="3" t="str">
        <f>HYPERLINK("https%3A%2F%2Fwww.webofscience.com%2Fwos%2Fwoscc%2Ffull-record%2FWOS:001579058900007","View Full Record in Web of Science")</f>
        <v>View Full Record in Web of Science</v>
      </c>
      <c r="BU443" s="3"/>
      <c r="BV443" s="3"/>
      <c r="BW443" s="1"/>
    </row>
    <row r="444" spans="1:75" x14ac:dyDescent="0.25">
      <c r="A444" s="3" t="s">
        <v>72</v>
      </c>
      <c r="B444" s="3" t="s">
        <v>8985</v>
      </c>
      <c r="C444" s="3" t="s">
        <v>74</v>
      </c>
      <c r="D444" s="3" t="s">
        <v>74</v>
      </c>
      <c r="E444" s="3" t="s">
        <v>74</v>
      </c>
      <c r="F444" s="3" t="s">
        <v>8986</v>
      </c>
      <c r="G444" s="3" t="s">
        <v>74</v>
      </c>
      <c r="H444" s="3" t="s">
        <v>74</v>
      </c>
      <c r="I444" s="3" t="s">
        <v>8987</v>
      </c>
      <c r="J444" s="3" t="s">
        <v>8988</v>
      </c>
      <c r="K444" s="3" t="s">
        <v>74</v>
      </c>
      <c r="L444" s="3" t="s">
        <v>74</v>
      </c>
      <c r="M444" s="3" t="s">
        <v>110</v>
      </c>
      <c r="N444" s="3" t="s">
        <v>79</v>
      </c>
      <c r="O444" s="3" t="s">
        <v>74</v>
      </c>
      <c r="P444" s="3" t="s">
        <v>74</v>
      </c>
      <c r="Q444" s="3" t="s">
        <v>74</v>
      </c>
      <c r="R444" s="3" t="s">
        <v>74</v>
      </c>
      <c r="S444" s="3" t="s">
        <v>74</v>
      </c>
      <c r="T444" s="3" t="s">
        <v>8989</v>
      </c>
      <c r="U444" s="3" t="s">
        <v>8990</v>
      </c>
      <c r="V444" s="3" t="s">
        <v>8991</v>
      </c>
      <c r="W444" s="3" t="s">
        <v>8992</v>
      </c>
      <c r="X444" s="3" t="s">
        <v>8993</v>
      </c>
      <c r="Y444" s="3" t="s">
        <v>8994</v>
      </c>
      <c r="Z444" s="3" t="s">
        <v>8995</v>
      </c>
      <c r="AA444" s="3" t="s">
        <v>8996</v>
      </c>
      <c r="AB444" s="3" t="s">
        <v>8997</v>
      </c>
      <c r="AC444" s="3" t="s">
        <v>8998</v>
      </c>
      <c r="AD444" s="3" t="s">
        <v>8999</v>
      </c>
      <c r="AE444" s="3" t="s">
        <v>9000</v>
      </c>
      <c r="AF444" s="3" t="s">
        <v>74</v>
      </c>
      <c r="AG444" s="3">
        <v>71</v>
      </c>
      <c r="AH444" s="3">
        <v>0</v>
      </c>
      <c r="AI444" s="3">
        <v>0</v>
      </c>
      <c r="AJ444" s="3">
        <v>1</v>
      </c>
      <c r="AK444" s="3">
        <v>1</v>
      </c>
      <c r="AL444" s="3" t="s">
        <v>846</v>
      </c>
      <c r="AM444" s="3" t="s">
        <v>847</v>
      </c>
      <c r="AN444" s="3" t="s">
        <v>848</v>
      </c>
      <c r="AO444" s="3" t="s">
        <v>74</v>
      </c>
      <c r="AP444" s="3" t="s">
        <v>9001</v>
      </c>
      <c r="AQ444" s="3" t="s">
        <v>74</v>
      </c>
      <c r="AR444" s="3" t="s">
        <v>9002</v>
      </c>
      <c r="AS444" s="3" t="s">
        <v>9003</v>
      </c>
      <c r="AT444" s="3" t="s">
        <v>74</v>
      </c>
      <c r="AU444" s="3">
        <v>2025</v>
      </c>
      <c r="AV444" s="3">
        <v>6</v>
      </c>
      <c r="AW444" s="3" t="s">
        <v>74</v>
      </c>
      <c r="AX444" s="3" t="s">
        <v>74</v>
      </c>
      <c r="AY444" s="3" t="s">
        <v>74</v>
      </c>
      <c r="AZ444" s="3" t="s">
        <v>74</v>
      </c>
      <c r="BA444" s="3" t="s">
        <v>74</v>
      </c>
      <c r="BB444" s="3">
        <v>6627</v>
      </c>
      <c r="BC444" s="3">
        <v>6649</v>
      </c>
      <c r="BD444" s="3" t="s">
        <v>74</v>
      </c>
      <c r="BE444" s="3" t="s">
        <v>9004</v>
      </c>
      <c r="BF444" s="3" t="str">
        <f>HYPERLINK("http://dx.doi.org/10.1109/OJCOMS.2025.3597019","http://dx.doi.org/10.1109/OJCOMS.2025.3597019")</f>
        <v>http://dx.doi.org/10.1109/OJCOMS.2025.3597019</v>
      </c>
      <c r="BG444" s="3" t="s">
        <v>74</v>
      </c>
      <c r="BH444" s="3" t="s">
        <v>74</v>
      </c>
      <c r="BI444" s="3">
        <v>23</v>
      </c>
      <c r="BJ444" s="3" t="s">
        <v>1225</v>
      </c>
      <c r="BK444" s="3" t="s">
        <v>97</v>
      </c>
      <c r="BL444" s="3" t="s">
        <v>1226</v>
      </c>
      <c r="BM444" s="3" t="s">
        <v>9005</v>
      </c>
      <c r="BN444" s="3" t="s">
        <v>74</v>
      </c>
      <c r="BO444" s="3" t="s">
        <v>100</v>
      </c>
      <c r="BP444" s="3" t="s">
        <v>74</v>
      </c>
      <c r="BQ444" s="3" t="s">
        <v>74</v>
      </c>
      <c r="BR444" s="3" t="s">
        <v>101</v>
      </c>
      <c r="BS444" s="3" t="s">
        <v>9006</v>
      </c>
      <c r="BT444" s="3" t="str">
        <f>HYPERLINK("https%3A%2F%2Fwww.webofscience.com%2Fwos%2Fwoscc%2Ffull-record%2FWOS:001560252300010","View Full Record in Web of Science")</f>
        <v>View Full Record in Web of Science</v>
      </c>
      <c r="BU444" s="3"/>
      <c r="BV444" s="3"/>
      <c r="BW444" s="1"/>
    </row>
    <row r="445" spans="1:75" x14ac:dyDescent="0.25">
      <c r="A445" s="3" t="s">
        <v>103</v>
      </c>
      <c r="B445" s="3" t="s">
        <v>9007</v>
      </c>
      <c r="C445" s="3" t="s">
        <v>74</v>
      </c>
      <c r="D445" s="3" t="s">
        <v>9008</v>
      </c>
      <c r="E445" s="3" t="s">
        <v>74</v>
      </c>
      <c r="F445" s="3" t="s">
        <v>9009</v>
      </c>
      <c r="G445" s="3" t="s">
        <v>74</v>
      </c>
      <c r="H445" s="3" t="s">
        <v>74</v>
      </c>
      <c r="I445" s="3" t="s">
        <v>9010</v>
      </c>
      <c r="J445" s="3" t="s">
        <v>9011</v>
      </c>
      <c r="K445" s="3" t="s">
        <v>468</v>
      </c>
      <c r="L445" s="3" t="s">
        <v>74</v>
      </c>
      <c r="M445" s="3" t="s">
        <v>110</v>
      </c>
      <c r="N445" s="3" t="s">
        <v>111</v>
      </c>
      <c r="O445" s="3" t="s">
        <v>9012</v>
      </c>
      <c r="P445" s="3" t="s">
        <v>9013</v>
      </c>
      <c r="Q445" s="3" t="s">
        <v>915</v>
      </c>
      <c r="R445" s="3" t="s">
        <v>74</v>
      </c>
      <c r="S445" s="3" t="s">
        <v>74</v>
      </c>
      <c r="T445" s="3" t="s">
        <v>9014</v>
      </c>
      <c r="U445" s="3" t="s">
        <v>9015</v>
      </c>
      <c r="V445" s="3" t="s">
        <v>9016</v>
      </c>
      <c r="W445" s="3" t="s">
        <v>9017</v>
      </c>
      <c r="X445" s="3" t="s">
        <v>9018</v>
      </c>
      <c r="Y445" s="3" t="s">
        <v>9019</v>
      </c>
      <c r="Z445" s="3" t="s">
        <v>9020</v>
      </c>
      <c r="AA445" s="3" t="s">
        <v>74</v>
      </c>
      <c r="AB445" s="3" t="s">
        <v>74</v>
      </c>
      <c r="AC445" s="3" t="s">
        <v>74</v>
      </c>
      <c r="AD445" s="3" t="s">
        <v>74</v>
      </c>
      <c r="AE445" s="3" t="s">
        <v>74</v>
      </c>
      <c r="AF445" s="3" t="s">
        <v>74</v>
      </c>
      <c r="AG445" s="3">
        <v>108</v>
      </c>
      <c r="AH445" s="3">
        <v>0</v>
      </c>
      <c r="AI445" s="3">
        <v>0</v>
      </c>
      <c r="AJ445" s="3">
        <v>1</v>
      </c>
      <c r="AK445" s="3">
        <v>3</v>
      </c>
      <c r="AL445" s="3" t="s">
        <v>374</v>
      </c>
      <c r="AM445" s="3" t="s">
        <v>375</v>
      </c>
      <c r="AN445" s="3" t="s">
        <v>376</v>
      </c>
      <c r="AO445" s="3" t="s">
        <v>480</v>
      </c>
      <c r="AP445" s="3" t="s">
        <v>481</v>
      </c>
      <c r="AQ445" s="3" t="s">
        <v>9021</v>
      </c>
      <c r="AR445" s="3" t="s">
        <v>483</v>
      </c>
      <c r="AS445" s="3" t="s">
        <v>74</v>
      </c>
      <c r="AT445" s="3" t="s">
        <v>74</v>
      </c>
      <c r="AU445" s="3">
        <v>2025</v>
      </c>
      <c r="AV445" s="3">
        <v>2328</v>
      </c>
      <c r="AW445" s="3" t="s">
        <v>74</v>
      </c>
      <c r="AX445" s="3" t="s">
        <v>74</v>
      </c>
      <c r="AY445" s="3" t="s">
        <v>74</v>
      </c>
      <c r="AZ445" s="3" t="s">
        <v>74</v>
      </c>
      <c r="BA445" s="3" t="s">
        <v>74</v>
      </c>
      <c r="BB445" s="3">
        <v>35</v>
      </c>
      <c r="BC445" s="3">
        <v>59</v>
      </c>
      <c r="BD445" s="3" t="s">
        <v>74</v>
      </c>
      <c r="BE445" s="3" t="s">
        <v>9022</v>
      </c>
      <c r="BF445" s="3" t="str">
        <f>HYPERLINK("http://dx.doi.org/10.1007/978-3-031-78572-6_3","http://dx.doi.org/10.1007/978-3-031-78572-6_3")</f>
        <v>http://dx.doi.org/10.1007/978-3-031-78572-6_3</v>
      </c>
      <c r="BG445" s="3" t="s">
        <v>74</v>
      </c>
      <c r="BH445" s="3" t="s">
        <v>74</v>
      </c>
      <c r="BI445" s="3">
        <v>25</v>
      </c>
      <c r="BJ445" s="3" t="s">
        <v>7166</v>
      </c>
      <c r="BK445" s="3" t="s">
        <v>208</v>
      </c>
      <c r="BL445" s="3" t="s">
        <v>383</v>
      </c>
      <c r="BM445" s="3" t="s">
        <v>9023</v>
      </c>
      <c r="BN445" s="3" t="s">
        <v>74</v>
      </c>
      <c r="BO445" s="3" t="s">
        <v>7069</v>
      </c>
      <c r="BP445" s="3" t="s">
        <v>74</v>
      </c>
      <c r="BQ445" s="3" t="s">
        <v>74</v>
      </c>
      <c r="BR445" s="3" t="s">
        <v>101</v>
      </c>
      <c r="BS445" s="3" t="s">
        <v>9024</v>
      </c>
      <c r="BT445" s="3" t="str">
        <f>HYPERLINK("https%3A%2F%2Fwww.webofscience.com%2Fwos%2Fwoscc%2Ffull-record%2FWOS:001457327200003","View Full Record in Web of Science")</f>
        <v>View Full Record in Web of Science</v>
      </c>
      <c r="BU445" s="3"/>
      <c r="BV445" s="3"/>
      <c r="BW445" s="1"/>
    </row>
    <row r="446" spans="1:75" x14ac:dyDescent="0.25">
      <c r="A446" s="3" t="s">
        <v>72</v>
      </c>
      <c r="B446" s="3" t="s">
        <v>9025</v>
      </c>
      <c r="C446" s="3" t="s">
        <v>74</v>
      </c>
      <c r="D446" s="3" t="s">
        <v>74</v>
      </c>
      <c r="E446" s="3" t="s">
        <v>74</v>
      </c>
      <c r="F446" s="3" t="s">
        <v>9026</v>
      </c>
      <c r="G446" s="3" t="s">
        <v>74</v>
      </c>
      <c r="H446" s="3" t="s">
        <v>74</v>
      </c>
      <c r="I446" s="3" t="s">
        <v>9027</v>
      </c>
      <c r="J446" s="3" t="s">
        <v>138</v>
      </c>
      <c r="K446" s="3" t="s">
        <v>74</v>
      </c>
      <c r="L446" s="3" t="s">
        <v>74</v>
      </c>
      <c r="M446" s="3" t="s">
        <v>110</v>
      </c>
      <c r="N446" s="3" t="s">
        <v>216</v>
      </c>
      <c r="O446" s="3" t="s">
        <v>74</v>
      </c>
      <c r="P446" s="3" t="s">
        <v>74</v>
      </c>
      <c r="Q446" s="3" t="s">
        <v>74</v>
      </c>
      <c r="R446" s="3" t="s">
        <v>74</v>
      </c>
      <c r="S446" s="3" t="s">
        <v>74</v>
      </c>
      <c r="T446" s="3" t="s">
        <v>9028</v>
      </c>
      <c r="U446" s="3" t="s">
        <v>9029</v>
      </c>
      <c r="V446" s="3" t="s">
        <v>9030</v>
      </c>
      <c r="W446" s="3" t="s">
        <v>9031</v>
      </c>
      <c r="X446" s="3" t="s">
        <v>9032</v>
      </c>
      <c r="Y446" s="3" t="s">
        <v>9033</v>
      </c>
      <c r="Z446" s="3" t="s">
        <v>9034</v>
      </c>
      <c r="AA446" s="3" t="s">
        <v>9035</v>
      </c>
      <c r="AB446" s="3" t="s">
        <v>9036</v>
      </c>
      <c r="AC446" s="3" t="s">
        <v>9037</v>
      </c>
      <c r="AD446" s="3" t="s">
        <v>9038</v>
      </c>
      <c r="AE446" s="3" t="s">
        <v>9039</v>
      </c>
      <c r="AF446" s="3" t="s">
        <v>74</v>
      </c>
      <c r="AG446" s="3">
        <v>114</v>
      </c>
      <c r="AH446" s="3">
        <v>52</v>
      </c>
      <c r="AI446" s="3">
        <v>53</v>
      </c>
      <c r="AJ446" s="3">
        <v>28</v>
      </c>
      <c r="AK446" s="3">
        <v>204</v>
      </c>
      <c r="AL446" s="3" t="s">
        <v>145</v>
      </c>
      <c r="AM446" s="3" t="s">
        <v>146</v>
      </c>
      <c r="AN446" s="3" t="s">
        <v>147</v>
      </c>
      <c r="AO446" s="3" t="s">
        <v>74</v>
      </c>
      <c r="AP446" s="3" t="s">
        <v>148</v>
      </c>
      <c r="AQ446" s="3" t="s">
        <v>74</v>
      </c>
      <c r="AR446" s="3" t="s">
        <v>149</v>
      </c>
      <c r="AS446" s="3" t="s">
        <v>150</v>
      </c>
      <c r="AT446" s="3" t="s">
        <v>807</v>
      </c>
      <c r="AU446" s="3">
        <v>2023</v>
      </c>
      <c r="AV446" s="3">
        <v>15</v>
      </c>
      <c r="AW446" s="3">
        <v>3</v>
      </c>
      <c r="AX446" s="3" t="s">
        <v>74</v>
      </c>
      <c r="AY446" s="3" t="s">
        <v>74</v>
      </c>
      <c r="AZ446" s="3" t="s">
        <v>74</v>
      </c>
      <c r="BA446" s="3" t="s">
        <v>74</v>
      </c>
      <c r="BB446" s="3" t="s">
        <v>74</v>
      </c>
      <c r="BC446" s="3" t="s">
        <v>74</v>
      </c>
      <c r="BD446" s="3">
        <v>2285</v>
      </c>
      <c r="BE446" s="3" t="s">
        <v>9040</v>
      </c>
      <c r="BF446" s="3" t="str">
        <f>HYPERLINK("http://dx.doi.org/10.3390/su15032285","http://dx.doi.org/10.3390/su15032285")</f>
        <v>http://dx.doi.org/10.3390/su15032285</v>
      </c>
      <c r="BG446" s="3" t="s">
        <v>74</v>
      </c>
      <c r="BH446" s="3" t="s">
        <v>74</v>
      </c>
      <c r="BI446" s="3">
        <v>27</v>
      </c>
      <c r="BJ446" s="3" t="s">
        <v>153</v>
      </c>
      <c r="BK446" s="3" t="s">
        <v>154</v>
      </c>
      <c r="BL446" s="3" t="s">
        <v>155</v>
      </c>
      <c r="BM446" s="3" t="s">
        <v>9041</v>
      </c>
      <c r="BN446" s="3" t="s">
        <v>74</v>
      </c>
      <c r="BO446" s="3" t="s">
        <v>133</v>
      </c>
      <c r="BP446" s="3" t="s">
        <v>74</v>
      </c>
      <c r="BQ446" s="3" t="s">
        <v>74</v>
      </c>
      <c r="BR446" s="3" t="s">
        <v>101</v>
      </c>
      <c r="BS446" s="3" t="s">
        <v>9042</v>
      </c>
      <c r="BT446" s="3" t="str">
        <f>HYPERLINK("https%3A%2F%2Fwww.webofscience.com%2Fwos%2Fwoscc%2Ffull-record%2FWOS:000929679700001","View Full Record in Web of Science")</f>
        <v>View Full Record in Web of Science</v>
      </c>
      <c r="BU446" s="3"/>
      <c r="BV446" s="3"/>
      <c r="BW446" s="1"/>
    </row>
    <row r="447" spans="1:75" x14ac:dyDescent="0.25">
      <c r="A447" s="3" t="s">
        <v>72</v>
      </c>
      <c r="B447" s="3" t="s">
        <v>9043</v>
      </c>
      <c r="C447" s="3" t="s">
        <v>74</v>
      </c>
      <c r="D447" s="3" t="s">
        <v>74</v>
      </c>
      <c r="E447" s="3" t="s">
        <v>74</v>
      </c>
      <c r="F447" s="3" t="s">
        <v>9044</v>
      </c>
      <c r="G447" s="3" t="s">
        <v>74</v>
      </c>
      <c r="H447" s="3" t="s">
        <v>74</v>
      </c>
      <c r="I447" s="3" t="s">
        <v>9045</v>
      </c>
      <c r="J447" s="3" t="s">
        <v>9046</v>
      </c>
      <c r="K447" s="3" t="s">
        <v>74</v>
      </c>
      <c r="L447" s="3" t="s">
        <v>74</v>
      </c>
      <c r="M447" s="3" t="s">
        <v>110</v>
      </c>
      <c r="N447" s="3" t="s">
        <v>79</v>
      </c>
      <c r="O447" s="3" t="s">
        <v>74</v>
      </c>
      <c r="P447" s="3" t="s">
        <v>74</v>
      </c>
      <c r="Q447" s="3" t="s">
        <v>74</v>
      </c>
      <c r="R447" s="3" t="s">
        <v>74</v>
      </c>
      <c r="S447" s="3" t="s">
        <v>74</v>
      </c>
      <c r="T447" s="3" t="s">
        <v>9047</v>
      </c>
      <c r="U447" s="3" t="s">
        <v>9048</v>
      </c>
      <c r="V447" s="3" t="s">
        <v>9049</v>
      </c>
      <c r="W447" s="3" t="s">
        <v>9050</v>
      </c>
      <c r="X447" s="3" t="s">
        <v>9051</v>
      </c>
      <c r="Y447" s="3" t="s">
        <v>9052</v>
      </c>
      <c r="Z447" s="3" t="s">
        <v>9053</v>
      </c>
      <c r="AA447" s="3" t="s">
        <v>9054</v>
      </c>
      <c r="AB447" s="3" t="s">
        <v>9055</v>
      </c>
      <c r="AC447" s="3" t="s">
        <v>74</v>
      </c>
      <c r="AD447" s="3" t="s">
        <v>74</v>
      </c>
      <c r="AE447" s="3" t="s">
        <v>74</v>
      </c>
      <c r="AF447" s="3" t="s">
        <v>74</v>
      </c>
      <c r="AG447" s="3">
        <v>45</v>
      </c>
      <c r="AH447" s="3">
        <v>0</v>
      </c>
      <c r="AI447" s="3">
        <v>0</v>
      </c>
      <c r="AJ447" s="3">
        <v>1</v>
      </c>
      <c r="AK447" s="3">
        <v>3</v>
      </c>
      <c r="AL447" s="3" t="s">
        <v>1120</v>
      </c>
      <c r="AM447" s="3" t="s">
        <v>1121</v>
      </c>
      <c r="AN447" s="3" t="s">
        <v>1122</v>
      </c>
      <c r="AO447" s="3" t="s">
        <v>9056</v>
      </c>
      <c r="AP447" s="3" t="s">
        <v>9057</v>
      </c>
      <c r="AQ447" s="3" t="s">
        <v>74</v>
      </c>
      <c r="AR447" s="3" t="s">
        <v>9058</v>
      </c>
      <c r="AS447" s="3" t="s">
        <v>9059</v>
      </c>
      <c r="AT447" s="3" t="s">
        <v>9060</v>
      </c>
      <c r="AU447" s="3">
        <v>2024</v>
      </c>
      <c r="AV447" s="3">
        <v>197</v>
      </c>
      <c r="AW447" s="3">
        <v>1</v>
      </c>
      <c r="AX447" s="3" t="s">
        <v>74</v>
      </c>
      <c r="AY447" s="3" t="s">
        <v>74</v>
      </c>
      <c r="AZ447" s="3" t="s">
        <v>74</v>
      </c>
      <c r="BA447" s="3" t="s">
        <v>74</v>
      </c>
      <c r="BB447" s="3" t="s">
        <v>74</v>
      </c>
      <c r="BC447" s="3" t="s">
        <v>74</v>
      </c>
      <c r="BD447" s="3">
        <v>34</v>
      </c>
      <c r="BE447" s="3" t="s">
        <v>9061</v>
      </c>
      <c r="BF447" s="3" t="str">
        <f>HYPERLINK("http://dx.doi.org/10.1007/s10661-024-13498-x","http://dx.doi.org/10.1007/s10661-024-13498-x")</f>
        <v>http://dx.doi.org/10.1007/s10661-024-13498-x</v>
      </c>
      <c r="BG447" s="3" t="s">
        <v>74</v>
      </c>
      <c r="BH447" s="3" t="s">
        <v>74</v>
      </c>
      <c r="BI447" s="3">
        <v>25</v>
      </c>
      <c r="BJ447" s="3" t="s">
        <v>704</v>
      </c>
      <c r="BK447" s="3" t="s">
        <v>179</v>
      </c>
      <c r="BL447" s="3" t="s">
        <v>705</v>
      </c>
      <c r="BM447" s="3" t="s">
        <v>9062</v>
      </c>
      <c r="BN447" s="3">
        <v>39641838</v>
      </c>
      <c r="BO447" s="3" t="s">
        <v>74</v>
      </c>
      <c r="BP447" s="3" t="s">
        <v>74</v>
      </c>
      <c r="BQ447" s="3" t="s">
        <v>74</v>
      </c>
      <c r="BR447" s="3" t="s">
        <v>101</v>
      </c>
      <c r="BS447" s="3" t="s">
        <v>9063</v>
      </c>
      <c r="BT447" s="3" t="str">
        <f>HYPERLINK("https%3A%2F%2Fwww.webofscience.com%2Fwos%2Fwoscc%2Ffull-record%2FWOS:001372672300003","View Full Record in Web of Science")</f>
        <v>View Full Record in Web of Science</v>
      </c>
      <c r="BU447" s="3"/>
      <c r="BV447" s="3"/>
      <c r="BW447" s="1"/>
    </row>
    <row r="448" spans="1:75" x14ac:dyDescent="0.25">
      <c r="A448" s="3" t="s">
        <v>72</v>
      </c>
      <c r="B448" s="3" t="s">
        <v>9064</v>
      </c>
      <c r="C448" s="3" t="s">
        <v>74</v>
      </c>
      <c r="D448" s="3" t="s">
        <v>74</v>
      </c>
      <c r="E448" s="3" t="s">
        <v>74</v>
      </c>
      <c r="F448" s="3" t="s">
        <v>9065</v>
      </c>
      <c r="G448" s="3" t="s">
        <v>74</v>
      </c>
      <c r="H448" s="3" t="s">
        <v>74</v>
      </c>
      <c r="I448" s="3" t="s">
        <v>9066</v>
      </c>
      <c r="J448" s="3" t="s">
        <v>9067</v>
      </c>
      <c r="K448" s="3" t="s">
        <v>74</v>
      </c>
      <c r="L448" s="3" t="s">
        <v>74</v>
      </c>
      <c r="M448" s="3" t="s">
        <v>9068</v>
      </c>
      <c r="N448" s="3" t="s">
        <v>79</v>
      </c>
      <c r="O448" s="3" t="s">
        <v>74</v>
      </c>
      <c r="P448" s="3" t="s">
        <v>74</v>
      </c>
      <c r="Q448" s="3" t="s">
        <v>74</v>
      </c>
      <c r="R448" s="3" t="s">
        <v>74</v>
      </c>
      <c r="S448" s="3" t="s">
        <v>74</v>
      </c>
      <c r="T448" s="3" t="s">
        <v>9069</v>
      </c>
      <c r="U448" s="3" t="s">
        <v>74</v>
      </c>
      <c r="V448" s="3" t="s">
        <v>9070</v>
      </c>
      <c r="W448" s="3" t="s">
        <v>9071</v>
      </c>
      <c r="X448" s="3" t="s">
        <v>9072</v>
      </c>
      <c r="Y448" s="3" t="s">
        <v>9073</v>
      </c>
      <c r="Z448" s="3" t="s">
        <v>9074</v>
      </c>
      <c r="AA448" s="3" t="s">
        <v>74</v>
      </c>
      <c r="AB448" s="3" t="s">
        <v>74</v>
      </c>
      <c r="AC448" s="3" t="s">
        <v>74</v>
      </c>
      <c r="AD448" s="3" t="s">
        <v>74</v>
      </c>
      <c r="AE448" s="3" t="s">
        <v>9075</v>
      </c>
      <c r="AF448" s="3" t="s">
        <v>74</v>
      </c>
      <c r="AG448" s="3">
        <v>66</v>
      </c>
      <c r="AH448" s="3">
        <v>0</v>
      </c>
      <c r="AI448" s="3">
        <v>0</v>
      </c>
      <c r="AJ448" s="3">
        <v>2</v>
      </c>
      <c r="AK448" s="3">
        <v>15</v>
      </c>
      <c r="AL448" s="3" t="s">
        <v>9076</v>
      </c>
      <c r="AM448" s="3" t="s">
        <v>9077</v>
      </c>
      <c r="AN448" s="3" t="s">
        <v>9078</v>
      </c>
      <c r="AO448" s="3" t="s">
        <v>9079</v>
      </c>
      <c r="AP448" s="3" t="s">
        <v>74</v>
      </c>
      <c r="AQ448" s="3" t="s">
        <v>74</v>
      </c>
      <c r="AR448" s="3" t="s">
        <v>9080</v>
      </c>
      <c r="AS448" s="3" t="s">
        <v>9081</v>
      </c>
      <c r="AT448" s="3" t="s">
        <v>176</v>
      </c>
      <c r="AU448" s="3">
        <v>2024</v>
      </c>
      <c r="AV448" s="3">
        <v>64</v>
      </c>
      <c r="AW448" s="3">
        <v>2</v>
      </c>
      <c r="AX448" s="3" t="s">
        <v>74</v>
      </c>
      <c r="AY448" s="3" t="s">
        <v>74</v>
      </c>
      <c r="AZ448" s="3" t="s">
        <v>74</v>
      </c>
      <c r="BA448" s="3" t="s">
        <v>74</v>
      </c>
      <c r="BB448" s="3">
        <v>147</v>
      </c>
      <c r="BC448" s="3">
        <v>164</v>
      </c>
      <c r="BD448" s="3" t="s">
        <v>74</v>
      </c>
      <c r="BE448" s="3" t="s">
        <v>9082</v>
      </c>
      <c r="BF448" s="3" t="str">
        <f>HYPERLINK("http://dx.doi.org/10.17159/2224-7912/2024/v64n2a1","http://dx.doi.org/10.17159/2224-7912/2024/v64n2a1")</f>
        <v>http://dx.doi.org/10.17159/2224-7912/2024/v64n2a1</v>
      </c>
      <c r="BG448" s="3" t="s">
        <v>74</v>
      </c>
      <c r="BH448" s="3" t="s">
        <v>74</v>
      </c>
      <c r="BI448" s="3">
        <v>18</v>
      </c>
      <c r="BJ448" s="3" t="s">
        <v>9083</v>
      </c>
      <c r="BK448" s="3" t="s">
        <v>264</v>
      </c>
      <c r="BL448" s="3" t="s">
        <v>9083</v>
      </c>
      <c r="BM448" s="3" t="s">
        <v>9084</v>
      </c>
      <c r="BN448" s="3" t="s">
        <v>74</v>
      </c>
      <c r="BO448" s="3" t="s">
        <v>100</v>
      </c>
      <c r="BP448" s="3" t="s">
        <v>74</v>
      </c>
      <c r="BQ448" s="3" t="s">
        <v>74</v>
      </c>
      <c r="BR448" s="3" t="s">
        <v>101</v>
      </c>
      <c r="BS448" s="3" t="s">
        <v>9085</v>
      </c>
      <c r="BT448" s="3" t="str">
        <f>HYPERLINK("https%3A%2F%2Fwww.webofscience.com%2Fwos%2Fwoscc%2Ffull-record%2FWOS:001266398500001","View Full Record in Web of Science")</f>
        <v>View Full Record in Web of Science</v>
      </c>
      <c r="BU448" s="3"/>
      <c r="BV448" s="3"/>
      <c r="BW448" s="1"/>
    </row>
    <row r="449" spans="1:75" x14ac:dyDescent="0.25">
      <c r="A449" s="3" t="s">
        <v>72</v>
      </c>
      <c r="B449" s="3" t="s">
        <v>9086</v>
      </c>
      <c r="C449" s="3" t="s">
        <v>74</v>
      </c>
      <c r="D449" s="3" t="s">
        <v>74</v>
      </c>
      <c r="E449" s="3" t="s">
        <v>74</v>
      </c>
      <c r="F449" s="3" t="s">
        <v>9087</v>
      </c>
      <c r="G449" s="3" t="s">
        <v>74</v>
      </c>
      <c r="H449" s="3" t="s">
        <v>74</v>
      </c>
      <c r="I449" s="3" t="s">
        <v>9088</v>
      </c>
      <c r="J449" s="3" t="s">
        <v>9089</v>
      </c>
      <c r="K449" s="3" t="s">
        <v>74</v>
      </c>
      <c r="L449" s="3" t="s">
        <v>74</v>
      </c>
      <c r="M449" s="3" t="s">
        <v>110</v>
      </c>
      <c r="N449" s="3" t="s">
        <v>216</v>
      </c>
      <c r="O449" s="3" t="s">
        <v>74</v>
      </c>
      <c r="P449" s="3" t="s">
        <v>74</v>
      </c>
      <c r="Q449" s="3" t="s">
        <v>74</v>
      </c>
      <c r="R449" s="3" t="s">
        <v>74</v>
      </c>
      <c r="S449" s="3" t="s">
        <v>74</v>
      </c>
      <c r="T449" s="3" t="s">
        <v>9090</v>
      </c>
      <c r="U449" s="3" t="s">
        <v>9091</v>
      </c>
      <c r="V449" s="3" t="s">
        <v>9092</v>
      </c>
      <c r="W449" s="3" t="s">
        <v>9093</v>
      </c>
      <c r="X449" s="3" t="s">
        <v>9094</v>
      </c>
      <c r="Y449" s="3" t="s">
        <v>9095</v>
      </c>
      <c r="Z449" s="3" t="s">
        <v>9096</v>
      </c>
      <c r="AA449" s="3" t="s">
        <v>9097</v>
      </c>
      <c r="AB449" s="3" t="s">
        <v>9098</v>
      </c>
      <c r="AC449" s="3" t="s">
        <v>9099</v>
      </c>
      <c r="AD449" s="3" t="s">
        <v>9099</v>
      </c>
      <c r="AE449" s="3" t="s">
        <v>9100</v>
      </c>
      <c r="AF449" s="3" t="s">
        <v>74</v>
      </c>
      <c r="AG449" s="3">
        <v>169</v>
      </c>
      <c r="AH449" s="3">
        <v>28</v>
      </c>
      <c r="AI449" s="3">
        <v>30</v>
      </c>
      <c r="AJ449" s="3">
        <v>5</v>
      </c>
      <c r="AK449" s="3">
        <v>53</v>
      </c>
      <c r="AL449" s="3" t="s">
        <v>846</v>
      </c>
      <c r="AM449" s="3" t="s">
        <v>847</v>
      </c>
      <c r="AN449" s="3" t="s">
        <v>848</v>
      </c>
      <c r="AO449" s="3" t="s">
        <v>9101</v>
      </c>
      <c r="AP449" s="3" t="s">
        <v>9102</v>
      </c>
      <c r="AQ449" s="3" t="s">
        <v>74</v>
      </c>
      <c r="AR449" s="3" t="s">
        <v>9103</v>
      </c>
      <c r="AS449" s="3" t="s">
        <v>9104</v>
      </c>
      <c r="AT449" s="3" t="s">
        <v>5840</v>
      </c>
      <c r="AU449" s="3">
        <v>2023</v>
      </c>
      <c r="AV449" s="3">
        <v>23</v>
      </c>
      <c r="AW449" s="3">
        <v>1</v>
      </c>
      <c r="AX449" s="3" t="s">
        <v>74</v>
      </c>
      <c r="AY449" s="3" t="s">
        <v>74</v>
      </c>
      <c r="AZ449" s="3" t="s">
        <v>74</v>
      </c>
      <c r="BA449" s="3" t="s">
        <v>74</v>
      </c>
      <c r="BB449" s="3">
        <v>68</v>
      </c>
      <c r="BC449" s="3">
        <v>87</v>
      </c>
      <c r="BD449" s="3" t="s">
        <v>74</v>
      </c>
      <c r="BE449" s="3" t="s">
        <v>9105</v>
      </c>
      <c r="BF449" s="3" t="str">
        <f>HYPERLINK("http://dx.doi.org/10.1109/JSEN.2022.3223297","http://dx.doi.org/10.1109/JSEN.2022.3223297")</f>
        <v>http://dx.doi.org/10.1109/JSEN.2022.3223297</v>
      </c>
      <c r="BG449" s="3" t="s">
        <v>74</v>
      </c>
      <c r="BH449" s="3" t="s">
        <v>74</v>
      </c>
      <c r="BI449" s="3">
        <v>20</v>
      </c>
      <c r="BJ449" s="3" t="s">
        <v>9106</v>
      </c>
      <c r="BK449" s="3" t="s">
        <v>179</v>
      </c>
      <c r="BL449" s="3" t="s">
        <v>9107</v>
      </c>
      <c r="BM449" s="3" t="s">
        <v>9108</v>
      </c>
      <c r="BN449" s="3" t="s">
        <v>74</v>
      </c>
      <c r="BO449" s="3" t="s">
        <v>884</v>
      </c>
      <c r="BP449" s="3" t="s">
        <v>74</v>
      </c>
      <c r="BQ449" s="3" t="s">
        <v>74</v>
      </c>
      <c r="BR449" s="3" t="s">
        <v>101</v>
      </c>
      <c r="BS449" s="3" t="s">
        <v>9109</v>
      </c>
      <c r="BT449" s="3" t="str">
        <f>HYPERLINK("https%3A%2F%2Fwww.webofscience.com%2Fwos%2Fwoscc%2Ffull-record%2FWOS:000971198700005","View Full Record in Web of Science")</f>
        <v>View Full Record in Web of Science</v>
      </c>
      <c r="BU449" s="3"/>
      <c r="BV449" s="3"/>
      <c r="BW449" s="1"/>
    </row>
    <row r="450" spans="1:75" x14ac:dyDescent="0.25">
      <c r="A450" s="3" t="s">
        <v>72</v>
      </c>
      <c r="B450" s="3" t="s">
        <v>9110</v>
      </c>
      <c r="C450" s="3" t="s">
        <v>74</v>
      </c>
      <c r="D450" s="3" t="s">
        <v>74</v>
      </c>
      <c r="E450" s="3" t="s">
        <v>74</v>
      </c>
      <c r="F450" s="3" t="s">
        <v>9111</v>
      </c>
      <c r="G450" s="3" t="s">
        <v>74</v>
      </c>
      <c r="H450" s="3" t="s">
        <v>74</v>
      </c>
      <c r="I450" s="3" t="s">
        <v>9112</v>
      </c>
      <c r="J450" s="3" t="s">
        <v>1088</v>
      </c>
      <c r="K450" s="3" t="s">
        <v>74</v>
      </c>
      <c r="L450" s="3" t="s">
        <v>74</v>
      </c>
      <c r="M450" s="3" t="s">
        <v>110</v>
      </c>
      <c r="N450" s="3" t="s">
        <v>79</v>
      </c>
      <c r="O450" s="3" t="s">
        <v>74</v>
      </c>
      <c r="P450" s="3" t="s">
        <v>74</v>
      </c>
      <c r="Q450" s="3" t="s">
        <v>74</v>
      </c>
      <c r="R450" s="3" t="s">
        <v>74</v>
      </c>
      <c r="S450" s="3" t="s">
        <v>74</v>
      </c>
      <c r="T450" s="3" t="s">
        <v>9113</v>
      </c>
      <c r="U450" s="3" t="s">
        <v>9114</v>
      </c>
      <c r="V450" s="3" t="s">
        <v>9115</v>
      </c>
      <c r="W450" s="3" t="s">
        <v>9116</v>
      </c>
      <c r="X450" s="3" t="s">
        <v>9117</v>
      </c>
      <c r="Y450" s="3" t="s">
        <v>9118</v>
      </c>
      <c r="Z450" s="3" t="s">
        <v>9119</v>
      </c>
      <c r="AA450" s="3" t="s">
        <v>9120</v>
      </c>
      <c r="AB450" s="3" t="s">
        <v>9121</v>
      </c>
      <c r="AC450" s="3" t="s">
        <v>74</v>
      </c>
      <c r="AD450" s="3" t="s">
        <v>74</v>
      </c>
      <c r="AE450" s="3" t="s">
        <v>74</v>
      </c>
      <c r="AF450" s="3" t="s">
        <v>74</v>
      </c>
      <c r="AG450" s="3">
        <v>32</v>
      </c>
      <c r="AH450" s="3">
        <v>21</v>
      </c>
      <c r="AI450" s="3">
        <v>23</v>
      </c>
      <c r="AJ450" s="3">
        <v>7</v>
      </c>
      <c r="AK450" s="3">
        <v>62</v>
      </c>
      <c r="AL450" s="3" t="s">
        <v>846</v>
      </c>
      <c r="AM450" s="3" t="s">
        <v>847</v>
      </c>
      <c r="AN450" s="3" t="s">
        <v>848</v>
      </c>
      <c r="AO450" s="3" t="s">
        <v>1098</v>
      </c>
      <c r="AP450" s="3" t="s">
        <v>1099</v>
      </c>
      <c r="AQ450" s="3" t="s">
        <v>74</v>
      </c>
      <c r="AR450" s="3" t="s">
        <v>1100</v>
      </c>
      <c r="AS450" s="3" t="s">
        <v>1101</v>
      </c>
      <c r="AT450" s="3" t="s">
        <v>608</v>
      </c>
      <c r="AU450" s="3">
        <v>2023</v>
      </c>
      <c r="AV450" s="3">
        <v>24</v>
      </c>
      <c r="AW450" s="3">
        <v>4</v>
      </c>
      <c r="AX450" s="3" t="s">
        <v>74</v>
      </c>
      <c r="AY450" s="3" t="s">
        <v>74</v>
      </c>
      <c r="AZ450" s="3" t="s">
        <v>74</v>
      </c>
      <c r="BA450" s="3" t="s">
        <v>74</v>
      </c>
      <c r="BB450" s="3">
        <v>4217</v>
      </c>
      <c r="BC450" s="3">
        <v>4234</v>
      </c>
      <c r="BD450" s="3" t="s">
        <v>74</v>
      </c>
      <c r="BE450" s="3" t="s">
        <v>9122</v>
      </c>
      <c r="BF450" s="3" t="str">
        <f>HYPERLINK("http://dx.doi.org/10.1109/TITS.2022.3230851","http://dx.doi.org/10.1109/TITS.2022.3230851")</f>
        <v>http://dx.doi.org/10.1109/TITS.2022.3230851</v>
      </c>
      <c r="BG450" s="3" t="s">
        <v>74</v>
      </c>
      <c r="BH450" s="3" t="s">
        <v>1103</v>
      </c>
      <c r="BI450" s="3">
        <v>18</v>
      </c>
      <c r="BJ450" s="3" t="s">
        <v>1104</v>
      </c>
      <c r="BK450" s="3" t="s">
        <v>179</v>
      </c>
      <c r="BL450" s="3" t="s">
        <v>411</v>
      </c>
      <c r="BM450" s="3" t="s">
        <v>1105</v>
      </c>
      <c r="BN450" s="3" t="s">
        <v>74</v>
      </c>
      <c r="BO450" s="3" t="s">
        <v>74</v>
      </c>
      <c r="BP450" s="3" t="s">
        <v>74</v>
      </c>
      <c r="BQ450" s="3" t="s">
        <v>74</v>
      </c>
      <c r="BR450" s="3" t="s">
        <v>101</v>
      </c>
      <c r="BS450" s="3" t="s">
        <v>9123</v>
      </c>
      <c r="BT450" s="3" t="str">
        <f>HYPERLINK("https%3A%2F%2Fwww.webofscience.com%2Fwos%2Fwoscc%2Ffull-record%2FWOS:000910547300001","View Full Record in Web of Science")</f>
        <v>View Full Record in Web of Science</v>
      </c>
      <c r="BU450" s="3"/>
      <c r="BV450" s="3"/>
      <c r="BW450" s="1"/>
    </row>
    <row r="451" spans="1:75" x14ac:dyDescent="0.25">
      <c r="A451" s="3" t="s">
        <v>72</v>
      </c>
      <c r="B451" s="3" t="s">
        <v>9124</v>
      </c>
      <c r="C451" s="3" t="s">
        <v>74</v>
      </c>
      <c r="D451" s="3" t="s">
        <v>74</v>
      </c>
      <c r="E451" s="3" t="s">
        <v>74</v>
      </c>
      <c r="F451" s="3" t="s">
        <v>9125</v>
      </c>
      <c r="G451" s="3" t="s">
        <v>74</v>
      </c>
      <c r="H451" s="3" t="s">
        <v>74</v>
      </c>
      <c r="I451" s="3" t="s">
        <v>9126</v>
      </c>
      <c r="J451" s="3" t="s">
        <v>9127</v>
      </c>
      <c r="K451" s="3" t="s">
        <v>74</v>
      </c>
      <c r="L451" s="3" t="s">
        <v>74</v>
      </c>
      <c r="M451" s="3" t="s">
        <v>110</v>
      </c>
      <c r="N451" s="3" t="s">
        <v>216</v>
      </c>
      <c r="O451" s="3" t="s">
        <v>74</v>
      </c>
      <c r="P451" s="3" t="s">
        <v>74</v>
      </c>
      <c r="Q451" s="3" t="s">
        <v>74</v>
      </c>
      <c r="R451" s="3" t="s">
        <v>74</v>
      </c>
      <c r="S451" s="3" t="s">
        <v>74</v>
      </c>
      <c r="T451" s="3" t="s">
        <v>9128</v>
      </c>
      <c r="U451" s="3" t="s">
        <v>9129</v>
      </c>
      <c r="V451" s="3" t="s">
        <v>9130</v>
      </c>
      <c r="W451" s="3" t="s">
        <v>9131</v>
      </c>
      <c r="X451" s="3" t="s">
        <v>9132</v>
      </c>
      <c r="Y451" s="3" t="s">
        <v>9133</v>
      </c>
      <c r="Z451" s="3" t="s">
        <v>9134</v>
      </c>
      <c r="AA451" s="3" t="s">
        <v>9135</v>
      </c>
      <c r="AB451" s="3" t="s">
        <v>9136</v>
      </c>
      <c r="AC451" s="3" t="s">
        <v>74</v>
      </c>
      <c r="AD451" s="3" t="s">
        <v>74</v>
      </c>
      <c r="AE451" s="3" t="s">
        <v>74</v>
      </c>
      <c r="AF451" s="3" t="s">
        <v>74</v>
      </c>
      <c r="AG451" s="3">
        <v>294</v>
      </c>
      <c r="AH451" s="3">
        <v>87</v>
      </c>
      <c r="AI451" s="3">
        <v>108</v>
      </c>
      <c r="AJ451" s="3">
        <v>36</v>
      </c>
      <c r="AK451" s="3">
        <v>421</v>
      </c>
      <c r="AL451" s="3" t="s">
        <v>304</v>
      </c>
      <c r="AM451" s="3" t="s">
        <v>305</v>
      </c>
      <c r="AN451" s="3" t="s">
        <v>306</v>
      </c>
      <c r="AO451" s="3" t="s">
        <v>9137</v>
      </c>
      <c r="AP451" s="3" t="s">
        <v>9138</v>
      </c>
      <c r="AQ451" s="3" t="s">
        <v>74</v>
      </c>
      <c r="AR451" s="3" t="s">
        <v>9139</v>
      </c>
      <c r="AS451" s="3" t="s">
        <v>9140</v>
      </c>
      <c r="AT451" s="3" t="s">
        <v>333</v>
      </c>
      <c r="AU451" s="3">
        <v>2022</v>
      </c>
      <c r="AV451" s="3">
        <v>165</v>
      </c>
      <c r="AW451" s="3" t="s">
        <v>74</v>
      </c>
      <c r="AX451" s="3" t="s">
        <v>74</v>
      </c>
      <c r="AY451" s="3" t="s">
        <v>74</v>
      </c>
      <c r="AZ451" s="3" t="s">
        <v>74</v>
      </c>
      <c r="BA451" s="3" t="s">
        <v>74</v>
      </c>
      <c r="BB451" s="3" t="s">
        <v>74</v>
      </c>
      <c r="BC451" s="3" t="s">
        <v>74</v>
      </c>
      <c r="BD451" s="3">
        <v>102837</v>
      </c>
      <c r="BE451" s="3" t="s">
        <v>9141</v>
      </c>
      <c r="BF451" s="3" t="str">
        <f>HYPERLINK("http://dx.doi.org/10.1016/j.tre.2022.102837","http://dx.doi.org/10.1016/j.tre.2022.102837")</f>
        <v>http://dx.doi.org/10.1016/j.tre.2022.102837</v>
      </c>
      <c r="BG451" s="3" t="s">
        <v>74</v>
      </c>
      <c r="BH451" s="3" t="s">
        <v>3800</v>
      </c>
      <c r="BI451" s="3">
        <v>25</v>
      </c>
      <c r="BJ451" s="3" t="s">
        <v>2185</v>
      </c>
      <c r="BK451" s="3" t="s">
        <v>154</v>
      </c>
      <c r="BL451" s="3" t="s">
        <v>2186</v>
      </c>
      <c r="BM451" s="3" t="s">
        <v>9142</v>
      </c>
      <c r="BN451" s="3" t="s">
        <v>74</v>
      </c>
      <c r="BO451" s="3" t="s">
        <v>74</v>
      </c>
      <c r="BP451" s="3" t="s">
        <v>74</v>
      </c>
      <c r="BQ451" s="3" t="s">
        <v>74</v>
      </c>
      <c r="BR451" s="3" t="s">
        <v>101</v>
      </c>
      <c r="BS451" s="3" t="s">
        <v>9143</v>
      </c>
      <c r="BT451" s="3" t="str">
        <f>HYPERLINK("https%3A%2F%2Fwww.webofscience.com%2Fwos%2Fwoscc%2Ffull-record%2FWOS:000864739500005","View Full Record in Web of Science")</f>
        <v>View Full Record in Web of Science</v>
      </c>
      <c r="BU451" s="3"/>
      <c r="BV451" s="3"/>
      <c r="BW451" s="1"/>
    </row>
    <row r="452" spans="1:75" x14ac:dyDescent="0.25">
      <c r="A452" s="3" t="s">
        <v>72</v>
      </c>
      <c r="B452" s="3" t="s">
        <v>9144</v>
      </c>
      <c r="C452" s="3" t="s">
        <v>74</v>
      </c>
      <c r="D452" s="3" t="s">
        <v>74</v>
      </c>
      <c r="E452" s="3" t="s">
        <v>74</v>
      </c>
      <c r="F452" s="3" t="s">
        <v>9145</v>
      </c>
      <c r="G452" s="3" t="s">
        <v>74</v>
      </c>
      <c r="H452" s="3" t="s">
        <v>74</v>
      </c>
      <c r="I452" s="3" t="s">
        <v>9146</v>
      </c>
      <c r="J452" s="3" t="s">
        <v>9127</v>
      </c>
      <c r="K452" s="3" t="s">
        <v>74</v>
      </c>
      <c r="L452" s="3" t="s">
        <v>74</v>
      </c>
      <c r="M452" s="3" t="s">
        <v>110</v>
      </c>
      <c r="N452" s="3" t="s">
        <v>216</v>
      </c>
      <c r="O452" s="3" t="s">
        <v>74</v>
      </c>
      <c r="P452" s="3" t="s">
        <v>74</v>
      </c>
      <c r="Q452" s="3" t="s">
        <v>74</v>
      </c>
      <c r="R452" s="3" t="s">
        <v>74</v>
      </c>
      <c r="S452" s="3" t="s">
        <v>74</v>
      </c>
      <c r="T452" s="3" t="s">
        <v>9147</v>
      </c>
      <c r="U452" s="3" t="s">
        <v>9148</v>
      </c>
      <c r="V452" s="3" t="s">
        <v>9149</v>
      </c>
      <c r="W452" s="3" t="s">
        <v>9150</v>
      </c>
      <c r="X452" s="3" t="s">
        <v>3411</v>
      </c>
      <c r="Y452" s="3" t="s">
        <v>9151</v>
      </c>
      <c r="Z452" s="3" t="s">
        <v>9152</v>
      </c>
      <c r="AA452" s="3" t="s">
        <v>74</v>
      </c>
      <c r="AB452" s="3" t="s">
        <v>74</v>
      </c>
      <c r="AC452" s="3" t="s">
        <v>74</v>
      </c>
      <c r="AD452" s="3" t="s">
        <v>74</v>
      </c>
      <c r="AE452" s="3" t="s">
        <v>74</v>
      </c>
      <c r="AF452" s="3" t="s">
        <v>74</v>
      </c>
      <c r="AG452" s="3">
        <v>96</v>
      </c>
      <c r="AH452" s="3">
        <v>150</v>
      </c>
      <c r="AI452" s="3">
        <v>176</v>
      </c>
      <c r="AJ452" s="3">
        <v>24</v>
      </c>
      <c r="AK452" s="3">
        <v>346</v>
      </c>
      <c r="AL452" s="3" t="s">
        <v>304</v>
      </c>
      <c r="AM452" s="3" t="s">
        <v>305</v>
      </c>
      <c r="AN452" s="3" t="s">
        <v>306</v>
      </c>
      <c r="AO452" s="3" t="s">
        <v>9137</v>
      </c>
      <c r="AP452" s="3" t="s">
        <v>9138</v>
      </c>
      <c r="AQ452" s="3" t="s">
        <v>74</v>
      </c>
      <c r="AR452" s="3" t="s">
        <v>9139</v>
      </c>
      <c r="AS452" s="3" t="s">
        <v>9140</v>
      </c>
      <c r="AT452" s="3" t="s">
        <v>333</v>
      </c>
      <c r="AU452" s="3">
        <v>2021</v>
      </c>
      <c r="AV452" s="3">
        <v>153</v>
      </c>
      <c r="AW452" s="3" t="s">
        <v>74</v>
      </c>
      <c r="AX452" s="3" t="s">
        <v>74</v>
      </c>
      <c r="AY452" s="3" t="s">
        <v>74</v>
      </c>
      <c r="AZ452" s="3" t="s">
        <v>74</v>
      </c>
      <c r="BA452" s="3" t="s">
        <v>74</v>
      </c>
      <c r="BB452" s="3" t="s">
        <v>74</v>
      </c>
      <c r="BC452" s="3" t="s">
        <v>74</v>
      </c>
      <c r="BD452" s="3">
        <v>102455</v>
      </c>
      <c r="BE452" s="3" t="s">
        <v>9153</v>
      </c>
      <c r="BF452" s="3" t="str">
        <f>HYPERLINK("http://dx.doi.org/10.1016/j.tre.2021.102455","http://dx.doi.org/10.1016/j.tre.2021.102455")</f>
        <v>http://dx.doi.org/10.1016/j.tre.2021.102455</v>
      </c>
      <c r="BG452" s="3" t="s">
        <v>74</v>
      </c>
      <c r="BH452" s="3" t="s">
        <v>1517</v>
      </c>
      <c r="BI452" s="3">
        <v>17</v>
      </c>
      <c r="BJ452" s="3" t="s">
        <v>2185</v>
      </c>
      <c r="BK452" s="3" t="s">
        <v>154</v>
      </c>
      <c r="BL452" s="3" t="s">
        <v>2186</v>
      </c>
      <c r="BM452" s="3" t="s">
        <v>9154</v>
      </c>
      <c r="BN452" s="3" t="s">
        <v>74</v>
      </c>
      <c r="BO452" s="3" t="s">
        <v>683</v>
      </c>
      <c r="BP452" s="3" t="s">
        <v>74</v>
      </c>
      <c r="BQ452" s="3" t="s">
        <v>74</v>
      </c>
      <c r="BR452" s="3" t="s">
        <v>101</v>
      </c>
      <c r="BS452" s="3" t="s">
        <v>9155</v>
      </c>
      <c r="BT452" s="3" t="str">
        <f>HYPERLINK("https%3A%2F%2Fwww.webofscience.com%2Fwos%2Fwoscc%2Ffull-record%2FWOS:000691791000009","View Full Record in Web of Science")</f>
        <v>View Full Record in Web of Science</v>
      </c>
      <c r="BU452" s="3"/>
      <c r="BV452" s="3"/>
      <c r="BW452" s="1"/>
    </row>
    <row r="453" spans="1:75" x14ac:dyDescent="0.25">
      <c r="A453" s="3" t="s">
        <v>72</v>
      </c>
      <c r="B453" s="3" t="s">
        <v>9156</v>
      </c>
      <c r="C453" s="3" t="s">
        <v>74</v>
      </c>
      <c r="D453" s="3" t="s">
        <v>74</v>
      </c>
      <c r="E453" s="3" t="s">
        <v>74</v>
      </c>
      <c r="F453" s="3" t="s">
        <v>9157</v>
      </c>
      <c r="G453" s="3" t="s">
        <v>74</v>
      </c>
      <c r="H453" s="3" t="s">
        <v>74</v>
      </c>
      <c r="I453" s="3" t="s">
        <v>9158</v>
      </c>
      <c r="J453" s="3" t="s">
        <v>9089</v>
      </c>
      <c r="K453" s="3" t="s">
        <v>74</v>
      </c>
      <c r="L453" s="3" t="s">
        <v>74</v>
      </c>
      <c r="M453" s="3" t="s">
        <v>110</v>
      </c>
      <c r="N453" s="3" t="s">
        <v>79</v>
      </c>
      <c r="O453" s="3" t="s">
        <v>74</v>
      </c>
      <c r="P453" s="3" t="s">
        <v>74</v>
      </c>
      <c r="Q453" s="3" t="s">
        <v>74</v>
      </c>
      <c r="R453" s="3" t="s">
        <v>74</v>
      </c>
      <c r="S453" s="3" t="s">
        <v>74</v>
      </c>
      <c r="T453" s="3" t="s">
        <v>9159</v>
      </c>
      <c r="U453" s="3" t="s">
        <v>74</v>
      </c>
      <c r="V453" s="3" t="s">
        <v>9160</v>
      </c>
      <c r="W453" s="3" t="s">
        <v>9161</v>
      </c>
      <c r="X453" s="3" t="s">
        <v>9162</v>
      </c>
      <c r="Y453" s="3" t="s">
        <v>9163</v>
      </c>
      <c r="Z453" s="3" t="s">
        <v>9164</v>
      </c>
      <c r="AA453" s="3" t="s">
        <v>9165</v>
      </c>
      <c r="AB453" s="3" t="s">
        <v>9166</v>
      </c>
      <c r="AC453" s="3" t="s">
        <v>9167</v>
      </c>
      <c r="AD453" s="3" t="s">
        <v>350</v>
      </c>
      <c r="AE453" s="3" t="s">
        <v>9168</v>
      </c>
      <c r="AF453" s="3" t="s">
        <v>74</v>
      </c>
      <c r="AG453" s="3">
        <v>36</v>
      </c>
      <c r="AH453" s="3">
        <v>10</v>
      </c>
      <c r="AI453" s="3">
        <v>11</v>
      </c>
      <c r="AJ453" s="3">
        <v>5</v>
      </c>
      <c r="AK453" s="3">
        <v>37</v>
      </c>
      <c r="AL453" s="3" t="s">
        <v>846</v>
      </c>
      <c r="AM453" s="3" t="s">
        <v>847</v>
      </c>
      <c r="AN453" s="3" t="s">
        <v>848</v>
      </c>
      <c r="AO453" s="3" t="s">
        <v>9101</v>
      </c>
      <c r="AP453" s="3" t="s">
        <v>9102</v>
      </c>
      <c r="AQ453" s="3" t="s">
        <v>74</v>
      </c>
      <c r="AR453" s="3" t="s">
        <v>9103</v>
      </c>
      <c r="AS453" s="3" t="s">
        <v>9104</v>
      </c>
      <c r="AT453" s="3" t="s">
        <v>9169</v>
      </c>
      <c r="AU453" s="3">
        <v>2023</v>
      </c>
      <c r="AV453" s="3">
        <v>23</v>
      </c>
      <c r="AW453" s="3">
        <v>20</v>
      </c>
      <c r="AX453" s="3" t="s">
        <v>74</v>
      </c>
      <c r="AY453" s="3" t="s">
        <v>74</v>
      </c>
      <c r="AZ453" s="3" t="s">
        <v>74</v>
      </c>
      <c r="BA453" s="3" t="s">
        <v>74</v>
      </c>
      <c r="BB453" s="3">
        <v>25497</v>
      </c>
      <c r="BC453" s="3">
        <v>25517</v>
      </c>
      <c r="BD453" s="3" t="s">
        <v>74</v>
      </c>
      <c r="BE453" s="3" t="s">
        <v>9170</v>
      </c>
      <c r="BF453" s="3" t="str">
        <f>HYPERLINK("http://dx.doi.org/10.1109/JSEN.2023.3312861","http://dx.doi.org/10.1109/JSEN.2023.3312861")</f>
        <v>http://dx.doi.org/10.1109/JSEN.2023.3312861</v>
      </c>
      <c r="BG453" s="3" t="s">
        <v>74</v>
      </c>
      <c r="BH453" s="3" t="s">
        <v>74</v>
      </c>
      <c r="BI453" s="3">
        <v>21</v>
      </c>
      <c r="BJ453" s="3" t="s">
        <v>9106</v>
      </c>
      <c r="BK453" s="3" t="s">
        <v>179</v>
      </c>
      <c r="BL453" s="3" t="s">
        <v>9107</v>
      </c>
      <c r="BM453" s="3" t="s">
        <v>9171</v>
      </c>
      <c r="BN453" s="3" t="s">
        <v>74</v>
      </c>
      <c r="BO453" s="3" t="s">
        <v>884</v>
      </c>
      <c r="BP453" s="3" t="s">
        <v>74</v>
      </c>
      <c r="BQ453" s="3" t="s">
        <v>74</v>
      </c>
      <c r="BR453" s="3" t="s">
        <v>101</v>
      </c>
      <c r="BS453" s="3" t="s">
        <v>9172</v>
      </c>
      <c r="BT453" s="3" t="str">
        <f>HYPERLINK("https%3A%2F%2Fwww.webofscience.com%2Fwos%2Fwoscc%2Ffull-record%2FWOS:001098067300157","View Full Record in Web of Science")</f>
        <v>View Full Record in Web of Science</v>
      </c>
      <c r="BU453" s="3"/>
      <c r="BV453" s="3"/>
      <c r="BW453" s="1"/>
    </row>
    <row r="454" spans="1:75" x14ac:dyDescent="0.25">
      <c r="A454" s="3" t="s">
        <v>72</v>
      </c>
      <c r="B454" s="3" t="s">
        <v>9173</v>
      </c>
      <c r="C454" s="3" t="s">
        <v>74</v>
      </c>
      <c r="D454" s="3" t="s">
        <v>74</v>
      </c>
      <c r="E454" s="3" t="s">
        <v>74</v>
      </c>
      <c r="F454" s="3" t="s">
        <v>9174</v>
      </c>
      <c r="G454" s="3" t="s">
        <v>74</v>
      </c>
      <c r="H454" s="3" t="s">
        <v>74</v>
      </c>
      <c r="I454" s="3" t="s">
        <v>9175</v>
      </c>
      <c r="J454" s="3" t="s">
        <v>6887</v>
      </c>
      <c r="K454" s="3" t="s">
        <v>74</v>
      </c>
      <c r="L454" s="3" t="s">
        <v>74</v>
      </c>
      <c r="M454" s="3" t="s">
        <v>110</v>
      </c>
      <c r="N454" s="3" t="s">
        <v>79</v>
      </c>
      <c r="O454" s="3" t="s">
        <v>74</v>
      </c>
      <c r="P454" s="3" t="s">
        <v>74</v>
      </c>
      <c r="Q454" s="3" t="s">
        <v>74</v>
      </c>
      <c r="R454" s="3" t="s">
        <v>74</v>
      </c>
      <c r="S454" s="3" t="s">
        <v>74</v>
      </c>
      <c r="T454" s="3" t="s">
        <v>9176</v>
      </c>
      <c r="U454" s="3" t="s">
        <v>74</v>
      </c>
      <c r="V454" s="3" t="s">
        <v>9177</v>
      </c>
      <c r="W454" s="3" t="s">
        <v>9178</v>
      </c>
      <c r="X454" s="3" t="s">
        <v>5661</v>
      </c>
      <c r="Y454" s="3" t="s">
        <v>9179</v>
      </c>
      <c r="Z454" s="3" t="s">
        <v>9180</v>
      </c>
      <c r="AA454" s="3" t="s">
        <v>9181</v>
      </c>
      <c r="AB454" s="3" t="s">
        <v>9182</v>
      </c>
      <c r="AC454" s="3" t="s">
        <v>9183</v>
      </c>
      <c r="AD454" s="3" t="s">
        <v>9184</v>
      </c>
      <c r="AE454" s="3" t="s">
        <v>9185</v>
      </c>
      <c r="AF454" s="3" t="s">
        <v>74</v>
      </c>
      <c r="AG454" s="3">
        <v>18</v>
      </c>
      <c r="AH454" s="3">
        <v>7</v>
      </c>
      <c r="AI454" s="3">
        <v>7</v>
      </c>
      <c r="AJ454" s="3">
        <v>1</v>
      </c>
      <c r="AK454" s="3">
        <v>19</v>
      </c>
      <c r="AL454" s="3" t="s">
        <v>2788</v>
      </c>
      <c r="AM454" s="3" t="s">
        <v>2789</v>
      </c>
      <c r="AN454" s="3" t="s">
        <v>2790</v>
      </c>
      <c r="AO454" s="3" t="s">
        <v>6899</v>
      </c>
      <c r="AP454" s="3" t="s">
        <v>6900</v>
      </c>
      <c r="AQ454" s="3" t="s">
        <v>74</v>
      </c>
      <c r="AR454" s="3" t="s">
        <v>6901</v>
      </c>
      <c r="AS454" s="3" t="s">
        <v>6902</v>
      </c>
      <c r="AT454" s="3" t="s">
        <v>260</v>
      </c>
      <c r="AU454" s="3">
        <v>2024</v>
      </c>
      <c r="AV454" s="3">
        <v>2678</v>
      </c>
      <c r="AW454" s="3">
        <v>1</v>
      </c>
      <c r="AX454" s="3" t="s">
        <v>74</v>
      </c>
      <c r="AY454" s="3" t="s">
        <v>74</v>
      </c>
      <c r="AZ454" s="3" t="s">
        <v>74</v>
      </c>
      <c r="BA454" s="3" t="s">
        <v>74</v>
      </c>
      <c r="BB454" s="3">
        <v>473</v>
      </c>
      <c r="BC454" s="3">
        <v>489</v>
      </c>
      <c r="BD454" s="3" t="s">
        <v>74</v>
      </c>
      <c r="BE454" s="3" t="s">
        <v>9186</v>
      </c>
      <c r="BF454" s="3" t="str">
        <f>HYPERLINK("http://dx.doi.org/10.1177/03611981231171149","http://dx.doi.org/10.1177/03611981231171149")</f>
        <v>http://dx.doi.org/10.1177/03611981231171149</v>
      </c>
      <c r="BG454" s="3" t="s">
        <v>74</v>
      </c>
      <c r="BH454" s="3" t="s">
        <v>3324</v>
      </c>
      <c r="BI454" s="3">
        <v>17</v>
      </c>
      <c r="BJ454" s="3" t="s">
        <v>4880</v>
      </c>
      <c r="BK454" s="3" t="s">
        <v>179</v>
      </c>
      <c r="BL454" s="3" t="s">
        <v>411</v>
      </c>
      <c r="BM454" s="3" t="s">
        <v>9187</v>
      </c>
      <c r="BN454" s="3" t="s">
        <v>74</v>
      </c>
      <c r="BO454" s="3" t="s">
        <v>74</v>
      </c>
      <c r="BP454" s="3" t="s">
        <v>74</v>
      </c>
      <c r="BQ454" s="3" t="s">
        <v>74</v>
      </c>
      <c r="BR454" s="3" t="s">
        <v>101</v>
      </c>
      <c r="BS454" s="3" t="s">
        <v>9188</v>
      </c>
      <c r="BT454" s="3" t="str">
        <f>HYPERLINK("https%3A%2F%2Fwww.webofscience.com%2Fwos%2Fwoscc%2Ffull-record%2FWOS:001007370000001","View Full Record in Web of Science")</f>
        <v>View Full Record in Web of Science</v>
      </c>
      <c r="BU454" s="3"/>
      <c r="BV454" s="3"/>
      <c r="BW454" s="1"/>
    </row>
    <row r="455" spans="1:75" x14ac:dyDescent="0.25">
      <c r="A455" s="3" t="s">
        <v>72</v>
      </c>
      <c r="B455" s="3" t="s">
        <v>9189</v>
      </c>
      <c r="C455" s="3" t="s">
        <v>74</v>
      </c>
      <c r="D455" s="3" t="s">
        <v>74</v>
      </c>
      <c r="E455" s="3" t="s">
        <v>74</v>
      </c>
      <c r="F455" s="3" t="s">
        <v>9190</v>
      </c>
      <c r="G455" s="3" t="s">
        <v>74</v>
      </c>
      <c r="H455" s="3" t="s">
        <v>74</v>
      </c>
      <c r="I455" s="3" t="s">
        <v>9191</v>
      </c>
      <c r="J455" s="3" t="s">
        <v>138</v>
      </c>
      <c r="K455" s="3" t="s">
        <v>74</v>
      </c>
      <c r="L455" s="3" t="s">
        <v>74</v>
      </c>
      <c r="M455" s="3" t="s">
        <v>110</v>
      </c>
      <c r="N455" s="3" t="s">
        <v>79</v>
      </c>
      <c r="O455" s="3" t="s">
        <v>74</v>
      </c>
      <c r="P455" s="3" t="s">
        <v>74</v>
      </c>
      <c r="Q455" s="3" t="s">
        <v>74</v>
      </c>
      <c r="R455" s="3" t="s">
        <v>74</v>
      </c>
      <c r="S455" s="3" t="s">
        <v>74</v>
      </c>
      <c r="T455" s="3" t="s">
        <v>9192</v>
      </c>
      <c r="U455" s="3" t="s">
        <v>9193</v>
      </c>
      <c r="V455" s="3" t="s">
        <v>9194</v>
      </c>
      <c r="W455" s="3" t="s">
        <v>9195</v>
      </c>
      <c r="X455" s="3" t="s">
        <v>9196</v>
      </c>
      <c r="Y455" s="3" t="s">
        <v>9197</v>
      </c>
      <c r="Z455" s="3" t="s">
        <v>9198</v>
      </c>
      <c r="AA455" s="3" t="s">
        <v>74</v>
      </c>
      <c r="AB455" s="3" t="s">
        <v>9199</v>
      </c>
      <c r="AC455" s="3" t="s">
        <v>9200</v>
      </c>
      <c r="AD455" s="3" t="s">
        <v>9201</v>
      </c>
      <c r="AE455" s="3" t="s">
        <v>9202</v>
      </c>
      <c r="AF455" s="3" t="s">
        <v>74</v>
      </c>
      <c r="AG455" s="3">
        <v>67</v>
      </c>
      <c r="AH455" s="3">
        <v>3</v>
      </c>
      <c r="AI455" s="3">
        <v>4</v>
      </c>
      <c r="AJ455" s="3">
        <v>2</v>
      </c>
      <c r="AK455" s="3">
        <v>18</v>
      </c>
      <c r="AL455" s="3" t="s">
        <v>145</v>
      </c>
      <c r="AM455" s="3" t="s">
        <v>146</v>
      </c>
      <c r="AN455" s="3" t="s">
        <v>279</v>
      </c>
      <c r="AO455" s="3" t="s">
        <v>74</v>
      </c>
      <c r="AP455" s="3" t="s">
        <v>148</v>
      </c>
      <c r="AQ455" s="3" t="s">
        <v>74</v>
      </c>
      <c r="AR455" s="3" t="s">
        <v>149</v>
      </c>
      <c r="AS455" s="3" t="s">
        <v>150</v>
      </c>
      <c r="AT455" s="3" t="s">
        <v>260</v>
      </c>
      <c r="AU455" s="3">
        <v>2023</v>
      </c>
      <c r="AV455" s="3">
        <v>15</v>
      </c>
      <c r="AW455" s="3">
        <v>1</v>
      </c>
      <c r="AX455" s="3" t="s">
        <v>74</v>
      </c>
      <c r="AY455" s="3" t="s">
        <v>74</v>
      </c>
      <c r="AZ455" s="3" t="s">
        <v>74</v>
      </c>
      <c r="BA455" s="3" t="s">
        <v>74</v>
      </c>
      <c r="BB455" s="3" t="s">
        <v>74</v>
      </c>
      <c r="BC455" s="3" t="s">
        <v>74</v>
      </c>
      <c r="BD455" s="3">
        <v>672</v>
      </c>
      <c r="BE455" s="3" t="s">
        <v>9203</v>
      </c>
      <c r="BF455" s="3" t="str">
        <f>HYPERLINK("http://dx.doi.org/10.3390/su15010672","http://dx.doi.org/10.3390/su15010672")</f>
        <v>http://dx.doi.org/10.3390/su15010672</v>
      </c>
      <c r="BG455" s="3" t="s">
        <v>74</v>
      </c>
      <c r="BH455" s="3" t="s">
        <v>74</v>
      </c>
      <c r="BI455" s="3">
        <v>19</v>
      </c>
      <c r="BJ455" s="3" t="s">
        <v>153</v>
      </c>
      <c r="BK455" s="3" t="s">
        <v>154</v>
      </c>
      <c r="BL455" s="3" t="s">
        <v>155</v>
      </c>
      <c r="BM455" s="3" t="s">
        <v>9204</v>
      </c>
      <c r="BN455" s="3" t="s">
        <v>74</v>
      </c>
      <c r="BO455" s="3" t="s">
        <v>133</v>
      </c>
      <c r="BP455" s="3" t="s">
        <v>74</v>
      </c>
      <c r="BQ455" s="3" t="s">
        <v>74</v>
      </c>
      <c r="BR455" s="3" t="s">
        <v>101</v>
      </c>
      <c r="BS455" s="3" t="s">
        <v>9205</v>
      </c>
      <c r="BT455" s="3" t="str">
        <f>HYPERLINK("https%3A%2F%2Fwww.webofscience.com%2Fwos%2Fwoscc%2Ffull-record%2FWOS:000909704400001","View Full Record in Web of Science")</f>
        <v>View Full Record in Web of Science</v>
      </c>
      <c r="BU455" s="3"/>
      <c r="BV455" s="3"/>
      <c r="BW455" s="1"/>
    </row>
    <row r="456" spans="1:75" x14ac:dyDescent="0.25">
      <c r="A456" s="3" t="s">
        <v>72</v>
      </c>
      <c r="B456" s="3" t="s">
        <v>9206</v>
      </c>
      <c r="C456" s="3" t="s">
        <v>74</v>
      </c>
      <c r="D456" s="3" t="s">
        <v>74</v>
      </c>
      <c r="E456" s="3" t="s">
        <v>74</v>
      </c>
      <c r="F456" s="3" t="s">
        <v>9207</v>
      </c>
      <c r="G456" s="3" t="s">
        <v>74</v>
      </c>
      <c r="H456" s="3" t="s">
        <v>74</v>
      </c>
      <c r="I456" s="3" t="s">
        <v>9208</v>
      </c>
      <c r="J456" s="3" t="s">
        <v>5376</v>
      </c>
      <c r="K456" s="3" t="s">
        <v>74</v>
      </c>
      <c r="L456" s="3" t="s">
        <v>74</v>
      </c>
      <c r="M456" s="3" t="s">
        <v>110</v>
      </c>
      <c r="N456" s="3" t="s">
        <v>79</v>
      </c>
      <c r="O456" s="3" t="s">
        <v>74</v>
      </c>
      <c r="P456" s="3" t="s">
        <v>74</v>
      </c>
      <c r="Q456" s="3" t="s">
        <v>74</v>
      </c>
      <c r="R456" s="3" t="s">
        <v>74</v>
      </c>
      <c r="S456" s="3" t="s">
        <v>74</v>
      </c>
      <c r="T456" s="3" t="s">
        <v>9209</v>
      </c>
      <c r="U456" s="3" t="s">
        <v>9210</v>
      </c>
      <c r="V456" s="3" t="s">
        <v>9211</v>
      </c>
      <c r="W456" s="3" t="s">
        <v>9212</v>
      </c>
      <c r="X456" s="3" t="s">
        <v>9213</v>
      </c>
      <c r="Y456" s="3" t="s">
        <v>9214</v>
      </c>
      <c r="Z456" s="3" t="s">
        <v>9215</v>
      </c>
      <c r="AA456" s="3" t="s">
        <v>9216</v>
      </c>
      <c r="AB456" s="3" t="s">
        <v>9217</v>
      </c>
      <c r="AC456" s="3" t="s">
        <v>9218</v>
      </c>
      <c r="AD456" s="3" t="s">
        <v>9219</v>
      </c>
      <c r="AE456" s="3" t="s">
        <v>9220</v>
      </c>
      <c r="AF456" s="3" t="s">
        <v>74</v>
      </c>
      <c r="AG456" s="3">
        <v>176</v>
      </c>
      <c r="AH456" s="3">
        <v>21</v>
      </c>
      <c r="AI456" s="3">
        <v>24</v>
      </c>
      <c r="AJ456" s="3">
        <v>4</v>
      </c>
      <c r="AK456" s="3">
        <v>20</v>
      </c>
      <c r="AL456" s="3" t="s">
        <v>671</v>
      </c>
      <c r="AM456" s="3" t="s">
        <v>124</v>
      </c>
      <c r="AN456" s="3" t="s">
        <v>672</v>
      </c>
      <c r="AO456" s="3" t="s">
        <v>5388</v>
      </c>
      <c r="AP456" s="3" t="s">
        <v>74</v>
      </c>
      <c r="AQ456" s="3" t="s">
        <v>74</v>
      </c>
      <c r="AR456" s="3" t="s">
        <v>5389</v>
      </c>
      <c r="AS456" s="3" t="s">
        <v>5390</v>
      </c>
      <c r="AT456" s="3" t="s">
        <v>260</v>
      </c>
      <c r="AU456" s="3">
        <v>2023</v>
      </c>
      <c r="AV456" s="3">
        <v>17</v>
      </c>
      <c r="AW456" s="3" t="s">
        <v>74</v>
      </c>
      <c r="AX456" s="3" t="s">
        <v>74</v>
      </c>
      <c r="AY456" s="3" t="s">
        <v>74</v>
      </c>
      <c r="AZ456" s="3" t="s">
        <v>74</v>
      </c>
      <c r="BA456" s="3" t="s">
        <v>74</v>
      </c>
      <c r="BB456" s="3" t="s">
        <v>74</v>
      </c>
      <c r="BC456" s="3" t="s">
        <v>74</v>
      </c>
      <c r="BD456" s="3">
        <v>100731</v>
      </c>
      <c r="BE456" s="3" t="s">
        <v>9221</v>
      </c>
      <c r="BF456" s="3" t="str">
        <f>HYPERLINK("http://dx.doi.org/10.1016/j.trip.2022.100731","http://dx.doi.org/10.1016/j.trip.2022.100731")</f>
        <v>http://dx.doi.org/10.1016/j.trip.2022.100731</v>
      </c>
      <c r="BG456" s="3" t="s">
        <v>74</v>
      </c>
      <c r="BH456" s="3" t="s">
        <v>7675</v>
      </c>
      <c r="BI456" s="3">
        <v>14</v>
      </c>
      <c r="BJ456" s="3" t="s">
        <v>131</v>
      </c>
      <c r="BK456" s="3" t="s">
        <v>97</v>
      </c>
      <c r="BL456" s="3" t="s">
        <v>131</v>
      </c>
      <c r="BM456" s="3" t="s">
        <v>9222</v>
      </c>
      <c r="BN456" s="3" t="s">
        <v>74</v>
      </c>
      <c r="BO456" s="3" t="s">
        <v>9223</v>
      </c>
      <c r="BP456" s="3" t="s">
        <v>74</v>
      </c>
      <c r="BQ456" s="3" t="s">
        <v>74</v>
      </c>
      <c r="BR456" s="3" t="s">
        <v>101</v>
      </c>
      <c r="BS456" s="3" t="s">
        <v>9224</v>
      </c>
      <c r="BT456" s="3" t="str">
        <f>HYPERLINK("https%3A%2F%2Fwww.webofscience.com%2Fwos%2Fwoscc%2Ffull-record%2FWOS:001089570200001","View Full Record in Web of Science")</f>
        <v>View Full Record in Web of Science</v>
      </c>
      <c r="BU456" s="3"/>
      <c r="BV456" s="3"/>
      <c r="BW456" s="1"/>
    </row>
    <row r="457" spans="1:75" x14ac:dyDescent="0.25">
      <c r="A457" s="3" t="s">
        <v>72</v>
      </c>
      <c r="B457" s="3" t="s">
        <v>9225</v>
      </c>
      <c r="C457" s="3" t="s">
        <v>74</v>
      </c>
      <c r="D457" s="3" t="s">
        <v>74</v>
      </c>
      <c r="E457" s="3" t="s">
        <v>74</v>
      </c>
      <c r="F457" s="3" t="s">
        <v>9226</v>
      </c>
      <c r="G457" s="3" t="s">
        <v>74</v>
      </c>
      <c r="H457" s="3" t="s">
        <v>74</v>
      </c>
      <c r="I457" s="3" t="s">
        <v>9227</v>
      </c>
      <c r="J457" s="3" t="s">
        <v>9228</v>
      </c>
      <c r="K457" s="3" t="s">
        <v>74</v>
      </c>
      <c r="L457" s="3" t="s">
        <v>74</v>
      </c>
      <c r="M457" s="3" t="s">
        <v>110</v>
      </c>
      <c r="N457" s="3" t="s">
        <v>79</v>
      </c>
      <c r="O457" s="3" t="s">
        <v>74</v>
      </c>
      <c r="P457" s="3" t="s">
        <v>74</v>
      </c>
      <c r="Q457" s="3" t="s">
        <v>74</v>
      </c>
      <c r="R457" s="3" t="s">
        <v>74</v>
      </c>
      <c r="S457" s="3" t="s">
        <v>74</v>
      </c>
      <c r="T457" s="3" t="s">
        <v>9229</v>
      </c>
      <c r="U457" s="3" t="s">
        <v>74</v>
      </c>
      <c r="V457" s="3" t="s">
        <v>9230</v>
      </c>
      <c r="W457" s="3" t="s">
        <v>9231</v>
      </c>
      <c r="X457" s="3" t="s">
        <v>9232</v>
      </c>
      <c r="Y457" s="3" t="s">
        <v>9233</v>
      </c>
      <c r="Z457" s="3" t="s">
        <v>9234</v>
      </c>
      <c r="AA457" s="3" t="s">
        <v>9235</v>
      </c>
      <c r="AB457" s="3" t="s">
        <v>9236</v>
      </c>
      <c r="AC457" s="3" t="s">
        <v>9237</v>
      </c>
      <c r="AD457" s="3" t="s">
        <v>9238</v>
      </c>
      <c r="AE457" s="3" t="s">
        <v>9239</v>
      </c>
      <c r="AF457" s="3" t="s">
        <v>74</v>
      </c>
      <c r="AG457" s="3">
        <v>28</v>
      </c>
      <c r="AH457" s="3">
        <v>1</v>
      </c>
      <c r="AI457" s="3">
        <v>1</v>
      </c>
      <c r="AJ457" s="3">
        <v>1</v>
      </c>
      <c r="AK457" s="3">
        <v>8</v>
      </c>
      <c r="AL457" s="3" t="s">
        <v>846</v>
      </c>
      <c r="AM457" s="3" t="s">
        <v>847</v>
      </c>
      <c r="AN457" s="3" t="s">
        <v>848</v>
      </c>
      <c r="AO457" s="3" t="s">
        <v>9240</v>
      </c>
      <c r="AP457" s="3" t="s">
        <v>74</v>
      </c>
      <c r="AQ457" s="3" t="s">
        <v>74</v>
      </c>
      <c r="AR457" s="3" t="s">
        <v>9241</v>
      </c>
      <c r="AS457" s="3" t="s">
        <v>9242</v>
      </c>
      <c r="AT457" s="3" t="s">
        <v>1164</v>
      </c>
      <c r="AU457" s="3">
        <v>2023</v>
      </c>
      <c r="AV457" s="3">
        <v>21</v>
      </c>
      <c r="AW457" s="3">
        <v>10</v>
      </c>
      <c r="AX457" s="3" t="s">
        <v>74</v>
      </c>
      <c r="AY457" s="3" t="s">
        <v>74</v>
      </c>
      <c r="AZ457" s="3" t="s">
        <v>74</v>
      </c>
      <c r="BA457" s="3" t="s">
        <v>74</v>
      </c>
      <c r="BB457" s="3">
        <v>1064</v>
      </c>
      <c r="BC457" s="3">
        <v>1072</v>
      </c>
      <c r="BD457" s="3" t="s">
        <v>74</v>
      </c>
      <c r="BE457" s="3" t="s">
        <v>9243</v>
      </c>
      <c r="BF457" s="3" t="str">
        <f>HYPERLINK("http://dx.doi.org/10.1109/TLA.2023.10255445","http://dx.doi.org/10.1109/TLA.2023.10255445")</f>
        <v>http://dx.doi.org/10.1109/TLA.2023.10255445</v>
      </c>
      <c r="BG457" s="3" t="s">
        <v>74</v>
      </c>
      <c r="BH457" s="3" t="s">
        <v>74</v>
      </c>
      <c r="BI457" s="3">
        <v>9</v>
      </c>
      <c r="BJ457" s="3" t="s">
        <v>7166</v>
      </c>
      <c r="BK457" s="3" t="s">
        <v>179</v>
      </c>
      <c r="BL457" s="3" t="s">
        <v>383</v>
      </c>
      <c r="BM457" s="3" t="s">
        <v>9244</v>
      </c>
      <c r="BN457" s="3" t="s">
        <v>74</v>
      </c>
      <c r="BO457" s="3" t="s">
        <v>74</v>
      </c>
      <c r="BP457" s="3" t="s">
        <v>74</v>
      </c>
      <c r="BQ457" s="3" t="s">
        <v>74</v>
      </c>
      <c r="BR457" s="3" t="s">
        <v>101</v>
      </c>
      <c r="BS457" s="3" t="s">
        <v>9245</v>
      </c>
      <c r="BT457" s="3" t="str">
        <f>HYPERLINK("https%3A%2F%2Fwww.webofscience.com%2Fwos%2Fwoscc%2Ffull-record%2FWOS:001070670000001","View Full Record in Web of Science")</f>
        <v>View Full Record in Web of Science</v>
      </c>
      <c r="BU457" s="3"/>
      <c r="BV457" s="3"/>
      <c r="BW457" s="1"/>
    </row>
    <row r="458" spans="1:75" x14ac:dyDescent="0.25">
      <c r="A458" s="3" t="s">
        <v>72</v>
      </c>
      <c r="B458" s="3" t="s">
        <v>9246</v>
      </c>
      <c r="C458" s="3" t="s">
        <v>74</v>
      </c>
      <c r="D458" s="3" t="s">
        <v>74</v>
      </c>
      <c r="E458" s="3" t="s">
        <v>74</v>
      </c>
      <c r="F458" s="3" t="s">
        <v>9247</v>
      </c>
      <c r="G458" s="3" t="s">
        <v>74</v>
      </c>
      <c r="H458" s="3" t="s">
        <v>74</v>
      </c>
      <c r="I458" s="3" t="s">
        <v>9248</v>
      </c>
      <c r="J458" s="3" t="s">
        <v>9249</v>
      </c>
      <c r="K458" s="3" t="s">
        <v>74</v>
      </c>
      <c r="L458" s="3" t="s">
        <v>74</v>
      </c>
      <c r="M458" s="3" t="s">
        <v>110</v>
      </c>
      <c r="N458" s="3" t="s">
        <v>79</v>
      </c>
      <c r="O458" s="3" t="s">
        <v>74</v>
      </c>
      <c r="P458" s="3" t="s">
        <v>74</v>
      </c>
      <c r="Q458" s="3" t="s">
        <v>74</v>
      </c>
      <c r="R458" s="3" t="s">
        <v>74</v>
      </c>
      <c r="S458" s="3" t="s">
        <v>74</v>
      </c>
      <c r="T458" s="3" t="s">
        <v>9250</v>
      </c>
      <c r="U458" s="3" t="s">
        <v>74</v>
      </c>
      <c r="V458" s="3" t="s">
        <v>9251</v>
      </c>
      <c r="W458" s="3" t="s">
        <v>9252</v>
      </c>
      <c r="X458" s="3" t="s">
        <v>9253</v>
      </c>
      <c r="Y458" s="3" t="s">
        <v>9254</v>
      </c>
      <c r="Z458" s="3" t="s">
        <v>9255</v>
      </c>
      <c r="AA458" s="3" t="s">
        <v>74</v>
      </c>
      <c r="AB458" s="3" t="s">
        <v>74</v>
      </c>
      <c r="AC458" s="3" t="s">
        <v>74</v>
      </c>
      <c r="AD458" s="3" t="s">
        <v>74</v>
      </c>
      <c r="AE458" s="3" t="s">
        <v>74</v>
      </c>
      <c r="AF458" s="3" t="s">
        <v>74</v>
      </c>
      <c r="AG458" s="3">
        <v>18</v>
      </c>
      <c r="AH458" s="3">
        <v>0</v>
      </c>
      <c r="AI458" s="3">
        <v>0</v>
      </c>
      <c r="AJ458" s="3">
        <v>0</v>
      </c>
      <c r="AK458" s="3">
        <v>5</v>
      </c>
      <c r="AL458" s="3" t="s">
        <v>9256</v>
      </c>
      <c r="AM458" s="3" t="s">
        <v>9257</v>
      </c>
      <c r="AN458" s="3" t="s">
        <v>9258</v>
      </c>
      <c r="AO458" s="3" t="s">
        <v>9259</v>
      </c>
      <c r="AP458" s="3" t="s">
        <v>74</v>
      </c>
      <c r="AQ458" s="3" t="s">
        <v>74</v>
      </c>
      <c r="AR458" s="3" t="s">
        <v>9260</v>
      </c>
      <c r="AS458" s="3" t="s">
        <v>9261</v>
      </c>
      <c r="AT458" s="3" t="s">
        <v>151</v>
      </c>
      <c r="AU458" s="3">
        <v>2023</v>
      </c>
      <c r="AV458" s="3">
        <v>35</v>
      </c>
      <c r="AW458" s="3">
        <v>4</v>
      </c>
      <c r="AX458" s="3" t="s">
        <v>74</v>
      </c>
      <c r="AY458" s="3" t="s">
        <v>74</v>
      </c>
      <c r="AZ458" s="3" t="s">
        <v>74</v>
      </c>
      <c r="BA458" s="3" t="s">
        <v>74</v>
      </c>
      <c r="BB458" s="3">
        <v>439</v>
      </c>
      <c r="BC458" s="3">
        <v>456</v>
      </c>
      <c r="BD458" s="3" t="s">
        <v>74</v>
      </c>
      <c r="BE458" s="3" t="s">
        <v>9262</v>
      </c>
      <c r="BF458" s="3" t="str">
        <f>HYPERLINK("http://dx.doi.org/10.33948/JAP-KSU-35-4-1","http://dx.doi.org/10.33948/JAP-KSU-35-4-1")</f>
        <v>http://dx.doi.org/10.33948/JAP-KSU-35-4-1</v>
      </c>
      <c r="BG458" s="3" t="s">
        <v>74</v>
      </c>
      <c r="BH458" s="3" t="s">
        <v>74</v>
      </c>
      <c r="BI458" s="3">
        <v>18</v>
      </c>
      <c r="BJ458" s="3" t="s">
        <v>9263</v>
      </c>
      <c r="BK458" s="3" t="s">
        <v>97</v>
      </c>
      <c r="BL458" s="3" t="s">
        <v>9263</v>
      </c>
      <c r="BM458" s="3" t="s">
        <v>9264</v>
      </c>
      <c r="BN458" s="3" t="s">
        <v>74</v>
      </c>
      <c r="BO458" s="3" t="s">
        <v>100</v>
      </c>
      <c r="BP458" s="3" t="s">
        <v>74</v>
      </c>
      <c r="BQ458" s="3" t="s">
        <v>74</v>
      </c>
      <c r="BR458" s="3" t="s">
        <v>101</v>
      </c>
      <c r="BS458" s="3" t="s">
        <v>9265</v>
      </c>
      <c r="BT458" s="3" t="str">
        <f>HYPERLINK("https%3A%2F%2Fwww.webofscience.com%2Fwos%2Fwoscc%2Ffull-record%2FWOS:001111237800005","View Full Record in Web of Science")</f>
        <v>View Full Record in Web of Science</v>
      </c>
      <c r="BU458" s="3"/>
      <c r="BV458" s="3"/>
      <c r="BW458" s="1"/>
    </row>
    <row r="459" spans="1:75" x14ac:dyDescent="0.25">
      <c r="A459" s="3" t="s">
        <v>72</v>
      </c>
      <c r="B459" s="3" t="s">
        <v>9266</v>
      </c>
      <c r="C459" s="3" t="s">
        <v>74</v>
      </c>
      <c r="D459" s="3" t="s">
        <v>74</v>
      </c>
      <c r="E459" s="3" t="s">
        <v>74</v>
      </c>
      <c r="F459" s="3" t="s">
        <v>9267</v>
      </c>
      <c r="G459" s="3" t="s">
        <v>74</v>
      </c>
      <c r="H459" s="3" t="s">
        <v>74</v>
      </c>
      <c r="I459" s="3" t="s">
        <v>9268</v>
      </c>
      <c r="J459" s="3" t="s">
        <v>9269</v>
      </c>
      <c r="K459" s="3" t="s">
        <v>74</v>
      </c>
      <c r="L459" s="3" t="s">
        <v>74</v>
      </c>
      <c r="M459" s="3" t="s">
        <v>110</v>
      </c>
      <c r="N459" s="3" t="s">
        <v>79</v>
      </c>
      <c r="O459" s="3" t="s">
        <v>74</v>
      </c>
      <c r="P459" s="3" t="s">
        <v>74</v>
      </c>
      <c r="Q459" s="3" t="s">
        <v>74</v>
      </c>
      <c r="R459" s="3" t="s">
        <v>74</v>
      </c>
      <c r="S459" s="3" t="s">
        <v>74</v>
      </c>
      <c r="T459" s="3" t="s">
        <v>9270</v>
      </c>
      <c r="U459" s="3" t="s">
        <v>9271</v>
      </c>
      <c r="V459" s="3" t="s">
        <v>9272</v>
      </c>
      <c r="W459" s="3" t="s">
        <v>9273</v>
      </c>
      <c r="X459" s="3" t="s">
        <v>9274</v>
      </c>
      <c r="Y459" s="3" t="s">
        <v>9275</v>
      </c>
      <c r="Z459" s="3" t="s">
        <v>9276</v>
      </c>
      <c r="AA459" s="3" t="s">
        <v>74</v>
      </c>
      <c r="AB459" s="3" t="s">
        <v>9277</v>
      </c>
      <c r="AC459" s="3" t="s">
        <v>74</v>
      </c>
      <c r="AD459" s="3" t="s">
        <v>74</v>
      </c>
      <c r="AE459" s="3" t="s">
        <v>74</v>
      </c>
      <c r="AF459" s="3" t="s">
        <v>74</v>
      </c>
      <c r="AG459" s="3">
        <v>131</v>
      </c>
      <c r="AH459" s="3">
        <v>2</v>
      </c>
      <c r="AI459" s="3">
        <v>2</v>
      </c>
      <c r="AJ459" s="3">
        <v>19</v>
      </c>
      <c r="AK459" s="3">
        <v>51</v>
      </c>
      <c r="AL459" s="3" t="s">
        <v>9278</v>
      </c>
      <c r="AM459" s="3" t="s">
        <v>9279</v>
      </c>
      <c r="AN459" s="3" t="s">
        <v>9280</v>
      </c>
      <c r="AO459" s="3" t="s">
        <v>9281</v>
      </c>
      <c r="AP459" s="3" t="s">
        <v>9282</v>
      </c>
      <c r="AQ459" s="3" t="s">
        <v>74</v>
      </c>
      <c r="AR459" s="3" t="s">
        <v>9283</v>
      </c>
      <c r="AS459" s="3" t="s">
        <v>9284</v>
      </c>
      <c r="AT459" s="3" t="s">
        <v>533</v>
      </c>
      <c r="AU459" s="3">
        <v>2024</v>
      </c>
      <c r="AV459" s="3">
        <v>150</v>
      </c>
      <c r="AW459" s="3">
        <v>4</v>
      </c>
      <c r="AX459" s="3" t="s">
        <v>74</v>
      </c>
      <c r="AY459" s="3" t="s">
        <v>74</v>
      </c>
      <c r="AZ459" s="3" t="s">
        <v>74</v>
      </c>
      <c r="BA459" s="3" t="s">
        <v>74</v>
      </c>
      <c r="BB459" s="3" t="s">
        <v>74</v>
      </c>
      <c r="BC459" s="3" t="s">
        <v>74</v>
      </c>
      <c r="BD459" s="3">
        <v>4024049</v>
      </c>
      <c r="BE459" s="3" t="s">
        <v>9285</v>
      </c>
      <c r="BF459" s="3" t="str">
        <f>HYPERLINK("http://dx.doi.org/10.1061/JUPDDM.UPENG-4691","http://dx.doi.org/10.1061/JUPDDM.UPENG-4691")</f>
        <v>http://dx.doi.org/10.1061/JUPDDM.UPENG-4691</v>
      </c>
      <c r="BG459" s="3" t="s">
        <v>74</v>
      </c>
      <c r="BH459" s="3" t="s">
        <v>74</v>
      </c>
      <c r="BI459" s="3">
        <v>23</v>
      </c>
      <c r="BJ459" s="3" t="s">
        <v>9286</v>
      </c>
      <c r="BK459" s="3" t="s">
        <v>154</v>
      </c>
      <c r="BL459" s="3" t="s">
        <v>9287</v>
      </c>
      <c r="BM459" s="3" t="s">
        <v>9288</v>
      </c>
      <c r="BN459" s="3" t="s">
        <v>74</v>
      </c>
      <c r="BO459" s="3" t="s">
        <v>74</v>
      </c>
      <c r="BP459" s="3" t="s">
        <v>74</v>
      </c>
      <c r="BQ459" s="3" t="s">
        <v>74</v>
      </c>
      <c r="BR459" s="3" t="s">
        <v>101</v>
      </c>
      <c r="BS459" s="3" t="s">
        <v>9289</v>
      </c>
      <c r="BT459" s="3" t="str">
        <f>HYPERLINK("https%3A%2F%2Fwww.webofscience.com%2Fwos%2Fwoscc%2Ffull-record%2FWOS:001336478000010","View Full Record in Web of Science")</f>
        <v>View Full Record in Web of Science</v>
      </c>
      <c r="BU459" s="3"/>
      <c r="BV459" s="3"/>
      <c r="BW459" s="1"/>
    </row>
    <row r="460" spans="1:75" x14ac:dyDescent="0.25">
      <c r="A460" s="3" t="s">
        <v>72</v>
      </c>
      <c r="B460" s="3" t="s">
        <v>9290</v>
      </c>
      <c r="C460" s="3" t="s">
        <v>74</v>
      </c>
      <c r="D460" s="3" t="s">
        <v>74</v>
      </c>
      <c r="E460" s="3" t="s">
        <v>74</v>
      </c>
      <c r="F460" s="3" t="s">
        <v>9291</v>
      </c>
      <c r="G460" s="3" t="s">
        <v>74</v>
      </c>
      <c r="H460" s="3" t="s">
        <v>74</v>
      </c>
      <c r="I460" s="3" t="s">
        <v>9292</v>
      </c>
      <c r="J460" s="3" t="s">
        <v>9293</v>
      </c>
      <c r="K460" s="3" t="s">
        <v>74</v>
      </c>
      <c r="L460" s="3" t="s">
        <v>74</v>
      </c>
      <c r="M460" s="3" t="s">
        <v>110</v>
      </c>
      <c r="N460" s="3" t="s">
        <v>79</v>
      </c>
      <c r="O460" s="3" t="s">
        <v>74</v>
      </c>
      <c r="P460" s="3" t="s">
        <v>74</v>
      </c>
      <c r="Q460" s="3" t="s">
        <v>74</v>
      </c>
      <c r="R460" s="3" t="s">
        <v>74</v>
      </c>
      <c r="S460" s="3" t="s">
        <v>74</v>
      </c>
      <c r="T460" s="3" t="s">
        <v>9294</v>
      </c>
      <c r="U460" s="3" t="s">
        <v>9295</v>
      </c>
      <c r="V460" s="3" t="s">
        <v>9296</v>
      </c>
      <c r="W460" s="3" t="s">
        <v>9297</v>
      </c>
      <c r="X460" s="3" t="s">
        <v>9298</v>
      </c>
      <c r="Y460" s="3" t="s">
        <v>9299</v>
      </c>
      <c r="Z460" s="3" t="s">
        <v>9300</v>
      </c>
      <c r="AA460" s="3" t="s">
        <v>9301</v>
      </c>
      <c r="AB460" s="3" t="s">
        <v>9302</v>
      </c>
      <c r="AC460" s="3" t="s">
        <v>9303</v>
      </c>
      <c r="AD460" s="3" t="s">
        <v>9304</v>
      </c>
      <c r="AE460" s="3" t="s">
        <v>74</v>
      </c>
      <c r="AF460" s="3" t="s">
        <v>74</v>
      </c>
      <c r="AG460" s="3">
        <v>93</v>
      </c>
      <c r="AH460" s="3">
        <v>107</v>
      </c>
      <c r="AI460" s="3">
        <v>128</v>
      </c>
      <c r="AJ460" s="3">
        <v>3</v>
      </c>
      <c r="AK460" s="3">
        <v>208</v>
      </c>
      <c r="AL460" s="3" t="s">
        <v>2239</v>
      </c>
      <c r="AM460" s="3" t="s">
        <v>2240</v>
      </c>
      <c r="AN460" s="3" t="s">
        <v>2241</v>
      </c>
      <c r="AO460" s="3" t="s">
        <v>9305</v>
      </c>
      <c r="AP460" s="3" t="s">
        <v>9306</v>
      </c>
      <c r="AQ460" s="3" t="s">
        <v>74</v>
      </c>
      <c r="AR460" s="3" t="s">
        <v>9307</v>
      </c>
      <c r="AS460" s="3" t="s">
        <v>9308</v>
      </c>
      <c r="AT460" s="3" t="s">
        <v>74</v>
      </c>
      <c r="AU460" s="3">
        <v>2017</v>
      </c>
      <c r="AV460" s="3">
        <v>37</v>
      </c>
      <c r="AW460" s="3">
        <v>1</v>
      </c>
      <c r="AX460" s="3" t="s">
        <v>74</v>
      </c>
      <c r="AY460" s="3" t="s">
        <v>74</v>
      </c>
      <c r="AZ460" s="3" t="s">
        <v>74</v>
      </c>
      <c r="BA460" s="3" t="s">
        <v>74</v>
      </c>
      <c r="BB460" s="3">
        <v>75</v>
      </c>
      <c r="BC460" s="3">
        <v>104</v>
      </c>
      <c r="BD460" s="3" t="s">
        <v>74</v>
      </c>
      <c r="BE460" s="3" t="s">
        <v>9309</v>
      </c>
      <c r="BF460" s="3" t="str">
        <f>HYPERLINK("http://dx.doi.org/10.1108/IJOPM-03-2015-0179","http://dx.doi.org/10.1108/IJOPM-03-2015-0179")</f>
        <v>http://dx.doi.org/10.1108/IJOPM-03-2015-0179</v>
      </c>
      <c r="BG460" s="3" t="s">
        <v>74</v>
      </c>
      <c r="BH460" s="3" t="s">
        <v>74</v>
      </c>
      <c r="BI460" s="3">
        <v>30</v>
      </c>
      <c r="BJ460" s="3" t="s">
        <v>96</v>
      </c>
      <c r="BK460" s="3" t="s">
        <v>264</v>
      </c>
      <c r="BL460" s="3" t="s">
        <v>98</v>
      </c>
      <c r="BM460" s="3" t="s">
        <v>9310</v>
      </c>
      <c r="BN460" s="3" t="s">
        <v>74</v>
      </c>
      <c r="BO460" s="3" t="s">
        <v>683</v>
      </c>
      <c r="BP460" s="3" t="s">
        <v>74</v>
      </c>
      <c r="BQ460" s="3" t="s">
        <v>74</v>
      </c>
      <c r="BR460" s="3" t="s">
        <v>101</v>
      </c>
      <c r="BS460" s="3" t="s">
        <v>9311</v>
      </c>
      <c r="BT460" s="3" t="str">
        <f>HYPERLINK("https%3A%2F%2Fwww.webofscience.com%2Fwos%2Fwoscc%2Ffull-record%2FWOS:000395671400005","View Full Record in Web of Science")</f>
        <v>View Full Record in Web of Science</v>
      </c>
      <c r="BU460" s="3"/>
      <c r="BV460" s="3"/>
      <c r="BW460" s="1"/>
    </row>
    <row r="461" spans="1:75" x14ac:dyDescent="0.25">
      <c r="A461" s="3" t="s">
        <v>72</v>
      </c>
      <c r="B461" s="3" t="s">
        <v>9312</v>
      </c>
      <c r="C461" s="3" t="s">
        <v>74</v>
      </c>
      <c r="D461" s="3" t="s">
        <v>74</v>
      </c>
      <c r="E461" s="3" t="s">
        <v>74</v>
      </c>
      <c r="F461" s="3" t="s">
        <v>9313</v>
      </c>
      <c r="G461" s="3" t="s">
        <v>74</v>
      </c>
      <c r="H461" s="3" t="s">
        <v>74</v>
      </c>
      <c r="I461" s="3" t="s">
        <v>9314</v>
      </c>
      <c r="J461" s="3" t="s">
        <v>9315</v>
      </c>
      <c r="K461" s="3" t="s">
        <v>74</v>
      </c>
      <c r="L461" s="3" t="s">
        <v>74</v>
      </c>
      <c r="M461" s="3" t="s">
        <v>110</v>
      </c>
      <c r="N461" s="3" t="s">
        <v>79</v>
      </c>
      <c r="O461" s="3" t="s">
        <v>74</v>
      </c>
      <c r="P461" s="3" t="s">
        <v>74</v>
      </c>
      <c r="Q461" s="3" t="s">
        <v>74</v>
      </c>
      <c r="R461" s="3" t="s">
        <v>74</v>
      </c>
      <c r="S461" s="3" t="s">
        <v>74</v>
      </c>
      <c r="T461" s="3" t="s">
        <v>9316</v>
      </c>
      <c r="U461" s="3" t="s">
        <v>74</v>
      </c>
      <c r="V461" s="3" t="s">
        <v>9317</v>
      </c>
      <c r="W461" s="3" t="s">
        <v>9318</v>
      </c>
      <c r="X461" s="3" t="s">
        <v>9319</v>
      </c>
      <c r="Y461" s="3" t="s">
        <v>9320</v>
      </c>
      <c r="Z461" s="3" t="s">
        <v>9321</v>
      </c>
      <c r="AA461" s="3" t="s">
        <v>9322</v>
      </c>
      <c r="AB461" s="3" t="s">
        <v>9323</v>
      </c>
      <c r="AC461" s="3" t="s">
        <v>74</v>
      </c>
      <c r="AD461" s="3" t="s">
        <v>74</v>
      </c>
      <c r="AE461" s="3" t="s">
        <v>74</v>
      </c>
      <c r="AF461" s="3" t="s">
        <v>74</v>
      </c>
      <c r="AG461" s="3">
        <v>53</v>
      </c>
      <c r="AH461" s="3">
        <v>47</v>
      </c>
      <c r="AI461" s="3">
        <v>57</v>
      </c>
      <c r="AJ461" s="3">
        <v>0</v>
      </c>
      <c r="AK461" s="3">
        <v>31</v>
      </c>
      <c r="AL461" s="3" t="s">
        <v>2239</v>
      </c>
      <c r="AM461" s="3" t="s">
        <v>2240</v>
      </c>
      <c r="AN461" s="3" t="s">
        <v>2241</v>
      </c>
      <c r="AO461" s="3" t="s">
        <v>9324</v>
      </c>
      <c r="AP461" s="3" t="s">
        <v>9325</v>
      </c>
      <c r="AQ461" s="3" t="s">
        <v>74</v>
      </c>
      <c r="AR461" s="3" t="s">
        <v>9315</v>
      </c>
      <c r="AS461" s="3" t="s">
        <v>9326</v>
      </c>
      <c r="AT461" s="3" t="s">
        <v>9327</v>
      </c>
      <c r="AU461" s="3">
        <v>2021</v>
      </c>
      <c r="AV461" s="3">
        <v>39</v>
      </c>
      <c r="AW461" s="3" t="s">
        <v>9328</v>
      </c>
      <c r="AX461" s="3" t="s">
        <v>74</v>
      </c>
      <c r="AY461" s="3" t="s">
        <v>74</v>
      </c>
      <c r="AZ461" s="3" t="s">
        <v>74</v>
      </c>
      <c r="BA461" s="3" t="s">
        <v>74</v>
      </c>
      <c r="BB461" s="3">
        <v>525</v>
      </c>
      <c r="BC461" s="3">
        <v>537</v>
      </c>
      <c r="BD461" s="3" t="s">
        <v>74</v>
      </c>
      <c r="BE461" s="3" t="s">
        <v>9329</v>
      </c>
      <c r="BF461" s="3" t="str">
        <f>HYPERLINK("http://dx.doi.org/10.1108/F-06-2020-0078","http://dx.doi.org/10.1108/F-06-2020-0078")</f>
        <v>http://dx.doi.org/10.1108/F-06-2020-0078</v>
      </c>
      <c r="BG461" s="3" t="s">
        <v>74</v>
      </c>
      <c r="BH461" s="3" t="s">
        <v>1897</v>
      </c>
      <c r="BI461" s="3">
        <v>13</v>
      </c>
      <c r="BJ461" s="3" t="s">
        <v>96</v>
      </c>
      <c r="BK461" s="3" t="s">
        <v>97</v>
      </c>
      <c r="BL461" s="3" t="s">
        <v>98</v>
      </c>
      <c r="BM461" s="3" t="s">
        <v>9330</v>
      </c>
      <c r="BN461" s="3" t="s">
        <v>74</v>
      </c>
      <c r="BO461" s="3" t="s">
        <v>100</v>
      </c>
      <c r="BP461" s="3" t="s">
        <v>74</v>
      </c>
      <c r="BQ461" s="3" t="s">
        <v>74</v>
      </c>
      <c r="BR461" s="3" t="s">
        <v>101</v>
      </c>
      <c r="BS461" s="3" t="s">
        <v>9331</v>
      </c>
      <c r="BT461" s="3" t="str">
        <f>HYPERLINK("https%3A%2F%2Fwww.webofscience.com%2Fwos%2Fwoscc%2Ffull-record%2FWOS:000603464800001","View Full Record in Web of Science")</f>
        <v>View Full Record in Web of Science</v>
      </c>
      <c r="BU461" s="3"/>
      <c r="BV461" s="3"/>
      <c r="BW461" s="1"/>
    </row>
    <row r="462" spans="1:75" x14ac:dyDescent="0.25">
      <c r="A462" s="3" t="s">
        <v>72</v>
      </c>
      <c r="B462" s="3" t="s">
        <v>9332</v>
      </c>
      <c r="C462" s="3" t="s">
        <v>74</v>
      </c>
      <c r="D462" s="3" t="s">
        <v>74</v>
      </c>
      <c r="E462" s="3" t="s">
        <v>74</v>
      </c>
      <c r="F462" s="3" t="s">
        <v>9333</v>
      </c>
      <c r="G462" s="3" t="s">
        <v>74</v>
      </c>
      <c r="H462" s="3" t="s">
        <v>74</v>
      </c>
      <c r="I462" s="3" t="s">
        <v>9334</v>
      </c>
      <c r="J462" s="3" t="s">
        <v>7764</v>
      </c>
      <c r="K462" s="3" t="s">
        <v>74</v>
      </c>
      <c r="L462" s="3" t="s">
        <v>74</v>
      </c>
      <c r="M462" s="3" t="s">
        <v>110</v>
      </c>
      <c r="N462" s="3" t="s">
        <v>79</v>
      </c>
      <c r="O462" s="3" t="s">
        <v>74</v>
      </c>
      <c r="P462" s="3" t="s">
        <v>74</v>
      </c>
      <c r="Q462" s="3" t="s">
        <v>74</v>
      </c>
      <c r="R462" s="3" t="s">
        <v>74</v>
      </c>
      <c r="S462" s="3" t="s">
        <v>74</v>
      </c>
      <c r="T462" s="3" t="s">
        <v>9335</v>
      </c>
      <c r="U462" s="3" t="s">
        <v>9336</v>
      </c>
      <c r="V462" s="3" t="s">
        <v>9337</v>
      </c>
      <c r="W462" s="3" t="s">
        <v>9338</v>
      </c>
      <c r="X462" s="3" t="s">
        <v>6558</v>
      </c>
      <c r="Y462" s="3" t="s">
        <v>9339</v>
      </c>
      <c r="Z462" s="3" t="s">
        <v>9340</v>
      </c>
      <c r="AA462" s="3" t="s">
        <v>9341</v>
      </c>
      <c r="AB462" s="3" t="s">
        <v>9342</v>
      </c>
      <c r="AC462" s="3" t="s">
        <v>74</v>
      </c>
      <c r="AD462" s="3" t="s">
        <v>74</v>
      </c>
      <c r="AE462" s="3" t="s">
        <v>74</v>
      </c>
      <c r="AF462" s="3" t="s">
        <v>74</v>
      </c>
      <c r="AG462" s="3">
        <v>49</v>
      </c>
      <c r="AH462" s="3">
        <v>11</v>
      </c>
      <c r="AI462" s="3">
        <v>11</v>
      </c>
      <c r="AJ462" s="3">
        <v>0</v>
      </c>
      <c r="AK462" s="3">
        <v>3</v>
      </c>
      <c r="AL462" s="3" t="s">
        <v>846</v>
      </c>
      <c r="AM462" s="3" t="s">
        <v>847</v>
      </c>
      <c r="AN462" s="3" t="s">
        <v>848</v>
      </c>
      <c r="AO462" s="3" t="s">
        <v>74</v>
      </c>
      <c r="AP462" s="3" t="s">
        <v>7775</v>
      </c>
      <c r="AQ462" s="3" t="s">
        <v>74</v>
      </c>
      <c r="AR462" s="3" t="s">
        <v>7776</v>
      </c>
      <c r="AS462" s="3" t="s">
        <v>7777</v>
      </c>
      <c r="AT462" s="3" t="s">
        <v>74</v>
      </c>
      <c r="AU462" s="3">
        <v>2022</v>
      </c>
      <c r="AV462" s="3">
        <v>3</v>
      </c>
      <c r="AW462" s="3" t="s">
        <v>74</v>
      </c>
      <c r="AX462" s="3" t="s">
        <v>74</v>
      </c>
      <c r="AY462" s="3" t="s">
        <v>74</v>
      </c>
      <c r="AZ462" s="3" t="s">
        <v>74</v>
      </c>
      <c r="BA462" s="3" t="s">
        <v>74</v>
      </c>
      <c r="BB462" s="3">
        <v>695</v>
      </c>
      <c r="BC462" s="3">
        <v>708</v>
      </c>
      <c r="BD462" s="3" t="s">
        <v>74</v>
      </c>
      <c r="BE462" s="3" t="s">
        <v>9343</v>
      </c>
      <c r="BF462" s="3" t="str">
        <f>HYPERLINK("http://dx.doi.org/10.1109/OJITS.2022.3211540","http://dx.doi.org/10.1109/OJITS.2022.3211540")</f>
        <v>http://dx.doi.org/10.1109/OJITS.2022.3211540</v>
      </c>
      <c r="BG462" s="3" t="s">
        <v>74</v>
      </c>
      <c r="BH462" s="3" t="s">
        <v>74</v>
      </c>
      <c r="BI462" s="3">
        <v>14</v>
      </c>
      <c r="BJ462" s="3" t="s">
        <v>7779</v>
      </c>
      <c r="BK462" s="3" t="s">
        <v>97</v>
      </c>
      <c r="BL462" s="3" t="s">
        <v>7780</v>
      </c>
      <c r="BM462" s="3" t="s">
        <v>9344</v>
      </c>
      <c r="BN462" s="3" t="s">
        <v>74</v>
      </c>
      <c r="BO462" s="3" t="s">
        <v>100</v>
      </c>
      <c r="BP462" s="3" t="s">
        <v>74</v>
      </c>
      <c r="BQ462" s="3" t="s">
        <v>74</v>
      </c>
      <c r="BR462" s="3" t="s">
        <v>101</v>
      </c>
      <c r="BS462" s="3" t="s">
        <v>9345</v>
      </c>
      <c r="BT462" s="3" t="str">
        <f>HYPERLINK("https%3A%2F%2Fwww.webofscience.com%2Fwos%2Fwoscc%2Ffull-record%2FWOS:000868316500001","View Full Record in Web of Science")</f>
        <v>View Full Record in Web of Science</v>
      </c>
      <c r="BU462" s="3"/>
      <c r="BV462" s="3"/>
      <c r="BW462" s="1"/>
    </row>
    <row r="463" spans="1:75" x14ac:dyDescent="0.25">
      <c r="A463" s="3" t="s">
        <v>72</v>
      </c>
      <c r="B463" s="3" t="s">
        <v>9346</v>
      </c>
      <c r="C463" s="3" t="s">
        <v>74</v>
      </c>
      <c r="D463" s="3" t="s">
        <v>74</v>
      </c>
      <c r="E463" s="3" t="s">
        <v>74</v>
      </c>
      <c r="F463" s="3" t="s">
        <v>9347</v>
      </c>
      <c r="G463" s="3" t="s">
        <v>74</v>
      </c>
      <c r="H463" s="3" t="s">
        <v>74</v>
      </c>
      <c r="I463" s="3" t="s">
        <v>9348</v>
      </c>
      <c r="J463" s="3" t="s">
        <v>9349</v>
      </c>
      <c r="K463" s="3" t="s">
        <v>74</v>
      </c>
      <c r="L463" s="3" t="s">
        <v>74</v>
      </c>
      <c r="M463" s="3" t="s">
        <v>110</v>
      </c>
      <c r="N463" s="3" t="s">
        <v>9350</v>
      </c>
      <c r="O463" s="3" t="s">
        <v>74</v>
      </c>
      <c r="P463" s="3" t="s">
        <v>74</v>
      </c>
      <c r="Q463" s="3" t="s">
        <v>74</v>
      </c>
      <c r="R463" s="3" t="s">
        <v>74</v>
      </c>
      <c r="S463" s="3" t="s">
        <v>74</v>
      </c>
      <c r="T463" s="3" t="s">
        <v>74</v>
      </c>
      <c r="U463" s="3" t="s">
        <v>74</v>
      </c>
      <c r="V463" s="3" t="s">
        <v>9351</v>
      </c>
      <c r="W463" s="3" t="s">
        <v>9352</v>
      </c>
      <c r="X463" s="3" t="s">
        <v>74</v>
      </c>
      <c r="Y463" s="3" t="s">
        <v>9353</v>
      </c>
      <c r="Z463" s="3" t="s">
        <v>9354</v>
      </c>
      <c r="AA463" s="3" t="s">
        <v>74</v>
      </c>
      <c r="AB463" s="3" t="s">
        <v>74</v>
      </c>
      <c r="AC463" s="3" t="s">
        <v>74</v>
      </c>
      <c r="AD463" s="3" t="s">
        <v>74</v>
      </c>
      <c r="AE463" s="3" t="s">
        <v>74</v>
      </c>
      <c r="AF463" s="3" t="s">
        <v>74</v>
      </c>
      <c r="AG463" s="3">
        <v>24</v>
      </c>
      <c r="AH463" s="3">
        <v>4</v>
      </c>
      <c r="AI463" s="3">
        <v>5</v>
      </c>
      <c r="AJ463" s="3">
        <v>0</v>
      </c>
      <c r="AK463" s="3">
        <v>12</v>
      </c>
      <c r="AL463" s="3" t="s">
        <v>401</v>
      </c>
      <c r="AM463" s="3" t="s">
        <v>402</v>
      </c>
      <c r="AN463" s="3" t="s">
        <v>403</v>
      </c>
      <c r="AO463" s="3" t="s">
        <v>9355</v>
      </c>
      <c r="AP463" s="3" t="s">
        <v>9356</v>
      </c>
      <c r="AQ463" s="3" t="s">
        <v>74</v>
      </c>
      <c r="AR463" s="3" t="s">
        <v>9357</v>
      </c>
      <c r="AS463" s="3" t="s">
        <v>9358</v>
      </c>
      <c r="AT463" s="3" t="s">
        <v>9359</v>
      </c>
      <c r="AU463" s="3">
        <v>2022</v>
      </c>
      <c r="AV463" s="3">
        <v>2022</v>
      </c>
      <c r="AW463" s="3" t="s">
        <v>74</v>
      </c>
      <c r="AX463" s="3" t="s">
        <v>74</v>
      </c>
      <c r="AY463" s="3" t="s">
        <v>74</v>
      </c>
      <c r="AZ463" s="3" t="s">
        <v>74</v>
      </c>
      <c r="BA463" s="3" t="s">
        <v>74</v>
      </c>
      <c r="BB463" s="3" t="s">
        <v>74</v>
      </c>
      <c r="BC463" s="3" t="s">
        <v>74</v>
      </c>
      <c r="BD463" s="3">
        <v>6001355</v>
      </c>
      <c r="BE463" s="3" t="s">
        <v>9360</v>
      </c>
      <c r="BF463" s="3" t="str">
        <f>HYPERLINK("http://dx.doi.org/10.1155/2022/6001355","http://dx.doi.org/10.1155/2022/6001355")</f>
        <v>http://dx.doi.org/10.1155/2022/6001355</v>
      </c>
      <c r="BG463" s="3" t="s">
        <v>74</v>
      </c>
      <c r="BH463" s="3" t="s">
        <v>74</v>
      </c>
      <c r="BI463" s="3">
        <v>11</v>
      </c>
      <c r="BJ463" s="3" t="s">
        <v>4524</v>
      </c>
      <c r="BK463" s="3" t="s">
        <v>97</v>
      </c>
      <c r="BL463" s="3" t="s">
        <v>2601</v>
      </c>
      <c r="BM463" s="3" t="s">
        <v>9361</v>
      </c>
      <c r="BN463" s="3" t="s">
        <v>74</v>
      </c>
      <c r="BO463" s="3" t="s">
        <v>100</v>
      </c>
      <c r="BP463" s="3" t="s">
        <v>74</v>
      </c>
      <c r="BQ463" s="3" t="s">
        <v>74</v>
      </c>
      <c r="BR463" s="3" t="s">
        <v>101</v>
      </c>
      <c r="BS463" s="3" t="s">
        <v>9362</v>
      </c>
      <c r="BT463" s="3" t="str">
        <f>HYPERLINK("https%3A%2F%2Fwww.webofscience.com%2Fwos%2Fwoscc%2Ffull-record%2FWOS:000891176900001","View Full Record in Web of Science")</f>
        <v>View Full Record in Web of Science</v>
      </c>
      <c r="BU463" s="3"/>
      <c r="BV463" s="3"/>
      <c r="BW463" s="1"/>
    </row>
    <row r="464" spans="1:75" x14ac:dyDescent="0.25">
      <c r="A464" s="3" t="s">
        <v>72</v>
      </c>
      <c r="B464" s="3" t="s">
        <v>9363</v>
      </c>
      <c r="C464" s="3" t="s">
        <v>74</v>
      </c>
      <c r="D464" s="3" t="s">
        <v>74</v>
      </c>
      <c r="E464" s="3" t="s">
        <v>74</v>
      </c>
      <c r="F464" s="3" t="s">
        <v>9364</v>
      </c>
      <c r="G464" s="3" t="s">
        <v>74</v>
      </c>
      <c r="H464" s="3" t="s">
        <v>74</v>
      </c>
      <c r="I464" s="3" t="s">
        <v>9365</v>
      </c>
      <c r="J464" s="3" t="s">
        <v>9089</v>
      </c>
      <c r="K464" s="3" t="s">
        <v>74</v>
      </c>
      <c r="L464" s="3" t="s">
        <v>74</v>
      </c>
      <c r="M464" s="3" t="s">
        <v>110</v>
      </c>
      <c r="N464" s="3" t="s">
        <v>79</v>
      </c>
      <c r="O464" s="3" t="s">
        <v>74</v>
      </c>
      <c r="P464" s="3" t="s">
        <v>74</v>
      </c>
      <c r="Q464" s="3" t="s">
        <v>74</v>
      </c>
      <c r="R464" s="3" t="s">
        <v>74</v>
      </c>
      <c r="S464" s="3" t="s">
        <v>74</v>
      </c>
      <c r="T464" s="3" t="s">
        <v>9366</v>
      </c>
      <c r="U464" s="3" t="s">
        <v>9367</v>
      </c>
      <c r="V464" s="3" t="s">
        <v>9368</v>
      </c>
      <c r="W464" s="3" t="s">
        <v>9369</v>
      </c>
      <c r="X464" s="3" t="s">
        <v>9370</v>
      </c>
      <c r="Y464" s="3" t="s">
        <v>9371</v>
      </c>
      <c r="Z464" s="3" t="s">
        <v>9372</v>
      </c>
      <c r="AA464" s="3" t="s">
        <v>9373</v>
      </c>
      <c r="AB464" s="3" t="s">
        <v>9374</v>
      </c>
      <c r="AC464" s="3" t="s">
        <v>9375</v>
      </c>
      <c r="AD464" s="3" t="s">
        <v>9376</v>
      </c>
      <c r="AE464" s="3" t="s">
        <v>9377</v>
      </c>
      <c r="AF464" s="3" t="s">
        <v>74</v>
      </c>
      <c r="AG464" s="3">
        <v>27</v>
      </c>
      <c r="AH464" s="3">
        <v>27</v>
      </c>
      <c r="AI464" s="3">
        <v>31</v>
      </c>
      <c r="AJ464" s="3">
        <v>0</v>
      </c>
      <c r="AK464" s="3">
        <v>22</v>
      </c>
      <c r="AL464" s="3" t="s">
        <v>846</v>
      </c>
      <c r="AM464" s="3" t="s">
        <v>847</v>
      </c>
      <c r="AN464" s="3" t="s">
        <v>848</v>
      </c>
      <c r="AO464" s="3" t="s">
        <v>9101</v>
      </c>
      <c r="AP464" s="3" t="s">
        <v>9102</v>
      </c>
      <c r="AQ464" s="3" t="s">
        <v>74</v>
      </c>
      <c r="AR464" s="3" t="s">
        <v>9103</v>
      </c>
      <c r="AS464" s="3" t="s">
        <v>9104</v>
      </c>
      <c r="AT464" s="3" t="s">
        <v>9378</v>
      </c>
      <c r="AU464" s="3">
        <v>2020</v>
      </c>
      <c r="AV464" s="3">
        <v>20</v>
      </c>
      <c r="AW464" s="3">
        <v>24</v>
      </c>
      <c r="AX464" s="3" t="s">
        <v>74</v>
      </c>
      <c r="AY464" s="3" t="s">
        <v>74</v>
      </c>
      <c r="AZ464" s="3" t="s">
        <v>74</v>
      </c>
      <c r="BA464" s="3" t="s">
        <v>74</v>
      </c>
      <c r="BB464" s="3">
        <v>14873</v>
      </c>
      <c r="BC464" s="3">
        <v>14881</v>
      </c>
      <c r="BD464" s="3" t="s">
        <v>74</v>
      </c>
      <c r="BE464" s="3" t="s">
        <v>9379</v>
      </c>
      <c r="BF464" s="3" t="str">
        <f>HYPERLINK("http://dx.doi.org/10.1109/JSEN.2020.3010675","http://dx.doi.org/10.1109/JSEN.2020.3010675")</f>
        <v>http://dx.doi.org/10.1109/JSEN.2020.3010675</v>
      </c>
      <c r="BG464" s="3" t="s">
        <v>74</v>
      </c>
      <c r="BH464" s="3" t="s">
        <v>74</v>
      </c>
      <c r="BI464" s="3">
        <v>9</v>
      </c>
      <c r="BJ464" s="3" t="s">
        <v>9106</v>
      </c>
      <c r="BK464" s="3" t="s">
        <v>179</v>
      </c>
      <c r="BL464" s="3" t="s">
        <v>9107</v>
      </c>
      <c r="BM464" s="3" t="s">
        <v>9380</v>
      </c>
      <c r="BN464" s="3" t="s">
        <v>74</v>
      </c>
      <c r="BO464" s="3" t="s">
        <v>74</v>
      </c>
      <c r="BP464" s="3" t="s">
        <v>74</v>
      </c>
      <c r="BQ464" s="3" t="s">
        <v>74</v>
      </c>
      <c r="BR464" s="3" t="s">
        <v>101</v>
      </c>
      <c r="BS464" s="3" t="s">
        <v>9381</v>
      </c>
      <c r="BT464" s="3" t="str">
        <f>HYPERLINK("https%3A%2F%2Fwww.webofscience.com%2Fwos%2Fwoscc%2Ffull-record%2FWOS:000591835900037","View Full Record in Web of Science")</f>
        <v>View Full Record in Web of Science</v>
      </c>
      <c r="BU464" s="3"/>
      <c r="BV464" s="3"/>
      <c r="BW464" s="1"/>
    </row>
    <row r="465" spans="1:75" x14ac:dyDescent="0.25">
      <c r="A465" s="3" t="s">
        <v>72</v>
      </c>
      <c r="B465" s="3" t="s">
        <v>9382</v>
      </c>
      <c r="C465" s="3" t="s">
        <v>74</v>
      </c>
      <c r="D465" s="3" t="s">
        <v>74</v>
      </c>
      <c r="E465" s="3" t="s">
        <v>74</v>
      </c>
      <c r="F465" s="3" t="s">
        <v>9383</v>
      </c>
      <c r="G465" s="3" t="s">
        <v>74</v>
      </c>
      <c r="H465" s="3" t="s">
        <v>74</v>
      </c>
      <c r="I465" s="3" t="s">
        <v>9384</v>
      </c>
      <c r="J465" s="3" t="s">
        <v>835</v>
      </c>
      <c r="K465" s="3" t="s">
        <v>74</v>
      </c>
      <c r="L465" s="3" t="s">
        <v>74</v>
      </c>
      <c r="M465" s="3" t="s">
        <v>110</v>
      </c>
      <c r="N465" s="3" t="s">
        <v>79</v>
      </c>
      <c r="O465" s="3" t="s">
        <v>74</v>
      </c>
      <c r="P465" s="3" t="s">
        <v>74</v>
      </c>
      <c r="Q465" s="3" t="s">
        <v>74</v>
      </c>
      <c r="R465" s="3" t="s">
        <v>74</v>
      </c>
      <c r="S465" s="3" t="s">
        <v>74</v>
      </c>
      <c r="T465" s="3" t="s">
        <v>9385</v>
      </c>
      <c r="U465" s="3" t="s">
        <v>9386</v>
      </c>
      <c r="V465" s="3" t="s">
        <v>9387</v>
      </c>
      <c r="W465" s="3" t="s">
        <v>9388</v>
      </c>
      <c r="X465" s="3" t="s">
        <v>9389</v>
      </c>
      <c r="Y465" s="3" t="s">
        <v>9390</v>
      </c>
      <c r="Z465" s="3" t="s">
        <v>6173</v>
      </c>
      <c r="AA465" s="3" t="s">
        <v>9391</v>
      </c>
      <c r="AB465" s="3" t="s">
        <v>9392</v>
      </c>
      <c r="AC465" s="3" t="s">
        <v>9393</v>
      </c>
      <c r="AD465" s="3" t="s">
        <v>9393</v>
      </c>
      <c r="AE465" s="3" t="s">
        <v>9394</v>
      </c>
      <c r="AF465" s="3" t="s">
        <v>74</v>
      </c>
      <c r="AG465" s="3">
        <v>54</v>
      </c>
      <c r="AH465" s="3">
        <v>14</v>
      </c>
      <c r="AI465" s="3">
        <v>15</v>
      </c>
      <c r="AJ465" s="3">
        <v>1</v>
      </c>
      <c r="AK465" s="3">
        <v>14</v>
      </c>
      <c r="AL465" s="3" t="s">
        <v>846</v>
      </c>
      <c r="AM465" s="3" t="s">
        <v>847</v>
      </c>
      <c r="AN465" s="3" t="s">
        <v>848</v>
      </c>
      <c r="AO465" s="3" t="s">
        <v>849</v>
      </c>
      <c r="AP465" s="3" t="s">
        <v>74</v>
      </c>
      <c r="AQ465" s="3" t="s">
        <v>74</v>
      </c>
      <c r="AR465" s="3" t="s">
        <v>835</v>
      </c>
      <c r="AS465" s="3" t="s">
        <v>850</v>
      </c>
      <c r="AT465" s="3" t="s">
        <v>74</v>
      </c>
      <c r="AU465" s="3">
        <v>2021</v>
      </c>
      <c r="AV465" s="3">
        <v>9</v>
      </c>
      <c r="AW465" s="3" t="s">
        <v>74</v>
      </c>
      <c r="AX465" s="3" t="s">
        <v>74</v>
      </c>
      <c r="AY465" s="3" t="s">
        <v>74</v>
      </c>
      <c r="AZ465" s="3" t="s">
        <v>74</v>
      </c>
      <c r="BA465" s="3" t="s">
        <v>74</v>
      </c>
      <c r="BB465" s="3">
        <v>157842</v>
      </c>
      <c r="BC465" s="3">
        <v>157858</v>
      </c>
      <c r="BD465" s="3" t="s">
        <v>74</v>
      </c>
      <c r="BE465" s="3" t="s">
        <v>9395</v>
      </c>
      <c r="BF465" s="3" t="str">
        <f>HYPERLINK("http://dx.doi.org/10.1109/ACCESS.2021.3130125","http://dx.doi.org/10.1109/ACCESS.2021.3130125")</f>
        <v>http://dx.doi.org/10.1109/ACCESS.2021.3130125</v>
      </c>
      <c r="BG465" s="3" t="s">
        <v>74</v>
      </c>
      <c r="BH465" s="3" t="s">
        <v>74</v>
      </c>
      <c r="BI465" s="3">
        <v>17</v>
      </c>
      <c r="BJ465" s="3" t="s">
        <v>852</v>
      </c>
      <c r="BK465" s="3" t="s">
        <v>179</v>
      </c>
      <c r="BL465" s="3" t="s">
        <v>853</v>
      </c>
      <c r="BM465" s="3" t="s">
        <v>9396</v>
      </c>
      <c r="BN465" s="3" t="s">
        <v>74</v>
      </c>
      <c r="BO465" s="3" t="s">
        <v>133</v>
      </c>
      <c r="BP465" s="3" t="s">
        <v>74</v>
      </c>
      <c r="BQ465" s="3" t="s">
        <v>74</v>
      </c>
      <c r="BR465" s="3" t="s">
        <v>101</v>
      </c>
      <c r="BS465" s="3" t="s">
        <v>9397</v>
      </c>
      <c r="BT465" s="3" t="str">
        <f>HYPERLINK("https%3A%2F%2Fwww.webofscience.com%2Fwos%2Fwoscc%2Ffull-record%2FWOS:000730455600001","View Full Record in Web of Science")</f>
        <v>View Full Record in Web of Science</v>
      </c>
      <c r="BU465" s="3"/>
      <c r="BV465" s="3"/>
      <c r="BW465" s="1"/>
    </row>
    <row r="466" spans="1:75" x14ac:dyDescent="0.25">
      <c r="A466" s="3" t="s">
        <v>72</v>
      </c>
      <c r="B466" s="3" t="s">
        <v>9398</v>
      </c>
      <c r="C466" s="3" t="s">
        <v>74</v>
      </c>
      <c r="D466" s="3" t="s">
        <v>74</v>
      </c>
      <c r="E466" s="3" t="s">
        <v>74</v>
      </c>
      <c r="F466" s="3" t="s">
        <v>9399</v>
      </c>
      <c r="G466" s="3" t="s">
        <v>74</v>
      </c>
      <c r="H466" s="3" t="s">
        <v>74</v>
      </c>
      <c r="I466" s="3" t="s">
        <v>9400</v>
      </c>
      <c r="J466" s="3" t="s">
        <v>6074</v>
      </c>
      <c r="K466" s="3" t="s">
        <v>74</v>
      </c>
      <c r="L466" s="3" t="s">
        <v>74</v>
      </c>
      <c r="M466" s="3" t="s">
        <v>110</v>
      </c>
      <c r="N466" s="3" t="s">
        <v>216</v>
      </c>
      <c r="O466" s="3" t="s">
        <v>74</v>
      </c>
      <c r="P466" s="3" t="s">
        <v>74</v>
      </c>
      <c r="Q466" s="3" t="s">
        <v>74</v>
      </c>
      <c r="R466" s="3" t="s">
        <v>74</v>
      </c>
      <c r="S466" s="3" t="s">
        <v>74</v>
      </c>
      <c r="T466" s="3" t="s">
        <v>9401</v>
      </c>
      <c r="U466" s="3" t="s">
        <v>9402</v>
      </c>
      <c r="V466" s="3" t="s">
        <v>9403</v>
      </c>
      <c r="W466" s="3" t="s">
        <v>9404</v>
      </c>
      <c r="X466" s="3" t="s">
        <v>9405</v>
      </c>
      <c r="Y466" s="3" t="s">
        <v>9406</v>
      </c>
      <c r="Z466" s="3" t="s">
        <v>9407</v>
      </c>
      <c r="AA466" s="3" t="s">
        <v>9408</v>
      </c>
      <c r="AB466" s="3" t="s">
        <v>9409</v>
      </c>
      <c r="AC466" s="3" t="s">
        <v>74</v>
      </c>
      <c r="AD466" s="3" t="s">
        <v>74</v>
      </c>
      <c r="AE466" s="3" t="s">
        <v>74</v>
      </c>
      <c r="AF466" s="3" t="s">
        <v>74</v>
      </c>
      <c r="AG466" s="3">
        <v>65</v>
      </c>
      <c r="AH466" s="3">
        <v>22</v>
      </c>
      <c r="AI466" s="3">
        <v>24</v>
      </c>
      <c r="AJ466" s="3">
        <v>1</v>
      </c>
      <c r="AK466" s="3">
        <v>39</v>
      </c>
      <c r="AL466" s="3" t="s">
        <v>145</v>
      </c>
      <c r="AM466" s="3" t="s">
        <v>146</v>
      </c>
      <c r="AN466" s="3" t="s">
        <v>279</v>
      </c>
      <c r="AO466" s="3" t="s">
        <v>74</v>
      </c>
      <c r="AP466" s="3" t="s">
        <v>6086</v>
      </c>
      <c r="AQ466" s="3" t="s">
        <v>74</v>
      </c>
      <c r="AR466" s="3" t="s">
        <v>6074</v>
      </c>
      <c r="AS466" s="3" t="s">
        <v>6087</v>
      </c>
      <c r="AT466" s="3" t="s">
        <v>1164</v>
      </c>
      <c r="AU466" s="3">
        <v>2020</v>
      </c>
      <c r="AV466" s="3">
        <v>8</v>
      </c>
      <c r="AW466" s="3">
        <v>10</v>
      </c>
      <c r="AX466" s="3" t="s">
        <v>74</v>
      </c>
      <c r="AY466" s="3" t="s">
        <v>74</v>
      </c>
      <c r="AZ466" s="3" t="s">
        <v>74</v>
      </c>
      <c r="BA466" s="3" t="s">
        <v>74</v>
      </c>
      <c r="BB466" s="3" t="s">
        <v>74</v>
      </c>
      <c r="BC466" s="3" t="s">
        <v>74</v>
      </c>
      <c r="BD466" s="3">
        <v>1261</v>
      </c>
      <c r="BE466" s="3" t="s">
        <v>9410</v>
      </c>
      <c r="BF466" s="3" t="str">
        <f>HYPERLINK("http://dx.doi.org/10.3390/pr8101261","http://dx.doi.org/10.3390/pr8101261")</f>
        <v>http://dx.doi.org/10.3390/pr8101261</v>
      </c>
      <c r="BG466" s="3" t="s">
        <v>74</v>
      </c>
      <c r="BH466" s="3" t="s">
        <v>74</v>
      </c>
      <c r="BI466" s="3">
        <v>32</v>
      </c>
      <c r="BJ466" s="3" t="s">
        <v>6089</v>
      </c>
      <c r="BK466" s="3" t="s">
        <v>179</v>
      </c>
      <c r="BL466" s="3" t="s">
        <v>2601</v>
      </c>
      <c r="BM466" s="3" t="s">
        <v>9411</v>
      </c>
      <c r="BN466" s="3" t="s">
        <v>74</v>
      </c>
      <c r="BO466" s="3" t="s">
        <v>133</v>
      </c>
      <c r="BP466" s="3" t="s">
        <v>74</v>
      </c>
      <c r="BQ466" s="3" t="s">
        <v>74</v>
      </c>
      <c r="BR466" s="3" t="s">
        <v>101</v>
      </c>
      <c r="BS466" s="3" t="s">
        <v>9412</v>
      </c>
      <c r="BT466" s="3" t="str">
        <f>HYPERLINK("https%3A%2F%2Fwww.webofscience.com%2Fwos%2Fwoscc%2Ffull-record%2FWOS:000585524900001","View Full Record in Web of Science")</f>
        <v>View Full Record in Web of Science</v>
      </c>
      <c r="BU466" s="3"/>
      <c r="BV466" s="3"/>
      <c r="BW466" s="1"/>
    </row>
    <row r="467" spans="1:75" x14ac:dyDescent="0.25">
      <c r="A467" s="3" t="s">
        <v>72</v>
      </c>
      <c r="B467" s="3" t="s">
        <v>9413</v>
      </c>
      <c r="C467" s="3" t="s">
        <v>74</v>
      </c>
      <c r="D467" s="3" t="s">
        <v>74</v>
      </c>
      <c r="E467" s="3" t="s">
        <v>74</v>
      </c>
      <c r="F467" s="3" t="s">
        <v>9414</v>
      </c>
      <c r="G467" s="3" t="s">
        <v>74</v>
      </c>
      <c r="H467" s="3" t="s">
        <v>74</v>
      </c>
      <c r="I467" s="3" t="s">
        <v>9415</v>
      </c>
      <c r="J467" s="3" t="s">
        <v>8758</v>
      </c>
      <c r="K467" s="3" t="s">
        <v>74</v>
      </c>
      <c r="L467" s="3" t="s">
        <v>74</v>
      </c>
      <c r="M467" s="3" t="s">
        <v>110</v>
      </c>
      <c r="N467" s="3" t="s">
        <v>79</v>
      </c>
      <c r="O467" s="3" t="s">
        <v>74</v>
      </c>
      <c r="P467" s="3" t="s">
        <v>74</v>
      </c>
      <c r="Q467" s="3" t="s">
        <v>74</v>
      </c>
      <c r="R467" s="3" t="s">
        <v>74</v>
      </c>
      <c r="S467" s="3" t="s">
        <v>74</v>
      </c>
      <c r="T467" s="3" t="s">
        <v>9416</v>
      </c>
      <c r="U467" s="3" t="s">
        <v>9417</v>
      </c>
      <c r="V467" s="3" t="s">
        <v>9418</v>
      </c>
      <c r="W467" s="3" t="s">
        <v>9419</v>
      </c>
      <c r="X467" s="3" t="s">
        <v>9420</v>
      </c>
      <c r="Y467" s="3" t="s">
        <v>9421</v>
      </c>
      <c r="Z467" s="3" t="s">
        <v>9422</v>
      </c>
      <c r="AA467" s="3" t="s">
        <v>74</v>
      </c>
      <c r="AB467" s="3" t="s">
        <v>9423</v>
      </c>
      <c r="AC467" s="3" t="s">
        <v>74</v>
      </c>
      <c r="AD467" s="3" t="s">
        <v>74</v>
      </c>
      <c r="AE467" s="3" t="s">
        <v>74</v>
      </c>
      <c r="AF467" s="3" t="s">
        <v>74</v>
      </c>
      <c r="AG467" s="3">
        <v>118</v>
      </c>
      <c r="AH467" s="3">
        <v>33</v>
      </c>
      <c r="AI467" s="3">
        <v>38</v>
      </c>
      <c r="AJ467" s="3">
        <v>3</v>
      </c>
      <c r="AK467" s="3">
        <v>87</v>
      </c>
      <c r="AL467" s="3" t="s">
        <v>2239</v>
      </c>
      <c r="AM467" s="3" t="s">
        <v>2240</v>
      </c>
      <c r="AN467" s="3" t="s">
        <v>2241</v>
      </c>
      <c r="AO467" s="3" t="s">
        <v>8767</v>
      </c>
      <c r="AP467" s="3" t="s">
        <v>8768</v>
      </c>
      <c r="AQ467" s="3" t="s">
        <v>74</v>
      </c>
      <c r="AR467" s="3" t="s">
        <v>8769</v>
      </c>
      <c r="AS467" s="3" t="s">
        <v>8770</v>
      </c>
      <c r="AT467" s="3" t="s">
        <v>74</v>
      </c>
      <c r="AU467" s="3">
        <v>2018</v>
      </c>
      <c r="AV467" s="3">
        <v>29</v>
      </c>
      <c r="AW467" s="3">
        <v>1</v>
      </c>
      <c r="AX467" s="3" t="s">
        <v>74</v>
      </c>
      <c r="AY467" s="3" t="s">
        <v>74</v>
      </c>
      <c r="AZ467" s="3" t="s">
        <v>74</v>
      </c>
      <c r="BA467" s="3" t="s">
        <v>74</v>
      </c>
      <c r="BB467" s="3">
        <v>110</v>
      </c>
      <c r="BC467" s="3">
        <v>130</v>
      </c>
      <c r="BD467" s="3" t="s">
        <v>74</v>
      </c>
      <c r="BE467" s="3" t="s">
        <v>9424</v>
      </c>
      <c r="BF467" s="3" t="str">
        <f>HYPERLINK("http://dx.doi.org/10.1108/IJLM-10-2016-0247","http://dx.doi.org/10.1108/IJLM-10-2016-0247")</f>
        <v>http://dx.doi.org/10.1108/IJLM-10-2016-0247</v>
      </c>
      <c r="BG467" s="3" t="s">
        <v>74</v>
      </c>
      <c r="BH467" s="3" t="s">
        <v>74</v>
      </c>
      <c r="BI467" s="3">
        <v>21</v>
      </c>
      <c r="BJ467" s="3" t="s">
        <v>96</v>
      </c>
      <c r="BK467" s="3" t="s">
        <v>264</v>
      </c>
      <c r="BL467" s="3" t="s">
        <v>98</v>
      </c>
      <c r="BM467" s="3" t="s">
        <v>9425</v>
      </c>
      <c r="BN467" s="3" t="s">
        <v>74</v>
      </c>
      <c r="BO467" s="3" t="s">
        <v>74</v>
      </c>
      <c r="BP467" s="3" t="s">
        <v>74</v>
      </c>
      <c r="BQ467" s="3" t="s">
        <v>74</v>
      </c>
      <c r="BR467" s="3" t="s">
        <v>101</v>
      </c>
      <c r="BS467" s="3" t="s">
        <v>9426</v>
      </c>
      <c r="BT467" s="3" t="str">
        <f>HYPERLINK("https%3A%2F%2Fwww.webofscience.com%2Fwos%2Fwoscc%2Ffull-record%2FWOS:000425751200007","View Full Record in Web of Science")</f>
        <v>View Full Record in Web of Science</v>
      </c>
      <c r="BU467" s="3"/>
      <c r="BV467" s="3"/>
      <c r="BW467" s="1"/>
    </row>
    <row r="468" spans="1:75" x14ac:dyDescent="0.25">
      <c r="A468" s="3" t="s">
        <v>72</v>
      </c>
      <c r="B468" s="3" t="s">
        <v>9427</v>
      </c>
      <c r="C468" s="3" t="s">
        <v>74</v>
      </c>
      <c r="D468" s="3" t="s">
        <v>74</v>
      </c>
      <c r="E468" s="3" t="s">
        <v>74</v>
      </c>
      <c r="F468" s="3" t="s">
        <v>9428</v>
      </c>
      <c r="G468" s="3" t="s">
        <v>74</v>
      </c>
      <c r="H468" s="3" t="s">
        <v>74</v>
      </c>
      <c r="I468" s="3" t="s">
        <v>9429</v>
      </c>
      <c r="J468" s="3" t="s">
        <v>4350</v>
      </c>
      <c r="K468" s="3" t="s">
        <v>74</v>
      </c>
      <c r="L468" s="3" t="s">
        <v>74</v>
      </c>
      <c r="M468" s="3" t="s">
        <v>110</v>
      </c>
      <c r="N468" s="3" t="s">
        <v>79</v>
      </c>
      <c r="O468" s="3" t="s">
        <v>74</v>
      </c>
      <c r="P468" s="3" t="s">
        <v>74</v>
      </c>
      <c r="Q468" s="3" t="s">
        <v>74</v>
      </c>
      <c r="R468" s="3" t="s">
        <v>74</v>
      </c>
      <c r="S468" s="3" t="s">
        <v>74</v>
      </c>
      <c r="T468" s="3" t="s">
        <v>9430</v>
      </c>
      <c r="U468" s="3" t="s">
        <v>9431</v>
      </c>
      <c r="V468" s="3" t="s">
        <v>9432</v>
      </c>
      <c r="W468" s="3" t="s">
        <v>9433</v>
      </c>
      <c r="X468" s="3" t="s">
        <v>9434</v>
      </c>
      <c r="Y468" s="3" t="s">
        <v>9435</v>
      </c>
      <c r="Z468" s="3" t="s">
        <v>9436</v>
      </c>
      <c r="AA468" s="3" t="s">
        <v>9437</v>
      </c>
      <c r="AB468" s="3" t="s">
        <v>9438</v>
      </c>
      <c r="AC468" s="3" t="s">
        <v>9439</v>
      </c>
      <c r="AD468" s="3" t="s">
        <v>9440</v>
      </c>
      <c r="AE468" s="3" t="s">
        <v>9441</v>
      </c>
      <c r="AF468" s="3" t="s">
        <v>74</v>
      </c>
      <c r="AG468" s="3">
        <v>121</v>
      </c>
      <c r="AH468" s="3">
        <v>6</v>
      </c>
      <c r="AI468" s="3">
        <v>7</v>
      </c>
      <c r="AJ468" s="3">
        <v>2</v>
      </c>
      <c r="AK468" s="3">
        <v>15</v>
      </c>
      <c r="AL468" s="3" t="s">
        <v>2239</v>
      </c>
      <c r="AM468" s="3" t="s">
        <v>2240</v>
      </c>
      <c r="AN468" s="3" t="s">
        <v>2241</v>
      </c>
      <c r="AO468" s="3" t="s">
        <v>4360</v>
      </c>
      <c r="AP468" s="3" t="s">
        <v>4361</v>
      </c>
      <c r="AQ468" s="3" t="s">
        <v>74</v>
      </c>
      <c r="AR468" s="3" t="s">
        <v>4362</v>
      </c>
      <c r="AS468" s="3" t="s">
        <v>4363</v>
      </c>
      <c r="AT468" s="3" t="s">
        <v>9442</v>
      </c>
      <c r="AU468" s="3">
        <v>2023</v>
      </c>
      <c r="AV468" s="3">
        <v>12</v>
      </c>
      <c r="AW468" s="3">
        <v>2</v>
      </c>
      <c r="AX468" s="3" t="s">
        <v>74</v>
      </c>
      <c r="AY468" s="3" t="s">
        <v>74</v>
      </c>
      <c r="AZ468" s="3" t="s">
        <v>74</v>
      </c>
      <c r="BA468" s="3" t="s">
        <v>74</v>
      </c>
      <c r="BB468" s="3">
        <v>385</v>
      </c>
      <c r="BC468" s="3">
        <v>406</v>
      </c>
      <c r="BD468" s="3" t="s">
        <v>74</v>
      </c>
      <c r="BE468" s="3" t="s">
        <v>9443</v>
      </c>
      <c r="BF468" s="3" t="str">
        <f>HYPERLINK("http://dx.doi.org/10.1108/SASBE-06-2021-0094","http://dx.doi.org/10.1108/SASBE-06-2021-0094")</f>
        <v>http://dx.doi.org/10.1108/SASBE-06-2021-0094</v>
      </c>
      <c r="BG468" s="3" t="s">
        <v>74</v>
      </c>
      <c r="BH468" s="3" t="s">
        <v>1429</v>
      </c>
      <c r="BI468" s="3">
        <v>22</v>
      </c>
      <c r="BJ468" s="3" t="s">
        <v>4366</v>
      </c>
      <c r="BK468" s="3" t="s">
        <v>97</v>
      </c>
      <c r="BL468" s="3" t="s">
        <v>4367</v>
      </c>
      <c r="BM468" s="3" t="s">
        <v>9444</v>
      </c>
      <c r="BN468" s="3" t="s">
        <v>74</v>
      </c>
      <c r="BO468" s="3" t="s">
        <v>74</v>
      </c>
      <c r="BP468" s="3" t="s">
        <v>74</v>
      </c>
      <c r="BQ468" s="3" t="s">
        <v>74</v>
      </c>
      <c r="BR468" s="3" t="s">
        <v>101</v>
      </c>
      <c r="BS468" s="3" t="s">
        <v>9445</v>
      </c>
      <c r="BT468" s="3" t="str">
        <f>HYPERLINK("https%3A%2F%2Fwww.webofscience.com%2Fwos%2Fwoscc%2Ffull-record%2FWOS:000723022200001","View Full Record in Web of Science")</f>
        <v>View Full Record in Web of Science</v>
      </c>
      <c r="BU468" s="3"/>
      <c r="BV468" s="3"/>
      <c r="BW468" s="1"/>
    </row>
    <row r="469" spans="1:75" x14ac:dyDescent="0.25">
      <c r="A469" s="3" t="s">
        <v>72</v>
      </c>
      <c r="B469" s="3" t="s">
        <v>9446</v>
      </c>
      <c r="C469" s="3" t="s">
        <v>74</v>
      </c>
      <c r="D469" s="3" t="s">
        <v>74</v>
      </c>
      <c r="E469" s="3" t="s">
        <v>74</v>
      </c>
      <c r="F469" s="3" t="s">
        <v>9447</v>
      </c>
      <c r="G469" s="3" t="s">
        <v>74</v>
      </c>
      <c r="H469" s="3" t="s">
        <v>74</v>
      </c>
      <c r="I469" s="3" t="s">
        <v>9448</v>
      </c>
      <c r="J469" s="3" t="s">
        <v>9449</v>
      </c>
      <c r="K469" s="3" t="s">
        <v>74</v>
      </c>
      <c r="L469" s="3" t="s">
        <v>74</v>
      </c>
      <c r="M469" s="3" t="s">
        <v>110</v>
      </c>
      <c r="N469" s="3" t="s">
        <v>79</v>
      </c>
      <c r="O469" s="3" t="s">
        <v>74</v>
      </c>
      <c r="P469" s="3" t="s">
        <v>74</v>
      </c>
      <c r="Q469" s="3" t="s">
        <v>74</v>
      </c>
      <c r="R469" s="3" t="s">
        <v>74</v>
      </c>
      <c r="S469" s="3" t="s">
        <v>74</v>
      </c>
      <c r="T469" s="3" t="s">
        <v>74</v>
      </c>
      <c r="U469" s="3" t="s">
        <v>9450</v>
      </c>
      <c r="V469" s="3" t="s">
        <v>9451</v>
      </c>
      <c r="W469" s="3" t="s">
        <v>9452</v>
      </c>
      <c r="X469" s="3" t="s">
        <v>9453</v>
      </c>
      <c r="Y469" s="3" t="s">
        <v>9454</v>
      </c>
      <c r="Z469" s="3" t="s">
        <v>9455</v>
      </c>
      <c r="AA469" s="3" t="s">
        <v>74</v>
      </c>
      <c r="AB469" s="3" t="s">
        <v>74</v>
      </c>
      <c r="AC469" s="3" t="s">
        <v>9456</v>
      </c>
      <c r="AD469" s="3" t="s">
        <v>8943</v>
      </c>
      <c r="AE469" s="3" t="s">
        <v>9457</v>
      </c>
      <c r="AF469" s="3" t="s">
        <v>74</v>
      </c>
      <c r="AG469" s="3">
        <v>50</v>
      </c>
      <c r="AH469" s="3">
        <v>4</v>
      </c>
      <c r="AI469" s="3">
        <v>5</v>
      </c>
      <c r="AJ469" s="3">
        <v>1</v>
      </c>
      <c r="AK469" s="3">
        <v>57</v>
      </c>
      <c r="AL469" s="3" t="s">
        <v>401</v>
      </c>
      <c r="AM469" s="3" t="s">
        <v>402</v>
      </c>
      <c r="AN469" s="3" t="s">
        <v>403</v>
      </c>
      <c r="AO469" s="3" t="s">
        <v>9458</v>
      </c>
      <c r="AP469" s="3" t="s">
        <v>9459</v>
      </c>
      <c r="AQ469" s="3" t="s">
        <v>74</v>
      </c>
      <c r="AR469" s="3" t="s">
        <v>9460</v>
      </c>
      <c r="AS469" s="3" t="s">
        <v>9461</v>
      </c>
      <c r="AT469" s="3" t="s">
        <v>7206</v>
      </c>
      <c r="AU469" s="3">
        <v>2021</v>
      </c>
      <c r="AV469" s="3">
        <v>2021</v>
      </c>
      <c r="AW469" s="3" t="s">
        <v>74</v>
      </c>
      <c r="AX469" s="3" t="s">
        <v>74</v>
      </c>
      <c r="AY469" s="3" t="s">
        <v>74</v>
      </c>
      <c r="AZ469" s="3" t="s">
        <v>74</v>
      </c>
      <c r="BA469" s="3" t="s">
        <v>74</v>
      </c>
      <c r="BB469" s="3" t="s">
        <v>74</v>
      </c>
      <c r="BC469" s="3" t="s">
        <v>74</v>
      </c>
      <c r="BD469" s="3">
        <v>6697755</v>
      </c>
      <c r="BE469" s="3" t="s">
        <v>9462</v>
      </c>
      <c r="BF469" s="3" t="str">
        <f>HYPERLINK("http://dx.doi.org/10.1155/2021/6697755","http://dx.doi.org/10.1155/2021/6697755")</f>
        <v>http://dx.doi.org/10.1155/2021/6697755</v>
      </c>
      <c r="BG469" s="3" t="s">
        <v>74</v>
      </c>
      <c r="BH469" s="3" t="s">
        <v>74</v>
      </c>
      <c r="BI469" s="3">
        <v>16</v>
      </c>
      <c r="BJ469" s="3" t="s">
        <v>1777</v>
      </c>
      <c r="BK469" s="3" t="s">
        <v>179</v>
      </c>
      <c r="BL469" s="3" t="s">
        <v>994</v>
      </c>
      <c r="BM469" s="3" t="s">
        <v>9463</v>
      </c>
      <c r="BN469" s="3" t="s">
        <v>74</v>
      </c>
      <c r="BO469" s="3" t="s">
        <v>100</v>
      </c>
      <c r="BP469" s="3" t="s">
        <v>74</v>
      </c>
      <c r="BQ469" s="3" t="s">
        <v>74</v>
      </c>
      <c r="BR469" s="3" t="s">
        <v>101</v>
      </c>
      <c r="BS469" s="3" t="s">
        <v>9464</v>
      </c>
      <c r="BT469" s="3" t="str">
        <f>HYPERLINK("https%3A%2F%2Fwww.webofscience.com%2Fwos%2Fwoscc%2Ffull-record%2FWOS:000613071600008","View Full Record in Web of Science")</f>
        <v>View Full Record in Web of Science</v>
      </c>
      <c r="BU469" s="3"/>
      <c r="BV469" s="3"/>
      <c r="BW469" s="1"/>
    </row>
    <row r="470" spans="1:75" x14ac:dyDescent="0.25">
      <c r="A470" s="3" t="s">
        <v>72</v>
      </c>
      <c r="B470" s="3" t="s">
        <v>9465</v>
      </c>
      <c r="C470" s="3" t="s">
        <v>74</v>
      </c>
      <c r="D470" s="3" t="s">
        <v>74</v>
      </c>
      <c r="E470" s="3" t="s">
        <v>74</v>
      </c>
      <c r="F470" s="3" t="s">
        <v>9466</v>
      </c>
      <c r="G470" s="3" t="s">
        <v>74</v>
      </c>
      <c r="H470" s="3" t="s">
        <v>74</v>
      </c>
      <c r="I470" s="3" t="s">
        <v>9467</v>
      </c>
      <c r="J470" s="3" t="s">
        <v>9468</v>
      </c>
      <c r="K470" s="3" t="s">
        <v>74</v>
      </c>
      <c r="L470" s="3" t="s">
        <v>74</v>
      </c>
      <c r="M470" s="3" t="s">
        <v>110</v>
      </c>
      <c r="N470" s="3" t="s">
        <v>79</v>
      </c>
      <c r="O470" s="3" t="s">
        <v>74</v>
      </c>
      <c r="P470" s="3" t="s">
        <v>74</v>
      </c>
      <c r="Q470" s="3" t="s">
        <v>74</v>
      </c>
      <c r="R470" s="3" t="s">
        <v>74</v>
      </c>
      <c r="S470" s="3" t="s">
        <v>74</v>
      </c>
      <c r="T470" s="3" t="s">
        <v>74</v>
      </c>
      <c r="U470" s="3" t="s">
        <v>9469</v>
      </c>
      <c r="V470" s="3" t="s">
        <v>9470</v>
      </c>
      <c r="W470" s="3" t="s">
        <v>9471</v>
      </c>
      <c r="X470" s="3" t="s">
        <v>9472</v>
      </c>
      <c r="Y470" s="3" t="s">
        <v>9473</v>
      </c>
      <c r="Z470" s="3" t="s">
        <v>9474</v>
      </c>
      <c r="AA470" s="3" t="s">
        <v>74</v>
      </c>
      <c r="AB470" s="3" t="s">
        <v>9475</v>
      </c>
      <c r="AC470" s="3" t="s">
        <v>74</v>
      </c>
      <c r="AD470" s="3" t="s">
        <v>74</v>
      </c>
      <c r="AE470" s="3" t="s">
        <v>74</v>
      </c>
      <c r="AF470" s="3" t="s">
        <v>74</v>
      </c>
      <c r="AG470" s="3">
        <v>25</v>
      </c>
      <c r="AH470" s="3">
        <v>2</v>
      </c>
      <c r="AI470" s="3">
        <v>4</v>
      </c>
      <c r="AJ470" s="3">
        <v>1</v>
      </c>
      <c r="AK470" s="3">
        <v>23</v>
      </c>
      <c r="AL470" s="3" t="s">
        <v>9476</v>
      </c>
      <c r="AM470" s="3" t="s">
        <v>1009</v>
      </c>
      <c r="AN470" s="3" t="s">
        <v>9477</v>
      </c>
      <c r="AO470" s="3" t="s">
        <v>9478</v>
      </c>
      <c r="AP470" s="3" t="s">
        <v>9479</v>
      </c>
      <c r="AQ470" s="3" t="s">
        <v>74</v>
      </c>
      <c r="AR470" s="3" t="s">
        <v>9480</v>
      </c>
      <c r="AS470" s="3" t="s">
        <v>9481</v>
      </c>
      <c r="AT470" s="3" t="s">
        <v>9482</v>
      </c>
      <c r="AU470" s="3">
        <v>2021</v>
      </c>
      <c r="AV470" s="3">
        <v>2021</v>
      </c>
      <c r="AW470" s="3" t="s">
        <v>74</v>
      </c>
      <c r="AX470" s="3" t="s">
        <v>74</v>
      </c>
      <c r="AY470" s="3" t="s">
        <v>74</v>
      </c>
      <c r="AZ470" s="3" t="s">
        <v>74</v>
      </c>
      <c r="BA470" s="3" t="s">
        <v>74</v>
      </c>
      <c r="BB470" s="3" t="s">
        <v>74</v>
      </c>
      <c r="BC470" s="3" t="s">
        <v>74</v>
      </c>
      <c r="BD470" s="3">
        <v>5648330</v>
      </c>
      <c r="BE470" s="3" t="s">
        <v>9483</v>
      </c>
      <c r="BF470" s="3" t="str">
        <f>HYPERLINK("http://dx.doi.org/10.1155/2021/5648330","http://dx.doi.org/10.1155/2021/5648330")</f>
        <v>http://dx.doi.org/10.1155/2021/5648330</v>
      </c>
      <c r="BG470" s="3" t="s">
        <v>74</v>
      </c>
      <c r="BH470" s="3" t="s">
        <v>74</v>
      </c>
      <c r="BI470" s="3">
        <v>12</v>
      </c>
      <c r="BJ470" s="3" t="s">
        <v>1825</v>
      </c>
      <c r="BK470" s="3" t="s">
        <v>154</v>
      </c>
      <c r="BL470" s="3" t="s">
        <v>1826</v>
      </c>
      <c r="BM470" s="3" t="s">
        <v>9484</v>
      </c>
      <c r="BN470" s="3" t="s">
        <v>74</v>
      </c>
      <c r="BO470" s="3" t="s">
        <v>884</v>
      </c>
      <c r="BP470" s="3" t="s">
        <v>74</v>
      </c>
      <c r="BQ470" s="3" t="s">
        <v>74</v>
      </c>
      <c r="BR470" s="3" t="s">
        <v>101</v>
      </c>
      <c r="BS470" s="3" t="s">
        <v>9485</v>
      </c>
      <c r="BT470" s="3" t="str">
        <f>HYPERLINK("https%3A%2F%2Fwww.webofscience.com%2Fwos%2Fwoscc%2Ffull-record%2FWOS:000703306500002","View Full Record in Web of Science")</f>
        <v>View Full Record in Web of Science</v>
      </c>
      <c r="BU470" s="3"/>
      <c r="BV470" s="3"/>
      <c r="BW470" s="1"/>
    </row>
    <row r="471" spans="1:75" x14ac:dyDescent="0.25">
      <c r="A471" s="3" t="s">
        <v>72</v>
      </c>
      <c r="B471" s="3" t="s">
        <v>9486</v>
      </c>
      <c r="C471" s="3" t="s">
        <v>74</v>
      </c>
      <c r="D471" s="3" t="s">
        <v>74</v>
      </c>
      <c r="E471" s="3" t="s">
        <v>74</v>
      </c>
      <c r="F471" s="3" t="s">
        <v>9487</v>
      </c>
      <c r="G471" s="3" t="s">
        <v>74</v>
      </c>
      <c r="H471" s="3" t="s">
        <v>74</v>
      </c>
      <c r="I471" s="3" t="s">
        <v>9488</v>
      </c>
      <c r="J471" s="3" t="s">
        <v>1088</v>
      </c>
      <c r="K471" s="3" t="s">
        <v>74</v>
      </c>
      <c r="L471" s="3" t="s">
        <v>74</v>
      </c>
      <c r="M471" s="3" t="s">
        <v>110</v>
      </c>
      <c r="N471" s="3" t="s">
        <v>79</v>
      </c>
      <c r="O471" s="3" t="s">
        <v>74</v>
      </c>
      <c r="P471" s="3" t="s">
        <v>74</v>
      </c>
      <c r="Q471" s="3" t="s">
        <v>74</v>
      </c>
      <c r="R471" s="3" t="s">
        <v>74</v>
      </c>
      <c r="S471" s="3" t="s">
        <v>74</v>
      </c>
      <c r="T471" s="3" t="s">
        <v>9489</v>
      </c>
      <c r="U471" s="3" t="s">
        <v>74</v>
      </c>
      <c r="V471" s="3" t="s">
        <v>9490</v>
      </c>
      <c r="W471" s="3" t="s">
        <v>9491</v>
      </c>
      <c r="X471" s="3" t="s">
        <v>9492</v>
      </c>
      <c r="Y471" s="3" t="s">
        <v>9493</v>
      </c>
      <c r="Z471" s="3" t="s">
        <v>9494</v>
      </c>
      <c r="AA471" s="3" t="s">
        <v>9495</v>
      </c>
      <c r="AB471" s="3" t="s">
        <v>9496</v>
      </c>
      <c r="AC471" s="3" t="s">
        <v>74</v>
      </c>
      <c r="AD471" s="3" t="s">
        <v>74</v>
      </c>
      <c r="AE471" s="3" t="s">
        <v>74</v>
      </c>
      <c r="AF471" s="3" t="s">
        <v>74</v>
      </c>
      <c r="AG471" s="3">
        <v>50</v>
      </c>
      <c r="AH471" s="3">
        <v>230</v>
      </c>
      <c r="AI471" s="3">
        <v>242</v>
      </c>
      <c r="AJ471" s="3">
        <v>3</v>
      </c>
      <c r="AK471" s="3">
        <v>60</v>
      </c>
      <c r="AL471" s="3" t="s">
        <v>846</v>
      </c>
      <c r="AM471" s="3" t="s">
        <v>847</v>
      </c>
      <c r="AN471" s="3" t="s">
        <v>848</v>
      </c>
      <c r="AO471" s="3" t="s">
        <v>1098</v>
      </c>
      <c r="AP471" s="3" t="s">
        <v>1099</v>
      </c>
      <c r="AQ471" s="3" t="s">
        <v>74</v>
      </c>
      <c r="AR471" s="3" t="s">
        <v>1100</v>
      </c>
      <c r="AS471" s="3" t="s">
        <v>1101</v>
      </c>
      <c r="AT471" s="3" t="s">
        <v>1450</v>
      </c>
      <c r="AU471" s="3">
        <v>2020</v>
      </c>
      <c r="AV471" s="3">
        <v>21</v>
      </c>
      <c r="AW471" s="3">
        <v>7</v>
      </c>
      <c r="AX471" s="3" t="s">
        <v>74</v>
      </c>
      <c r="AY471" s="3" t="s">
        <v>74</v>
      </c>
      <c r="AZ471" s="3" t="s">
        <v>74</v>
      </c>
      <c r="BA471" s="3" t="s">
        <v>74</v>
      </c>
      <c r="BB471" s="3">
        <v>2980</v>
      </c>
      <c r="BC471" s="3">
        <v>2989</v>
      </c>
      <c r="BD471" s="3" t="s">
        <v>74</v>
      </c>
      <c r="BE471" s="3" t="s">
        <v>9497</v>
      </c>
      <c r="BF471" s="3" t="str">
        <f>HYPERLINK("http://dx.doi.org/10.1109/TITS.2019.2922002","http://dx.doi.org/10.1109/TITS.2019.2922002")</f>
        <v>http://dx.doi.org/10.1109/TITS.2019.2922002</v>
      </c>
      <c r="BG471" s="3" t="s">
        <v>74</v>
      </c>
      <c r="BH471" s="3" t="s">
        <v>74</v>
      </c>
      <c r="BI471" s="3">
        <v>10</v>
      </c>
      <c r="BJ471" s="3" t="s">
        <v>1104</v>
      </c>
      <c r="BK471" s="3" t="s">
        <v>179</v>
      </c>
      <c r="BL471" s="3" t="s">
        <v>411</v>
      </c>
      <c r="BM471" s="3" t="s">
        <v>9498</v>
      </c>
      <c r="BN471" s="3" t="s">
        <v>74</v>
      </c>
      <c r="BO471" s="3" t="s">
        <v>74</v>
      </c>
      <c r="BP471" s="3" t="s">
        <v>74</v>
      </c>
      <c r="BQ471" s="3" t="s">
        <v>74</v>
      </c>
      <c r="BR471" s="3" t="s">
        <v>101</v>
      </c>
      <c r="BS471" s="3" t="s">
        <v>9499</v>
      </c>
      <c r="BT471" s="3" t="str">
        <f>HYPERLINK("https%3A%2F%2Fwww.webofscience.com%2Fwos%2Fwoscc%2Ffull-record%2FWOS:000545516200024","View Full Record in Web of Science")</f>
        <v>View Full Record in Web of Science</v>
      </c>
      <c r="BU471" s="3"/>
      <c r="BV471" s="3"/>
      <c r="BW471" s="1"/>
    </row>
    <row r="472" spans="1:75" x14ac:dyDescent="0.25">
      <c r="A472" s="3" t="s">
        <v>72</v>
      </c>
      <c r="B472" s="3" t="s">
        <v>9500</v>
      </c>
      <c r="C472" s="3" t="s">
        <v>74</v>
      </c>
      <c r="D472" s="3" t="s">
        <v>74</v>
      </c>
      <c r="E472" s="3" t="s">
        <v>74</v>
      </c>
      <c r="F472" s="3" t="s">
        <v>9501</v>
      </c>
      <c r="G472" s="3" t="s">
        <v>74</v>
      </c>
      <c r="H472" s="3" t="s">
        <v>74</v>
      </c>
      <c r="I472" s="3" t="s">
        <v>9502</v>
      </c>
      <c r="J472" s="3" t="s">
        <v>9503</v>
      </c>
      <c r="K472" s="3" t="s">
        <v>74</v>
      </c>
      <c r="L472" s="3" t="s">
        <v>74</v>
      </c>
      <c r="M472" s="3" t="s">
        <v>110</v>
      </c>
      <c r="N472" s="3" t="s">
        <v>79</v>
      </c>
      <c r="O472" s="3" t="s">
        <v>74</v>
      </c>
      <c r="P472" s="3" t="s">
        <v>74</v>
      </c>
      <c r="Q472" s="3" t="s">
        <v>74</v>
      </c>
      <c r="R472" s="3" t="s">
        <v>74</v>
      </c>
      <c r="S472" s="3" t="s">
        <v>74</v>
      </c>
      <c r="T472" s="3" t="s">
        <v>74</v>
      </c>
      <c r="U472" s="3" t="s">
        <v>74</v>
      </c>
      <c r="V472" s="3" t="s">
        <v>9504</v>
      </c>
      <c r="W472" s="3" t="s">
        <v>9505</v>
      </c>
      <c r="X472" s="3" t="s">
        <v>9506</v>
      </c>
      <c r="Y472" s="3" t="s">
        <v>9507</v>
      </c>
      <c r="Z472" s="3" t="s">
        <v>9508</v>
      </c>
      <c r="AA472" s="3" t="s">
        <v>74</v>
      </c>
      <c r="AB472" s="3" t="s">
        <v>74</v>
      </c>
      <c r="AC472" s="3" t="s">
        <v>74</v>
      </c>
      <c r="AD472" s="3" t="s">
        <v>74</v>
      </c>
      <c r="AE472" s="3" t="s">
        <v>74</v>
      </c>
      <c r="AF472" s="3" t="s">
        <v>74</v>
      </c>
      <c r="AG472" s="3">
        <v>27</v>
      </c>
      <c r="AH472" s="3">
        <v>0</v>
      </c>
      <c r="AI472" s="3">
        <v>1</v>
      </c>
      <c r="AJ472" s="3">
        <v>3</v>
      </c>
      <c r="AK472" s="3">
        <v>36</v>
      </c>
      <c r="AL472" s="3" t="s">
        <v>9476</v>
      </c>
      <c r="AM472" s="3" t="s">
        <v>1009</v>
      </c>
      <c r="AN472" s="3" t="s">
        <v>9477</v>
      </c>
      <c r="AO472" s="3" t="s">
        <v>9509</v>
      </c>
      <c r="AP472" s="3" t="s">
        <v>9510</v>
      </c>
      <c r="AQ472" s="3" t="s">
        <v>74</v>
      </c>
      <c r="AR472" s="3" t="s">
        <v>9511</v>
      </c>
      <c r="AS472" s="3" t="s">
        <v>9512</v>
      </c>
      <c r="AT472" s="3" t="s">
        <v>9513</v>
      </c>
      <c r="AU472" s="3">
        <v>2021</v>
      </c>
      <c r="AV472" s="3">
        <v>2021</v>
      </c>
      <c r="AW472" s="3" t="s">
        <v>74</v>
      </c>
      <c r="AX472" s="3" t="s">
        <v>74</v>
      </c>
      <c r="AY472" s="3" t="s">
        <v>74</v>
      </c>
      <c r="AZ472" s="3" t="s">
        <v>74</v>
      </c>
      <c r="BA472" s="3" t="s">
        <v>74</v>
      </c>
      <c r="BB472" s="3" t="s">
        <v>74</v>
      </c>
      <c r="BC472" s="3" t="s">
        <v>74</v>
      </c>
      <c r="BD472" s="3">
        <v>9979198</v>
      </c>
      <c r="BE472" s="3" t="s">
        <v>9514</v>
      </c>
      <c r="BF472" s="3" t="str">
        <f>HYPERLINK("http://dx.doi.org/10.1155/2021/9979198","http://dx.doi.org/10.1155/2021/9979198")</f>
        <v>http://dx.doi.org/10.1155/2021/9979198</v>
      </c>
      <c r="BG472" s="3" t="s">
        <v>74</v>
      </c>
      <c r="BH472" s="3" t="s">
        <v>74</v>
      </c>
      <c r="BI472" s="3">
        <v>11</v>
      </c>
      <c r="BJ472" s="3" t="s">
        <v>8950</v>
      </c>
      <c r="BK472" s="3" t="s">
        <v>179</v>
      </c>
      <c r="BL472" s="3" t="s">
        <v>486</v>
      </c>
      <c r="BM472" s="3" t="s">
        <v>9515</v>
      </c>
      <c r="BN472" s="3" t="s">
        <v>74</v>
      </c>
      <c r="BO472" s="3" t="s">
        <v>884</v>
      </c>
      <c r="BP472" s="3" t="s">
        <v>74</v>
      </c>
      <c r="BQ472" s="3" t="s">
        <v>74</v>
      </c>
      <c r="BR472" s="3" t="s">
        <v>101</v>
      </c>
      <c r="BS472" s="3" t="s">
        <v>9516</v>
      </c>
      <c r="BT472" s="3" t="str">
        <f>HYPERLINK("https%3A%2F%2Fwww.webofscience.com%2Fwos%2Fwoscc%2Ffull-record%2FWOS:000665016000001","View Full Record in Web of Science")</f>
        <v>View Full Record in Web of Science</v>
      </c>
      <c r="BU472" s="3"/>
      <c r="BV472" s="3"/>
      <c r="BW472" s="1"/>
    </row>
    <row r="473" spans="1:75" x14ac:dyDescent="0.25">
      <c r="A473" s="3" t="s">
        <v>72</v>
      </c>
      <c r="B473" s="3" t="s">
        <v>9517</v>
      </c>
      <c r="C473" s="3" t="s">
        <v>74</v>
      </c>
      <c r="D473" s="3" t="s">
        <v>74</v>
      </c>
      <c r="E473" s="3" t="s">
        <v>74</v>
      </c>
      <c r="F473" s="3" t="s">
        <v>9518</v>
      </c>
      <c r="G473" s="3" t="s">
        <v>74</v>
      </c>
      <c r="H473" s="3" t="s">
        <v>74</v>
      </c>
      <c r="I473" s="3" t="s">
        <v>9519</v>
      </c>
      <c r="J473" s="3" t="s">
        <v>9520</v>
      </c>
      <c r="K473" s="3" t="s">
        <v>74</v>
      </c>
      <c r="L473" s="3" t="s">
        <v>74</v>
      </c>
      <c r="M473" s="3" t="s">
        <v>110</v>
      </c>
      <c r="N473" s="3" t="s">
        <v>79</v>
      </c>
      <c r="O473" s="3" t="s">
        <v>74</v>
      </c>
      <c r="P473" s="3" t="s">
        <v>74</v>
      </c>
      <c r="Q473" s="3" t="s">
        <v>74</v>
      </c>
      <c r="R473" s="3" t="s">
        <v>74</v>
      </c>
      <c r="S473" s="3" t="s">
        <v>74</v>
      </c>
      <c r="T473" s="3" t="s">
        <v>9521</v>
      </c>
      <c r="U473" s="3" t="s">
        <v>9522</v>
      </c>
      <c r="V473" s="3" t="s">
        <v>9523</v>
      </c>
      <c r="W473" s="3" t="s">
        <v>9524</v>
      </c>
      <c r="X473" s="3" t="s">
        <v>9525</v>
      </c>
      <c r="Y473" s="3" t="s">
        <v>9526</v>
      </c>
      <c r="Z473" s="3" t="s">
        <v>9527</v>
      </c>
      <c r="AA473" s="3" t="s">
        <v>74</v>
      </c>
      <c r="AB473" s="3" t="s">
        <v>9528</v>
      </c>
      <c r="AC473" s="3" t="s">
        <v>9529</v>
      </c>
      <c r="AD473" s="3" t="s">
        <v>9530</v>
      </c>
      <c r="AE473" s="3" t="s">
        <v>9531</v>
      </c>
      <c r="AF473" s="3" t="s">
        <v>74</v>
      </c>
      <c r="AG473" s="3">
        <v>19</v>
      </c>
      <c r="AH473" s="3">
        <v>13</v>
      </c>
      <c r="AI473" s="3">
        <v>19</v>
      </c>
      <c r="AJ473" s="3">
        <v>1</v>
      </c>
      <c r="AK473" s="3">
        <v>42</v>
      </c>
      <c r="AL473" s="3" t="s">
        <v>304</v>
      </c>
      <c r="AM473" s="3" t="s">
        <v>305</v>
      </c>
      <c r="AN473" s="3" t="s">
        <v>306</v>
      </c>
      <c r="AO473" s="3" t="s">
        <v>9532</v>
      </c>
      <c r="AP473" s="3" t="s">
        <v>74</v>
      </c>
      <c r="AQ473" s="3" t="s">
        <v>74</v>
      </c>
      <c r="AR473" s="3" t="s">
        <v>9533</v>
      </c>
      <c r="AS473" s="3" t="s">
        <v>9534</v>
      </c>
      <c r="AT473" s="3" t="s">
        <v>592</v>
      </c>
      <c r="AU473" s="3">
        <v>2018</v>
      </c>
      <c r="AV473" s="3">
        <v>81</v>
      </c>
      <c r="AW473" s="3" t="s">
        <v>74</v>
      </c>
      <c r="AX473" s="3" t="s">
        <v>74</v>
      </c>
      <c r="AY473" s="3" t="s">
        <v>74</v>
      </c>
      <c r="AZ473" s="3" t="s">
        <v>74</v>
      </c>
      <c r="BA473" s="3" t="s">
        <v>74</v>
      </c>
      <c r="BB473" s="3">
        <v>221</v>
      </c>
      <c r="BC473" s="3">
        <v>227</v>
      </c>
      <c r="BD473" s="3" t="s">
        <v>74</v>
      </c>
      <c r="BE473" s="3" t="s">
        <v>9535</v>
      </c>
      <c r="BF473" s="3" t="str">
        <f>HYPERLINK("http://dx.doi.org/10.1016/j.tust.2018.07.026","http://dx.doi.org/10.1016/j.tust.2018.07.026")</f>
        <v>http://dx.doi.org/10.1016/j.tust.2018.07.026</v>
      </c>
      <c r="BG473" s="3" t="s">
        <v>74</v>
      </c>
      <c r="BH473" s="3" t="s">
        <v>74</v>
      </c>
      <c r="BI473" s="3">
        <v>7</v>
      </c>
      <c r="BJ473" s="3" t="s">
        <v>1777</v>
      </c>
      <c r="BK473" s="3" t="s">
        <v>179</v>
      </c>
      <c r="BL473" s="3" t="s">
        <v>994</v>
      </c>
      <c r="BM473" s="3" t="s">
        <v>9536</v>
      </c>
      <c r="BN473" s="3" t="s">
        <v>74</v>
      </c>
      <c r="BO473" s="3" t="s">
        <v>74</v>
      </c>
      <c r="BP473" s="3" t="s">
        <v>74</v>
      </c>
      <c r="BQ473" s="3" t="s">
        <v>74</v>
      </c>
      <c r="BR473" s="3" t="s">
        <v>101</v>
      </c>
      <c r="BS473" s="3" t="s">
        <v>9537</v>
      </c>
      <c r="BT473" s="3" t="str">
        <f>HYPERLINK("https%3A%2F%2Fwww.webofscience.com%2Fwos%2Fwoscc%2Ffull-record%2FWOS:000446949500019","View Full Record in Web of Science")</f>
        <v>View Full Record in Web of Science</v>
      </c>
      <c r="BU473" s="3"/>
      <c r="BV473" s="3"/>
      <c r="BW473" s="1"/>
    </row>
    <row r="474" spans="1:75" x14ac:dyDescent="0.25">
      <c r="A474" s="3" t="s">
        <v>72</v>
      </c>
      <c r="B474" s="3" t="s">
        <v>9538</v>
      </c>
      <c r="C474" s="3" t="s">
        <v>74</v>
      </c>
      <c r="D474" s="3" t="s">
        <v>74</v>
      </c>
      <c r="E474" s="3" t="s">
        <v>74</v>
      </c>
      <c r="F474" s="3" t="s">
        <v>9539</v>
      </c>
      <c r="G474" s="3" t="s">
        <v>74</v>
      </c>
      <c r="H474" s="3" t="s">
        <v>74</v>
      </c>
      <c r="I474" s="3" t="s">
        <v>9540</v>
      </c>
      <c r="J474" s="3" t="s">
        <v>9541</v>
      </c>
      <c r="K474" s="3" t="s">
        <v>74</v>
      </c>
      <c r="L474" s="3" t="s">
        <v>74</v>
      </c>
      <c r="M474" s="3" t="s">
        <v>110</v>
      </c>
      <c r="N474" s="3" t="s">
        <v>79</v>
      </c>
      <c r="O474" s="3" t="s">
        <v>74</v>
      </c>
      <c r="P474" s="3" t="s">
        <v>74</v>
      </c>
      <c r="Q474" s="3" t="s">
        <v>74</v>
      </c>
      <c r="R474" s="3" t="s">
        <v>74</v>
      </c>
      <c r="S474" s="3" t="s">
        <v>74</v>
      </c>
      <c r="T474" s="3" t="s">
        <v>9542</v>
      </c>
      <c r="U474" s="3" t="s">
        <v>9543</v>
      </c>
      <c r="V474" s="3" t="s">
        <v>9544</v>
      </c>
      <c r="W474" s="3" t="s">
        <v>9545</v>
      </c>
      <c r="X474" s="3" t="s">
        <v>9546</v>
      </c>
      <c r="Y474" s="3" t="s">
        <v>9547</v>
      </c>
      <c r="Z474" s="3" t="s">
        <v>9548</v>
      </c>
      <c r="AA474" s="3" t="s">
        <v>74</v>
      </c>
      <c r="AB474" s="3" t="s">
        <v>9549</v>
      </c>
      <c r="AC474" s="3" t="s">
        <v>9550</v>
      </c>
      <c r="AD474" s="3" t="s">
        <v>9551</v>
      </c>
      <c r="AE474" s="3" t="s">
        <v>9552</v>
      </c>
      <c r="AF474" s="3" t="s">
        <v>74</v>
      </c>
      <c r="AG474" s="3">
        <v>51</v>
      </c>
      <c r="AH474" s="3">
        <v>3</v>
      </c>
      <c r="AI474" s="3">
        <v>4</v>
      </c>
      <c r="AJ474" s="3">
        <v>2</v>
      </c>
      <c r="AK474" s="3">
        <v>24</v>
      </c>
      <c r="AL474" s="3" t="s">
        <v>1120</v>
      </c>
      <c r="AM474" s="3" t="s">
        <v>1121</v>
      </c>
      <c r="AN474" s="3" t="s">
        <v>1122</v>
      </c>
      <c r="AO474" s="3" t="s">
        <v>9553</v>
      </c>
      <c r="AP474" s="3" t="s">
        <v>9554</v>
      </c>
      <c r="AQ474" s="3" t="s">
        <v>74</v>
      </c>
      <c r="AR474" s="3" t="s">
        <v>9555</v>
      </c>
      <c r="AS474" s="3" t="s">
        <v>9556</v>
      </c>
      <c r="AT474" s="3" t="s">
        <v>176</v>
      </c>
      <c r="AU474" s="3">
        <v>2020</v>
      </c>
      <c r="AV474" s="3">
        <v>13</v>
      </c>
      <c r="AW474" s="3">
        <v>2</v>
      </c>
      <c r="AX474" s="3" t="s">
        <v>74</v>
      </c>
      <c r="AY474" s="3" t="s">
        <v>74</v>
      </c>
      <c r="AZ474" s="3" t="s">
        <v>74</v>
      </c>
      <c r="BA474" s="3" t="s">
        <v>74</v>
      </c>
      <c r="BB474" s="3">
        <v>527</v>
      </c>
      <c r="BC474" s="3">
        <v>546</v>
      </c>
      <c r="BD474" s="3" t="s">
        <v>74</v>
      </c>
      <c r="BE474" s="3" t="s">
        <v>9557</v>
      </c>
      <c r="BF474" s="3" t="str">
        <f>HYPERLINK("http://dx.doi.org/10.1007/s12061-019-09314-6","http://dx.doi.org/10.1007/s12061-019-09314-6")</f>
        <v>http://dx.doi.org/10.1007/s12061-019-09314-6</v>
      </c>
      <c r="BG474" s="3" t="s">
        <v>74</v>
      </c>
      <c r="BH474" s="3" t="s">
        <v>74</v>
      </c>
      <c r="BI474" s="3">
        <v>20</v>
      </c>
      <c r="BJ474" s="3" t="s">
        <v>9558</v>
      </c>
      <c r="BK474" s="3" t="s">
        <v>264</v>
      </c>
      <c r="BL474" s="3" t="s">
        <v>9559</v>
      </c>
      <c r="BM474" s="3" t="s">
        <v>9560</v>
      </c>
      <c r="BN474" s="3" t="s">
        <v>74</v>
      </c>
      <c r="BO474" s="3" t="s">
        <v>74</v>
      </c>
      <c r="BP474" s="3" t="s">
        <v>74</v>
      </c>
      <c r="BQ474" s="3" t="s">
        <v>74</v>
      </c>
      <c r="BR474" s="3" t="s">
        <v>101</v>
      </c>
      <c r="BS474" s="3" t="s">
        <v>9561</v>
      </c>
      <c r="BT474" s="3" t="str">
        <f>HYPERLINK("https%3A%2F%2Fwww.webofscience.com%2Fwos%2Fwoscc%2Ffull-record%2FWOS:000533029500012","View Full Record in Web of Science")</f>
        <v>View Full Record in Web of Science</v>
      </c>
      <c r="BU474" s="3"/>
      <c r="BV474" s="3"/>
      <c r="BW474" s="1"/>
    </row>
    <row r="475" spans="1:75" x14ac:dyDescent="0.25">
      <c r="A475" s="3" t="s">
        <v>72</v>
      </c>
      <c r="B475" s="3" t="s">
        <v>9562</v>
      </c>
      <c r="C475" s="3" t="s">
        <v>74</v>
      </c>
      <c r="D475" s="3" t="s">
        <v>74</v>
      </c>
      <c r="E475" s="3" t="s">
        <v>74</v>
      </c>
      <c r="F475" s="3" t="s">
        <v>9563</v>
      </c>
      <c r="G475" s="3" t="s">
        <v>74</v>
      </c>
      <c r="H475" s="3" t="s">
        <v>74</v>
      </c>
      <c r="I475" s="3" t="s">
        <v>9564</v>
      </c>
      <c r="J475" s="3" t="s">
        <v>9565</v>
      </c>
      <c r="K475" s="3" t="s">
        <v>74</v>
      </c>
      <c r="L475" s="3" t="s">
        <v>74</v>
      </c>
      <c r="M475" s="3" t="s">
        <v>110</v>
      </c>
      <c r="N475" s="3" t="s">
        <v>216</v>
      </c>
      <c r="O475" s="3" t="s">
        <v>74</v>
      </c>
      <c r="P475" s="3" t="s">
        <v>74</v>
      </c>
      <c r="Q475" s="3" t="s">
        <v>74</v>
      </c>
      <c r="R475" s="3" t="s">
        <v>74</v>
      </c>
      <c r="S475" s="3" t="s">
        <v>74</v>
      </c>
      <c r="T475" s="3" t="s">
        <v>9566</v>
      </c>
      <c r="U475" s="3" t="s">
        <v>74</v>
      </c>
      <c r="V475" s="3" t="s">
        <v>9567</v>
      </c>
      <c r="W475" s="3" t="s">
        <v>9568</v>
      </c>
      <c r="X475" s="3" t="s">
        <v>9569</v>
      </c>
      <c r="Y475" s="3" t="s">
        <v>9570</v>
      </c>
      <c r="Z475" s="3" t="s">
        <v>74</v>
      </c>
      <c r="AA475" s="3" t="s">
        <v>74</v>
      </c>
      <c r="AB475" s="3" t="s">
        <v>9571</v>
      </c>
      <c r="AC475" s="3" t="s">
        <v>74</v>
      </c>
      <c r="AD475" s="3" t="s">
        <v>74</v>
      </c>
      <c r="AE475" s="3" t="s">
        <v>74</v>
      </c>
      <c r="AF475" s="3" t="s">
        <v>74</v>
      </c>
      <c r="AG475" s="3">
        <v>16</v>
      </c>
      <c r="AH475" s="3">
        <v>3</v>
      </c>
      <c r="AI475" s="3">
        <v>4</v>
      </c>
      <c r="AJ475" s="3">
        <v>3</v>
      </c>
      <c r="AK475" s="3">
        <v>31</v>
      </c>
      <c r="AL475" s="3" t="s">
        <v>9572</v>
      </c>
      <c r="AM475" s="3" t="s">
        <v>9573</v>
      </c>
      <c r="AN475" s="3" t="s">
        <v>9574</v>
      </c>
      <c r="AO475" s="3" t="s">
        <v>9575</v>
      </c>
      <c r="AP475" s="3" t="s">
        <v>9576</v>
      </c>
      <c r="AQ475" s="3" t="s">
        <v>74</v>
      </c>
      <c r="AR475" s="3" t="s">
        <v>9577</v>
      </c>
      <c r="AS475" s="3" t="s">
        <v>9578</v>
      </c>
      <c r="AT475" s="3" t="s">
        <v>74</v>
      </c>
      <c r="AU475" s="3">
        <v>2020</v>
      </c>
      <c r="AV475" s="3">
        <v>11</v>
      </c>
      <c r="AW475" s="3">
        <v>1</v>
      </c>
      <c r="AX475" s="3" t="s">
        <v>74</v>
      </c>
      <c r="AY475" s="3" t="s">
        <v>74</v>
      </c>
      <c r="AZ475" s="3" t="s">
        <v>74</v>
      </c>
      <c r="BA475" s="3" t="s">
        <v>74</v>
      </c>
      <c r="BB475" s="3">
        <v>392</v>
      </c>
      <c r="BC475" s="3">
        <v>400</v>
      </c>
      <c r="BD475" s="3" t="s">
        <v>74</v>
      </c>
      <c r="BE475" s="3" t="s">
        <v>9579</v>
      </c>
      <c r="BF475" s="3" t="str">
        <f>HYPERLINK("http://dx.doi.org/10.5455/jcmr.2020.11.01.45","http://dx.doi.org/10.5455/jcmr.2020.11.01.45")</f>
        <v>http://dx.doi.org/10.5455/jcmr.2020.11.01.45</v>
      </c>
      <c r="BG475" s="3" t="s">
        <v>74</v>
      </c>
      <c r="BH475" s="3" t="s">
        <v>74</v>
      </c>
      <c r="BI475" s="3">
        <v>9</v>
      </c>
      <c r="BJ475" s="3" t="s">
        <v>9580</v>
      </c>
      <c r="BK475" s="3" t="s">
        <v>97</v>
      </c>
      <c r="BL475" s="3" t="s">
        <v>9580</v>
      </c>
      <c r="BM475" s="3" t="s">
        <v>9581</v>
      </c>
      <c r="BN475" s="3" t="s">
        <v>74</v>
      </c>
      <c r="BO475" s="3" t="s">
        <v>74</v>
      </c>
      <c r="BP475" s="3" t="s">
        <v>74</v>
      </c>
      <c r="BQ475" s="3" t="s">
        <v>74</v>
      </c>
      <c r="BR475" s="3" t="s">
        <v>101</v>
      </c>
      <c r="BS475" s="3" t="s">
        <v>9582</v>
      </c>
      <c r="BT475" s="3" t="str">
        <f>HYPERLINK("https%3A%2F%2Fwww.webofscience.com%2Fwos%2Fwoscc%2Ffull-record%2FWOS:000607064100025","View Full Record in Web of Science")</f>
        <v>View Full Record in Web of Science</v>
      </c>
      <c r="BU475" s="3"/>
      <c r="BV475" s="3"/>
      <c r="BW475" s="1"/>
    </row>
    <row r="476" spans="1:75" x14ac:dyDescent="0.25">
      <c r="A476" s="3" t="s">
        <v>103</v>
      </c>
      <c r="B476" s="3" t="s">
        <v>9583</v>
      </c>
      <c r="C476" s="3" t="s">
        <v>74</v>
      </c>
      <c r="D476" s="3" t="s">
        <v>9584</v>
      </c>
      <c r="E476" s="3" t="s">
        <v>74</v>
      </c>
      <c r="F476" s="3" t="s">
        <v>9585</v>
      </c>
      <c r="G476" s="3" t="s">
        <v>74</v>
      </c>
      <c r="H476" s="3" t="s">
        <v>74</v>
      </c>
      <c r="I476" s="3" t="s">
        <v>9586</v>
      </c>
      <c r="J476" s="3" t="s">
        <v>9587</v>
      </c>
      <c r="K476" s="3" t="s">
        <v>9588</v>
      </c>
      <c r="L476" s="3" t="s">
        <v>74</v>
      </c>
      <c r="M476" s="3" t="s">
        <v>110</v>
      </c>
      <c r="N476" s="3" t="s">
        <v>111</v>
      </c>
      <c r="O476" s="3" t="s">
        <v>9589</v>
      </c>
      <c r="P476" s="3" t="s">
        <v>9590</v>
      </c>
      <c r="Q476" s="3" t="s">
        <v>9591</v>
      </c>
      <c r="R476" s="3" t="s">
        <v>74</v>
      </c>
      <c r="S476" s="3" t="s">
        <v>74</v>
      </c>
      <c r="T476" s="3" t="s">
        <v>74</v>
      </c>
      <c r="U476" s="3" t="s">
        <v>74</v>
      </c>
      <c r="V476" s="3" t="s">
        <v>9592</v>
      </c>
      <c r="W476" s="3" t="s">
        <v>9593</v>
      </c>
      <c r="X476" s="3" t="s">
        <v>9594</v>
      </c>
      <c r="Y476" s="3" t="s">
        <v>9595</v>
      </c>
      <c r="Z476" s="3" t="s">
        <v>9596</v>
      </c>
      <c r="AA476" s="3" t="s">
        <v>9597</v>
      </c>
      <c r="AB476" s="3" t="s">
        <v>74</v>
      </c>
      <c r="AC476" s="3" t="s">
        <v>74</v>
      </c>
      <c r="AD476" s="3" t="s">
        <v>74</v>
      </c>
      <c r="AE476" s="3" t="s">
        <v>74</v>
      </c>
      <c r="AF476" s="3" t="s">
        <v>74</v>
      </c>
      <c r="AG476" s="3">
        <v>16</v>
      </c>
      <c r="AH476" s="3">
        <v>0</v>
      </c>
      <c r="AI476" s="3">
        <v>0</v>
      </c>
      <c r="AJ476" s="3">
        <v>0</v>
      </c>
      <c r="AK476" s="3">
        <v>1</v>
      </c>
      <c r="AL476" s="3" t="s">
        <v>9598</v>
      </c>
      <c r="AM476" s="3" t="s">
        <v>9599</v>
      </c>
      <c r="AN476" s="3" t="s">
        <v>9600</v>
      </c>
      <c r="AO476" s="3" t="s">
        <v>9601</v>
      </c>
      <c r="AP476" s="3" t="s">
        <v>74</v>
      </c>
      <c r="AQ476" s="3" t="s">
        <v>9602</v>
      </c>
      <c r="AR476" s="3" t="s">
        <v>9603</v>
      </c>
      <c r="AS476" s="3" t="s">
        <v>74</v>
      </c>
      <c r="AT476" s="3" t="s">
        <v>74</v>
      </c>
      <c r="AU476" s="3">
        <v>2020</v>
      </c>
      <c r="AV476" s="3">
        <v>128</v>
      </c>
      <c r="AW476" s="3" t="s">
        <v>74</v>
      </c>
      <c r="AX476" s="3" t="s">
        <v>74</v>
      </c>
      <c r="AY476" s="3" t="s">
        <v>74</v>
      </c>
      <c r="AZ476" s="3" t="s">
        <v>74</v>
      </c>
      <c r="BA476" s="3" t="s">
        <v>74</v>
      </c>
      <c r="BB476" s="3">
        <v>2283</v>
      </c>
      <c r="BC476" s="3">
        <v>2290</v>
      </c>
      <c r="BD476" s="3" t="s">
        <v>74</v>
      </c>
      <c r="BE476" s="3" t="s">
        <v>74</v>
      </c>
      <c r="BF476" s="3" t="s">
        <v>74</v>
      </c>
      <c r="BG476" s="3" t="s">
        <v>74</v>
      </c>
      <c r="BH476" s="3" t="s">
        <v>74</v>
      </c>
      <c r="BI476" s="3">
        <v>8</v>
      </c>
      <c r="BJ476" s="3" t="s">
        <v>9604</v>
      </c>
      <c r="BK476" s="3" t="s">
        <v>2556</v>
      </c>
      <c r="BL476" s="3" t="s">
        <v>98</v>
      </c>
      <c r="BM476" s="3" t="s">
        <v>9605</v>
      </c>
      <c r="BN476" s="3" t="s">
        <v>74</v>
      </c>
      <c r="BO476" s="3" t="s">
        <v>74</v>
      </c>
      <c r="BP476" s="3" t="s">
        <v>74</v>
      </c>
      <c r="BQ476" s="3" t="s">
        <v>74</v>
      </c>
      <c r="BR476" s="3" t="s">
        <v>101</v>
      </c>
      <c r="BS476" s="3" t="s">
        <v>9606</v>
      </c>
      <c r="BT476" s="3" t="str">
        <f>HYPERLINK("https%3A%2F%2Fwww.webofscience.com%2Fwos%2Fwoscc%2Ffull-record%2FWOS:000701397802062","View Full Record in Web of Science")</f>
        <v>View Full Record in Web of Science</v>
      </c>
      <c r="BU476" s="3"/>
      <c r="BV476" s="3"/>
      <c r="BW476" s="1"/>
    </row>
    <row r="477" spans="1:75" x14ac:dyDescent="0.25">
      <c r="A477" s="3" t="s">
        <v>72</v>
      </c>
      <c r="B477" s="3" t="s">
        <v>9607</v>
      </c>
      <c r="C477" s="3" t="s">
        <v>74</v>
      </c>
      <c r="D477" s="3" t="s">
        <v>74</v>
      </c>
      <c r="E477" s="3" t="s">
        <v>74</v>
      </c>
      <c r="F477" s="3" t="s">
        <v>9608</v>
      </c>
      <c r="G477" s="3" t="s">
        <v>74</v>
      </c>
      <c r="H477" s="3" t="s">
        <v>74</v>
      </c>
      <c r="I477" s="3" t="s">
        <v>9609</v>
      </c>
      <c r="J477" s="3" t="s">
        <v>9610</v>
      </c>
      <c r="K477" s="3" t="s">
        <v>74</v>
      </c>
      <c r="L477" s="3" t="s">
        <v>74</v>
      </c>
      <c r="M477" s="3" t="s">
        <v>110</v>
      </c>
      <c r="N477" s="3" t="s">
        <v>79</v>
      </c>
      <c r="O477" s="3" t="s">
        <v>74</v>
      </c>
      <c r="P477" s="3" t="s">
        <v>74</v>
      </c>
      <c r="Q477" s="3" t="s">
        <v>74</v>
      </c>
      <c r="R477" s="3" t="s">
        <v>74</v>
      </c>
      <c r="S477" s="3" t="s">
        <v>74</v>
      </c>
      <c r="T477" s="3" t="s">
        <v>9611</v>
      </c>
      <c r="U477" s="3" t="s">
        <v>9612</v>
      </c>
      <c r="V477" s="3" t="s">
        <v>9613</v>
      </c>
      <c r="W477" s="3" t="s">
        <v>9614</v>
      </c>
      <c r="X477" s="3" t="s">
        <v>9615</v>
      </c>
      <c r="Y477" s="3" t="s">
        <v>9616</v>
      </c>
      <c r="Z477" s="3" t="s">
        <v>9617</v>
      </c>
      <c r="AA477" s="3" t="s">
        <v>9618</v>
      </c>
      <c r="AB477" s="3" t="s">
        <v>9619</v>
      </c>
      <c r="AC477" s="3" t="s">
        <v>9620</v>
      </c>
      <c r="AD477" s="3" t="s">
        <v>9621</v>
      </c>
      <c r="AE477" s="3" t="s">
        <v>9622</v>
      </c>
      <c r="AF477" s="3" t="s">
        <v>74</v>
      </c>
      <c r="AG477" s="3">
        <v>48</v>
      </c>
      <c r="AH477" s="3">
        <v>56</v>
      </c>
      <c r="AI477" s="3">
        <v>66</v>
      </c>
      <c r="AJ477" s="3">
        <v>0</v>
      </c>
      <c r="AK477" s="3">
        <v>97</v>
      </c>
      <c r="AL477" s="3" t="s">
        <v>671</v>
      </c>
      <c r="AM477" s="3" t="s">
        <v>124</v>
      </c>
      <c r="AN477" s="3" t="s">
        <v>9623</v>
      </c>
      <c r="AO477" s="3" t="s">
        <v>9624</v>
      </c>
      <c r="AP477" s="3" t="s">
        <v>9625</v>
      </c>
      <c r="AQ477" s="3" t="s">
        <v>74</v>
      </c>
      <c r="AR477" s="3" t="s">
        <v>9626</v>
      </c>
      <c r="AS477" s="3" t="s">
        <v>9627</v>
      </c>
      <c r="AT477" s="3" t="s">
        <v>1450</v>
      </c>
      <c r="AU477" s="3">
        <v>2020</v>
      </c>
      <c r="AV477" s="3">
        <v>108</v>
      </c>
      <c r="AW477" s="3" t="s">
        <v>74</v>
      </c>
      <c r="AX477" s="3" t="s">
        <v>74</v>
      </c>
      <c r="AY477" s="3" t="s">
        <v>74</v>
      </c>
      <c r="AZ477" s="3" t="s">
        <v>74</v>
      </c>
      <c r="BA477" s="3" t="s">
        <v>74</v>
      </c>
      <c r="BB477" s="3">
        <v>976</v>
      </c>
      <c r="BC477" s="3">
        <v>986</v>
      </c>
      <c r="BD477" s="3" t="s">
        <v>74</v>
      </c>
      <c r="BE477" s="3" t="s">
        <v>9628</v>
      </c>
      <c r="BF477" s="3" t="str">
        <f>HYPERLINK("http://dx.doi.org/10.1016/j.future.2017.12.012","http://dx.doi.org/10.1016/j.future.2017.12.012")</f>
        <v>http://dx.doi.org/10.1016/j.future.2017.12.012</v>
      </c>
      <c r="BG477" s="3" t="s">
        <v>74</v>
      </c>
      <c r="BH477" s="3" t="s">
        <v>74</v>
      </c>
      <c r="BI477" s="3">
        <v>11</v>
      </c>
      <c r="BJ477" s="3" t="s">
        <v>2933</v>
      </c>
      <c r="BK477" s="3" t="s">
        <v>179</v>
      </c>
      <c r="BL477" s="3" t="s">
        <v>486</v>
      </c>
      <c r="BM477" s="3" t="s">
        <v>9629</v>
      </c>
      <c r="BN477" s="3" t="s">
        <v>74</v>
      </c>
      <c r="BO477" s="3" t="s">
        <v>74</v>
      </c>
      <c r="BP477" s="3" t="s">
        <v>74</v>
      </c>
      <c r="BQ477" s="3" t="s">
        <v>74</v>
      </c>
      <c r="BR477" s="3" t="s">
        <v>101</v>
      </c>
      <c r="BS477" s="3" t="s">
        <v>9630</v>
      </c>
      <c r="BT477" s="3" t="str">
        <f>HYPERLINK("https%3A%2F%2Fwww.webofscience.com%2Fwos%2Fwoscc%2Ffull-record%2FWOS:000528199900072","View Full Record in Web of Science")</f>
        <v>View Full Record in Web of Science</v>
      </c>
      <c r="BU477" s="3"/>
      <c r="BV477" s="3"/>
      <c r="BW477" s="1"/>
    </row>
    <row r="478" spans="1:75" x14ac:dyDescent="0.25">
      <c r="A478" s="3" t="s">
        <v>103</v>
      </c>
      <c r="B478" s="3" t="s">
        <v>9631</v>
      </c>
      <c r="C478" s="3" t="s">
        <v>74</v>
      </c>
      <c r="D478" s="3" t="s">
        <v>74</v>
      </c>
      <c r="E478" s="3" t="s">
        <v>9632</v>
      </c>
      <c r="F478" s="3" t="s">
        <v>9633</v>
      </c>
      <c r="G478" s="3" t="s">
        <v>74</v>
      </c>
      <c r="H478" s="3" t="s">
        <v>74</v>
      </c>
      <c r="I478" s="3" t="s">
        <v>9634</v>
      </c>
      <c r="J478" s="3" t="s">
        <v>9635</v>
      </c>
      <c r="K478" s="3" t="s">
        <v>3622</v>
      </c>
      <c r="L478" s="3" t="s">
        <v>74</v>
      </c>
      <c r="M478" s="3" t="s">
        <v>110</v>
      </c>
      <c r="N478" s="3" t="s">
        <v>111</v>
      </c>
      <c r="O478" s="3" t="s">
        <v>9636</v>
      </c>
      <c r="P478" s="3" t="s">
        <v>9637</v>
      </c>
      <c r="Q478" s="3" t="s">
        <v>1786</v>
      </c>
      <c r="R478" s="3" t="s">
        <v>74</v>
      </c>
      <c r="S478" s="3" t="s">
        <v>74</v>
      </c>
      <c r="T478" s="3" t="s">
        <v>74</v>
      </c>
      <c r="U478" s="3" t="s">
        <v>74</v>
      </c>
      <c r="V478" s="3" t="s">
        <v>9638</v>
      </c>
      <c r="W478" s="3" t="s">
        <v>9639</v>
      </c>
      <c r="X478" s="3" t="s">
        <v>9640</v>
      </c>
      <c r="Y478" s="3" t="s">
        <v>9641</v>
      </c>
      <c r="Z478" s="3" t="s">
        <v>9642</v>
      </c>
      <c r="AA478" s="3" t="s">
        <v>74</v>
      </c>
      <c r="AB478" s="3" t="s">
        <v>74</v>
      </c>
      <c r="AC478" s="3" t="s">
        <v>9643</v>
      </c>
      <c r="AD478" s="3" t="s">
        <v>9644</v>
      </c>
      <c r="AE478" s="3" t="s">
        <v>9645</v>
      </c>
      <c r="AF478" s="3" t="s">
        <v>74</v>
      </c>
      <c r="AG478" s="3">
        <v>7</v>
      </c>
      <c r="AH478" s="3">
        <v>3</v>
      </c>
      <c r="AI478" s="3">
        <v>4</v>
      </c>
      <c r="AJ478" s="3">
        <v>3</v>
      </c>
      <c r="AK478" s="3">
        <v>46</v>
      </c>
      <c r="AL478" s="3" t="s">
        <v>2073</v>
      </c>
      <c r="AM478" s="3" t="s">
        <v>2074</v>
      </c>
      <c r="AN478" s="3" t="s">
        <v>2075</v>
      </c>
      <c r="AO478" s="3" t="s">
        <v>3637</v>
      </c>
      <c r="AP478" s="3" t="s">
        <v>3638</v>
      </c>
      <c r="AQ478" s="3" t="s">
        <v>74</v>
      </c>
      <c r="AR478" s="3" t="s">
        <v>3639</v>
      </c>
      <c r="AS478" s="3" t="s">
        <v>74</v>
      </c>
      <c r="AT478" s="3" t="s">
        <v>74</v>
      </c>
      <c r="AU478" s="3">
        <v>2019</v>
      </c>
      <c r="AV478" s="3">
        <v>1176</v>
      </c>
      <c r="AW478" s="3" t="s">
        <v>74</v>
      </c>
      <c r="AX478" s="3" t="s">
        <v>74</v>
      </c>
      <c r="AY478" s="3" t="s">
        <v>74</v>
      </c>
      <c r="AZ478" s="3" t="s">
        <v>74</v>
      </c>
      <c r="BA478" s="3" t="s">
        <v>74</v>
      </c>
      <c r="BB478" s="3" t="s">
        <v>74</v>
      </c>
      <c r="BC478" s="3" t="s">
        <v>74</v>
      </c>
      <c r="BD478" s="3">
        <v>42060</v>
      </c>
      <c r="BE478" s="3" t="s">
        <v>9646</v>
      </c>
      <c r="BF478" s="3" t="str">
        <f>HYPERLINK("http://dx.doi.org/10.1088/1742-6596/1176/4/042060","http://dx.doi.org/10.1088/1742-6596/1176/4/042060")</f>
        <v>http://dx.doi.org/10.1088/1742-6596/1176/4/042060</v>
      </c>
      <c r="BG478" s="3" t="s">
        <v>74</v>
      </c>
      <c r="BH478" s="3" t="s">
        <v>74</v>
      </c>
      <c r="BI478" s="3">
        <v>7</v>
      </c>
      <c r="BJ478" s="3" t="s">
        <v>9647</v>
      </c>
      <c r="BK478" s="3" t="s">
        <v>208</v>
      </c>
      <c r="BL478" s="3" t="s">
        <v>383</v>
      </c>
      <c r="BM478" s="3" t="s">
        <v>9648</v>
      </c>
      <c r="BN478" s="3" t="s">
        <v>74</v>
      </c>
      <c r="BO478" s="3" t="s">
        <v>100</v>
      </c>
      <c r="BP478" s="3" t="s">
        <v>74</v>
      </c>
      <c r="BQ478" s="3" t="s">
        <v>74</v>
      </c>
      <c r="BR478" s="3" t="s">
        <v>101</v>
      </c>
      <c r="BS478" s="3" t="s">
        <v>9649</v>
      </c>
      <c r="BT478" s="3" t="str">
        <f>HYPERLINK("https%3A%2F%2Fwww.webofscience.com%2Fwos%2Fwoscc%2Ffull-record%2FWOS:000471819100169","View Full Record in Web of Science")</f>
        <v>View Full Record in Web of Science</v>
      </c>
      <c r="BU478" s="3"/>
      <c r="BV478" s="3"/>
      <c r="BW478" s="1"/>
    </row>
    <row r="479" spans="1:75" x14ac:dyDescent="0.25">
      <c r="A479" s="3" t="s">
        <v>103</v>
      </c>
      <c r="B479" s="3" t="s">
        <v>8615</v>
      </c>
      <c r="C479" s="3" t="s">
        <v>74</v>
      </c>
      <c r="D479" s="3" t="s">
        <v>9650</v>
      </c>
      <c r="E479" s="3" t="s">
        <v>74</v>
      </c>
      <c r="F479" s="3" t="s">
        <v>8616</v>
      </c>
      <c r="G479" s="3" t="s">
        <v>74</v>
      </c>
      <c r="H479" s="3" t="s">
        <v>74</v>
      </c>
      <c r="I479" s="3" t="s">
        <v>9651</v>
      </c>
      <c r="J479" s="3" t="s">
        <v>9652</v>
      </c>
      <c r="K479" s="3" t="s">
        <v>7537</v>
      </c>
      <c r="L479" s="3" t="s">
        <v>74</v>
      </c>
      <c r="M479" s="3" t="s">
        <v>110</v>
      </c>
      <c r="N479" s="3" t="s">
        <v>111</v>
      </c>
      <c r="O479" s="3" t="s">
        <v>9653</v>
      </c>
      <c r="P479" s="3" t="s">
        <v>9654</v>
      </c>
      <c r="Q479" s="3" t="s">
        <v>9655</v>
      </c>
      <c r="R479" s="3" t="s">
        <v>74</v>
      </c>
      <c r="S479" s="3" t="s">
        <v>9656</v>
      </c>
      <c r="T479" s="3" t="s">
        <v>9657</v>
      </c>
      <c r="U479" s="3" t="s">
        <v>74</v>
      </c>
      <c r="V479" s="3" t="s">
        <v>9658</v>
      </c>
      <c r="W479" s="3" t="s">
        <v>9659</v>
      </c>
      <c r="X479" s="3" t="s">
        <v>8622</v>
      </c>
      <c r="Y479" s="3" t="s">
        <v>9660</v>
      </c>
      <c r="Z479" s="3" t="s">
        <v>8624</v>
      </c>
      <c r="AA479" s="3" t="s">
        <v>74</v>
      </c>
      <c r="AB479" s="3" t="s">
        <v>8625</v>
      </c>
      <c r="AC479" s="3" t="s">
        <v>74</v>
      </c>
      <c r="AD479" s="3" t="s">
        <v>74</v>
      </c>
      <c r="AE479" s="3" t="s">
        <v>74</v>
      </c>
      <c r="AF479" s="3" t="s">
        <v>74</v>
      </c>
      <c r="AG479" s="3">
        <v>38</v>
      </c>
      <c r="AH479" s="3">
        <v>2</v>
      </c>
      <c r="AI479" s="3">
        <v>5</v>
      </c>
      <c r="AJ479" s="3">
        <v>1</v>
      </c>
      <c r="AK479" s="3">
        <v>40</v>
      </c>
      <c r="AL479" s="3" t="s">
        <v>374</v>
      </c>
      <c r="AM479" s="3" t="s">
        <v>375</v>
      </c>
      <c r="AN479" s="3" t="s">
        <v>376</v>
      </c>
      <c r="AO479" s="3" t="s">
        <v>7555</v>
      </c>
      <c r="AP479" s="3" t="s">
        <v>7556</v>
      </c>
      <c r="AQ479" s="3" t="s">
        <v>9661</v>
      </c>
      <c r="AR479" s="3" t="s">
        <v>7558</v>
      </c>
      <c r="AS479" s="3" t="s">
        <v>74</v>
      </c>
      <c r="AT479" s="3" t="s">
        <v>74</v>
      </c>
      <c r="AU479" s="3">
        <v>2019</v>
      </c>
      <c r="AV479" s="3" t="s">
        <v>74</v>
      </c>
      <c r="AW479" s="3" t="s">
        <v>74</v>
      </c>
      <c r="AX479" s="3" t="s">
        <v>74</v>
      </c>
      <c r="AY479" s="3" t="s">
        <v>74</v>
      </c>
      <c r="AZ479" s="3" t="s">
        <v>74</v>
      </c>
      <c r="BA479" s="3" t="s">
        <v>74</v>
      </c>
      <c r="BB479" s="3">
        <v>115</v>
      </c>
      <c r="BC479" s="3">
        <v>126</v>
      </c>
      <c r="BD479" s="3" t="s">
        <v>74</v>
      </c>
      <c r="BE479" s="3" t="s">
        <v>9662</v>
      </c>
      <c r="BF479" s="3" t="str">
        <f>HYPERLINK("http://dx.doi.org/10.1007/978-3-030-17743-0_10","http://dx.doi.org/10.1007/978-3-030-17743-0_10")</f>
        <v>http://dx.doi.org/10.1007/978-3-030-17743-0_10</v>
      </c>
      <c r="BG479" s="3" t="s">
        <v>74</v>
      </c>
      <c r="BH479" s="3" t="s">
        <v>74</v>
      </c>
      <c r="BI479" s="3">
        <v>12</v>
      </c>
      <c r="BJ479" s="3" t="s">
        <v>9663</v>
      </c>
      <c r="BK479" s="3" t="s">
        <v>2556</v>
      </c>
      <c r="BL479" s="3" t="s">
        <v>9664</v>
      </c>
      <c r="BM479" s="3" t="s">
        <v>9665</v>
      </c>
      <c r="BN479" s="3" t="s">
        <v>74</v>
      </c>
      <c r="BO479" s="3" t="s">
        <v>74</v>
      </c>
      <c r="BP479" s="3" t="s">
        <v>74</v>
      </c>
      <c r="BQ479" s="3" t="s">
        <v>74</v>
      </c>
      <c r="BR479" s="3" t="s">
        <v>101</v>
      </c>
      <c r="BS479" s="3" t="s">
        <v>9666</v>
      </c>
      <c r="BT479" s="3" t="str">
        <f>HYPERLINK("https%3A%2F%2Fwww.webofscience.com%2Fwos%2Fwoscc%2Ffull-record%2FWOS:000678775100010","View Full Record in Web of Science")</f>
        <v>View Full Record in Web of Science</v>
      </c>
      <c r="BU479" s="3"/>
      <c r="BV479" s="3"/>
      <c r="BW479" s="1"/>
    </row>
    <row r="480" spans="1:75" x14ac:dyDescent="0.25">
      <c r="A480" s="3" t="s">
        <v>103</v>
      </c>
      <c r="B480" s="3" t="s">
        <v>9667</v>
      </c>
      <c r="C480" s="3" t="s">
        <v>74</v>
      </c>
      <c r="D480" s="3" t="s">
        <v>9668</v>
      </c>
      <c r="E480" s="3" t="s">
        <v>74</v>
      </c>
      <c r="F480" s="3" t="s">
        <v>9669</v>
      </c>
      <c r="G480" s="3" t="s">
        <v>74</v>
      </c>
      <c r="H480" s="3" t="s">
        <v>74</v>
      </c>
      <c r="I480" s="3" t="s">
        <v>9670</v>
      </c>
      <c r="J480" s="3" t="s">
        <v>9671</v>
      </c>
      <c r="K480" s="3" t="s">
        <v>74</v>
      </c>
      <c r="L480" s="3" t="s">
        <v>74</v>
      </c>
      <c r="M480" s="3" t="s">
        <v>110</v>
      </c>
      <c r="N480" s="3" t="s">
        <v>111</v>
      </c>
      <c r="O480" s="3" t="s">
        <v>9672</v>
      </c>
      <c r="P480" s="3" t="s">
        <v>9673</v>
      </c>
      <c r="Q480" s="3" t="s">
        <v>9674</v>
      </c>
      <c r="R480" s="3" t="s">
        <v>74</v>
      </c>
      <c r="S480" s="3" t="s">
        <v>74</v>
      </c>
      <c r="T480" s="3" t="s">
        <v>74</v>
      </c>
      <c r="U480" s="3" t="s">
        <v>74</v>
      </c>
      <c r="V480" s="3" t="s">
        <v>9675</v>
      </c>
      <c r="W480" s="3" t="s">
        <v>9676</v>
      </c>
      <c r="X480" s="3" t="s">
        <v>74</v>
      </c>
      <c r="Y480" s="3" t="s">
        <v>9677</v>
      </c>
      <c r="Z480" s="3" t="s">
        <v>9678</v>
      </c>
      <c r="AA480" s="3" t="s">
        <v>74</v>
      </c>
      <c r="AB480" s="3" t="s">
        <v>74</v>
      </c>
      <c r="AC480" s="3" t="s">
        <v>74</v>
      </c>
      <c r="AD480" s="3" t="s">
        <v>74</v>
      </c>
      <c r="AE480" s="3" t="s">
        <v>74</v>
      </c>
      <c r="AF480" s="3" t="s">
        <v>74</v>
      </c>
      <c r="AG480" s="3">
        <v>9</v>
      </c>
      <c r="AH480" s="3">
        <v>2</v>
      </c>
      <c r="AI480" s="3">
        <v>2</v>
      </c>
      <c r="AJ480" s="3">
        <v>0</v>
      </c>
      <c r="AK480" s="3">
        <v>0</v>
      </c>
      <c r="AL480" s="3" t="s">
        <v>1774</v>
      </c>
      <c r="AM480" s="3" t="s">
        <v>200</v>
      </c>
      <c r="AN480" s="3" t="s">
        <v>1775</v>
      </c>
      <c r="AO480" s="3" t="s">
        <v>74</v>
      </c>
      <c r="AP480" s="3" t="s">
        <v>74</v>
      </c>
      <c r="AQ480" s="3" t="s">
        <v>9679</v>
      </c>
      <c r="AR480" s="3" t="s">
        <v>74</v>
      </c>
      <c r="AS480" s="3" t="s">
        <v>74</v>
      </c>
      <c r="AT480" s="3" t="s">
        <v>74</v>
      </c>
      <c r="AU480" s="3">
        <v>2019</v>
      </c>
      <c r="AV480" s="3" t="s">
        <v>74</v>
      </c>
      <c r="AW480" s="3" t="s">
        <v>74</v>
      </c>
      <c r="AX480" s="3" t="s">
        <v>74</v>
      </c>
      <c r="AY480" s="3" t="s">
        <v>74</v>
      </c>
      <c r="AZ480" s="3" t="s">
        <v>74</v>
      </c>
      <c r="BA480" s="3" t="s">
        <v>74</v>
      </c>
      <c r="BB480" s="3">
        <v>347</v>
      </c>
      <c r="BC480" s="3">
        <v>358</v>
      </c>
      <c r="BD480" s="3" t="s">
        <v>74</v>
      </c>
      <c r="BE480" s="3" t="s">
        <v>74</v>
      </c>
      <c r="BF480" s="3" t="s">
        <v>74</v>
      </c>
      <c r="BG480" s="3" t="s">
        <v>74</v>
      </c>
      <c r="BH480" s="3" t="s">
        <v>74</v>
      </c>
      <c r="BI480" s="3">
        <v>12</v>
      </c>
      <c r="BJ480" s="3" t="s">
        <v>2355</v>
      </c>
      <c r="BK480" s="3" t="s">
        <v>208</v>
      </c>
      <c r="BL480" s="3" t="s">
        <v>131</v>
      </c>
      <c r="BM480" s="3" t="s">
        <v>9680</v>
      </c>
      <c r="BN480" s="3" t="s">
        <v>74</v>
      </c>
      <c r="BO480" s="3" t="s">
        <v>74</v>
      </c>
      <c r="BP480" s="3" t="s">
        <v>74</v>
      </c>
      <c r="BQ480" s="3" t="s">
        <v>74</v>
      </c>
      <c r="BR480" s="3" t="s">
        <v>101</v>
      </c>
      <c r="BS480" s="3" t="s">
        <v>9681</v>
      </c>
      <c r="BT480" s="3" t="str">
        <f>HYPERLINK("https%3A%2F%2Fwww.webofscience.com%2Fwos%2Fwoscc%2Ffull-record%2FWOS:000568192300033","View Full Record in Web of Science")</f>
        <v>View Full Record in Web of Science</v>
      </c>
      <c r="BU480" s="3"/>
      <c r="BV480" s="3"/>
      <c r="BW480" s="1"/>
    </row>
    <row r="481" spans="1:75" x14ac:dyDescent="0.25">
      <c r="A481" s="3" t="s">
        <v>72</v>
      </c>
      <c r="B481" s="3" t="s">
        <v>9682</v>
      </c>
      <c r="C481" s="3" t="s">
        <v>74</v>
      </c>
      <c r="D481" s="3" t="s">
        <v>74</v>
      </c>
      <c r="E481" s="3" t="s">
        <v>74</v>
      </c>
      <c r="F481" s="3" t="s">
        <v>9683</v>
      </c>
      <c r="G481" s="3" t="s">
        <v>74</v>
      </c>
      <c r="H481" s="3" t="s">
        <v>74</v>
      </c>
      <c r="I481" s="3" t="s">
        <v>9684</v>
      </c>
      <c r="J481" s="3" t="s">
        <v>5460</v>
      </c>
      <c r="K481" s="3" t="s">
        <v>74</v>
      </c>
      <c r="L481" s="3" t="s">
        <v>74</v>
      </c>
      <c r="M481" s="3" t="s">
        <v>110</v>
      </c>
      <c r="N481" s="3" t="s">
        <v>1784</v>
      </c>
      <c r="O481" s="3" t="s">
        <v>9685</v>
      </c>
      <c r="P481" s="3" t="s">
        <v>9686</v>
      </c>
      <c r="Q481" s="3" t="s">
        <v>2436</v>
      </c>
      <c r="R481" s="3" t="s">
        <v>74</v>
      </c>
      <c r="S481" s="3" t="s">
        <v>74</v>
      </c>
      <c r="T481" s="3" t="s">
        <v>9687</v>
      </c>
      <c r="U481" s="3" t="s">
        <v>74</v>
      </c>
      <c r="V481" s="3" t="s">
        <v>9688</v>
      </c>
      <c r="W481" s="3" t="s">
        <v>9689</v>
      </c>
      <c r="X481" s="3" t="s">
        <v>9690</v>
      </c>
      <c r="Y481" s="3" t="s">
        <v>9691</v>
      </c>
      <c r="Z481" s="3" t="s">
        <v>9692</v>
      </c>
      <c r="AA481" s="3" t="s">
        <v>549</v>
      </c>
      <c r="AB481" s="3" t="s">
        <v>9693</v>
      </c>
      <c r="AC481" s="3" t="s">
        <v>9694</v>
      </c>
      <c r="AD481" s="3" t="s">
        <v>9695</v>
      </c>
      <c r="AE481" s="3" t="s">
        <v>74</v>
      </c>
      <c r="AF481" s="3" t="s">
        <v>74</v>
      </c>
      <c r="AG481" s="3">
        <v>36</v>
      </c>
      <c r="AH481" s="3">
        <v>33</v>
      </c>
      <c r="AI481" s="3">
        <v>36</v>
      </c>
      <c r="AJ481" s="3">
        <v>2</v>
      </c>
      <c r="AK481" s="3">
        <v>74</v>
      </c>
      <c r="AL481" s="3" t="s">
        <v>671</v>
      </c>
      <c r="AM481" s="3" t="s">
        <v>124</v>
      </c>
      <c r="AN481" s="3" t="s">
        <v>672</v>
      </c>
      <c r="AO481" s="3" t="s">
        <v>5471</v>
      </c>
      <c r="AP481" s="3" t="s">
        <v>5472</v>
      </c>
      <c r="AQ481" s="3" t="s">
        <v>74</v>
      </c>
      <c r="AR481" s="3" t="s">
        <v>5473</v>
      </c>
      <c r="AS481" s="3" t="s">
        <v>5474</v>
      </c>
      <c r="AT481" s="3" t="s">
        <v>1240</v>
      </c>
      <c r="AU481" s="3">
        <v>2012</v>
      </c>
      <c r="AV481" s="3">
        <v>137</v>
      </c>
      <c r="AW481" s="3">
        <v>1</v>
      </c>
      <c r="AX481" s="3" t="s">
        <v>74</v>
      </c>
      <c r="AY481" s="3" t="s">
        <v>74</v>
      </c>
      <c r="AZ481" s="3" t="s">
        <v>74</v>
      </c>
      <c r="BA481" s="3" t="s">
        <v>74</v>
      </c>
      <c r="BB481" s="3">
        <v>165</v>
      </c>
      <c r="BC481" s="3">
        <v>175</v>
      </c>
      <c r="BD481" s="3" t="s">
        <v>74</v>
      </c>
      <c r="BE481" s="3" t="s">
        <v>9696</v>
      </c>
      <c r="BF481" s="3" t="str">
        <f>HYPERLINK("http://dx.doi.org/10.1016/j.ijpe.2011.11.006","http://dx.doi.org/10.1016/j.ijpe.2011.11.006")</f>
        <v>http://dx.doi.org/10.1016/j.ijpe.2011.11.006</v>
      </c>
      <c r="BG481" s="3" t="s">
        <v>74</v>
      </c>
      <c r="BH481" s="3" t="s">
        <v>74</v>
      </c>
      <c r="BI481" s="3">
        <v>11</v>
      </c>
      <c r="BJ481" s="3" t="s">
        <v>1591</v>
      </c>
      <c r="BK481" s="3" t="s">
        <v>6405</v>
      </c>
      <c r="BL481" s="3" t="s">
        <v>209</v>
      </c>
      <c r="BM481" s="3" t="s">
        <v>9697</v>
      </c>
      <c r="BN481" s="3" t="s">
        <v>74</v>
      </c>
      <c r="BO481" s="3" t="s">
        <v>884</v>
      </c>
      <c r="BP481" s="3" t="s">
        <v>74</v>
      </c>
      <c r="BQ481" s="3" t="s">
        <v>74</v>
      </c>
      <c r="BR481" s="3" t="s">
        <v>101</v>
      </c>
      <c r="BS481" s="3" t="s">
        <v>9698</v>
      </c>
      <c r="BT481" s="3" t="str">
        <f>HYPERLINK("https%3A%2F%2Fwww.webofscience.com%2Fwos%2Fwoscc%2Ffull-record%2FWOS:000302526900017","View Full Record in Web of Science")</f>
        <v>View Full Record in Web of Science</v>
      </c>
      <c r="BU481" s="3"/>
      <c r="BV481" s="3"/>
      <c r="BW481" s="1"/>
    </row>
    <row r="482" spans="1:75" x14ac:dyDescent="0.25">
      <c r="A482" s="3" t="s">
        <v>103</v>
      </c>
      <c r="B482" s="3" t="s">
        <v>9699</v>
      </c>
      <c r="C482" s="3" t="s">
        <v>74</v>
      </c>
      <c r="D482" s="3" t="s">
        <v>9700</v>
      </c>
      <c r="E482" s="3" t="s">
        <v>74</v>
      </c>
      <c r="F482" s="3" t="s">
        <v>9701</v>
      </c>
      <c r="G482" s="3" t="s">
        <v>74</v>
      </c>
      <c r="H482" s="3" t="s">
        <v>74</v>
      </c>
      <c r="I482" s="3" t="s">
        <v>9702</v>
      </c>
      <c r="J482" s="3" t="s">
        <v>9703</v>
      </c>
      <c r="K482" s="3" t="s">
        <v>74</v>
      </c>
      <c r="L482" s="3" t="s">
        <v>74</v>
      </c>
      <c r="M482" s="3" t="s">
        <v>110</v>
      </c>
      <c r="N482" s="3" t="s">
        <v>111</v>
      </c>
      <c r="O482" s="3" t="s">
        <v>9704</v>
      </c>
      <c r="P482" s="3" t="s">
        <v>9705</v>
      </c>
      <c r="Q482" s="3" t="s">
        <v>9706</v>
      </c>
      <c r="R482" s="3" t="s">
        <v>74</v>
      </c>
      <c r="S482" s="3" t="s">
        <v>74</v>
      </c>
      <c r="T482" s="3" t="s">
        <v>9707</v>
      </c>
      <c r="U482" s="3" t="s">
        <v>9708</v>
      </c>
      <c r="V482" s="3" t="s">
        <v>9709</v>
      </c>
      <c r="W482" s="3" t="s">
        <v>9710</v>
      </c>
      <c r="X482" s="3" t="s">
        <v>9711</v>
      </c>
      <c r="Y482" s="3" t="s">
        <v>9712</v>
      </c>
      <c r="Z482" s="3" t="s">
        <v>9713</v>
      </c>
      <c r="AA482" s="3" t="s">
        <v>9714</v>
      </c>
      <c r="AB482" s="3" t="s">
        <v>9715</v>
      </c>
      <c r="AC482" s="3" t="s">
        <v>74</v>
      </c>
      <c r="AD482" s="3" t="s">
        <v>74</v>
      </c>
      <c r="AE482" s="3" t="s">
        <v>74</v>
      </c>
      <c r="AF482" s="3" t="s">
        <v>74</v>
      </c>
      <c r="AG482" s="3">
        <v>8</v>
      </c>
      <c r="AH482" s="3">
        <v>0</v>
      </c>
      <c r="AI482" s="3">
        <v>0</v>
      </c>
      <c r="AJ482" s="3">
        <v>0</v>
      </c>
      <c r="AK482" s="3">
        <v>3</v>
      </c>
      <c r="AL482" s="3" t="s">
        <v>199</v>
      </c>
      <c r="AM482" s="3" t="s">
        <v>200</v>
      </c>
      <c r="AN482" s="3" t="s">
        <v>201</v>
      </c>
      <c r="AO482" s="3" t="s">
        <v>74</v>
      </c>
      <c r="AP482" s="3" t="s">
        <v>74</v>
      </c>
      <c r="AQ482" s="3" t="s">
        <v>9716</v>
      </c>
      <c r="AR482" s="3" t="s">
        <v>74</v>
      </c>
      <c r="AS482" s="3" t="s">
        <v>74</v>
      </c>
      <c r="AT482" s="3" t="s">
        <v>74</v>
      </c>
      <c r="AU482" s="3">
        <v>2019</v>
      </c>
      <c r="AV482" s="3" t="s">
        <v>74</v>
      </c>
      <c r="AW482" s="3" t="s">
        <v>74</v>
      </c>
      <c r="AX482" s="3" t="s">
        <v>74</v>
      </c>
      <c r="AY482" s="3" t="s">
        <v>74</v>
      </c>
      <c r="AZ482" s="3" t="s">
        <v>74</v>
      </c>
      <c r="BA482" s="3" t="s">
        <v>74</v>
      </c>
      <c r="BB482" s="3">
        <v>123</v>
      </c>
      <c r="BC482" s="3">
        <v>126</v>
      </c>
      <c r="BD482" s="3" t="s">
        <v>74</v>
      </c>
      <c r="BE482" s="3" t="s">
        <v>9717</v>
      </c>
      <c r="BF482" s="3" t="str">
        <f>HYPERLINK("http://dx.doi.org/10.1109/ecbios.2019.8807839","http://dx.doi.org/10.1109/ecbios.2019.8807839")</f>
        <v>http://dx.doi.org/10.1109/ecbios.2019.8807839</v>
      </c>
      <c r="BG482" s="3" t="s">
        <v>74</v>
      </c>
      <c r="BH482" s="3" t="s">
        <v>74</v>
      </c>
      <c r="BI482" s="3">
        <v>4</v>
      </c>
      <c r="BJ482" s="3" t="s">
        <v>9718</v>
      </c>
      <c r="BK482" s="3" t="s">
        <v>208</v>
      </c>
      <c r="BL482" s="3" t="s">
        <v>9719</v>
      </c>
      <c r="BM482" s="3" t="s">
        <v>9720</v>
      </c>
      <c r="BN482" s="3" t="s">
        <v>74</v>
      </c>
      <c r="BO482" s="3" t="s">
        <v>74</v>
      </c>
      <c r="BP482" s="3" t="s">
        <v>74</v>
      </c>
      <c r="BQ482" s="3" t="s">
        <v>74</v>
      </c>
      <c r="BR482" s="3" t="s">
        <v>101</v>
      </c>
      <c r="BS482" s="3" t="s">
        <v>9721</v>
      </c>
      <c r="BT482" s="3" t="str">
        <f>HYPERLINK("https%3A%2F%2Fwww.webofscience.com%2Fwos%2Fwoscc%2Ffull-record%2FWOS:000539483300034","View Full Record in Web of Science")</f>
        <v>View Full Record in Web of Science</v>
      </c>
      <c r="BU482" s="3"/>
      <c r="BV482" s="3"/>
      <c r="BW482" s="1"/>
    </row>
    <row r="483" spans="1:75" x14ac:dyDescent="0.25">
      <c r="A483" s="3" t="s">
        <v>103</v>
      </c>
      <c r="B483" s="3" t="s">
        <v>9722</v>
      </c>
      <c r="C483" s="3" t="s">
        <v>74</v>
      </c>
      <c r="D483" s="3" t="s">
        <v>9723</v>
      </c>
      <c r="E483" s="3" t="s">
        <v>74</v>
      </c>
      <c r="F483" s="3" t="s">
        <v>9724</v>
      </c>
      <c r="G483" s="3" t="s">
        <v>74</v>
      </c>
      <c r="H483" s="3" t="s">
        <v>74</v>
      </c>
      <c r="I483" s="3" t="s">
        <v>9725</v>
      </c>
      <c r="J483" s="3" t="s">
        <v>9726</v>
      </c>
      <c r="K483" s="3" t="s">
        <v>74</v>
      </c>
      <c r="L483" s="3" t="s">
        <v>74</v>
      </c>
      <c r="M483" s="3" t="s">
        <v>110</v>
      </c>
      <c r="N483" s="3" t="s">
        <v>111</v>
      </c>
      <c r="O483" s="3" t="s">
        <v>9727</v>
      </c>
      <c r="P483" s="3" t="s">
        <v>9728</v>
      </c>
      <c r="Q483" s="3" t="s">
        <v>4774</v>
      </c>
      <c r="R483" s="3" t="s">
        <v>74</v>
      </c>
      <c r="S483" s="3" t="s">
        <v>74</v>
      </c>
      <c r="T483" s="3" t="s">
        <v>9729</v>
      </c>
      <c r="U483" s="3" t="s">
        <v>74</v>
      </c>
      <c r="V483" s="3" t="s">
        <v>9730</v>
      </c>
      <c r="W483" s="3" t="s">
        <v>9731</v>
      </c>
      <c r="X483" s="3" t="s">
        <v>4012</v>
      </c>
      <c r="Y483" s="3" t="s">
        <v>9732</v>
      </c>
      <c r="Z483" s="3" t="s">
        <v>74</v>
      </c>
      <c r="AA483" s="3" t="s">
        <v>74</v>
      </c>
      <c r="AB483" s="3" t="s">
        <v>9733</v>
      </c>
      <c r="AC483" s="3" t="s">
        <v>9734</v>
      </c>
      <c r="AD483" s="3" t="s">
        <v>9735</v>
      </c>
      <c r="AE483" s="3" t="s">
        <v>9736</v>
      </c>
      <c r="AF483" s="3" t="s">
        <v>74</v>
      </c>
      <c r="AG483" s="3">
        <v>6</v>
      </c>
      <c r="AH483" s="3">
        <v>4</v>
      </c>
      <c r="AI483" s="3">
        <v>5</v>
      </c>
      <c r="AJ483" s="3">
        <v>0</v>
      </c>
      <c r="AK483" s="3">
        <v>25</v>
      </c>
      <c r="AL483" s="3" t="s">
        <v>199</v>
      </c>
      <c r="AM483" s="3" t="s">
        <v>200</v>
      </c>
      <c r="AN483" s="3" t="s">
        <v>201</v>
      </c>
      <c r="AO483" s="3" t="s">
        <v>74</v>
      </c>
      <c r="AP483" s="3" t="s">
        <v>74</v>
      </c>
      <c r="AQ483" s="3" t="s">
        <v>9737</v>
      </c>
      <c r="AR483" s="3" t="s">
        <v>74</v>
      </c>
      <c r="AS483" s="3" t="s">
        <v>74</v>
      </c>
      <c r="AT483" s="3" t="s">
        <v>74</v>
      </c>
      <c r="AU483" s="3">
        <v>2017</v>
      </c>
      <c r="AV483" s="3" t="s">
        <v>74</v>
      </c>
      <c r="AW483" s="3" t="s">
        <v>74</v>
      </c>
      <c r="AX483" s="3" t="s">
        <v>74</v>
      </c>
      <c r="AY483" s="3" t="s">
        <v>74</v>
      </c>
      <c r="AZ483" s="3" t="s">
        <v>74</v>
      </c>
      <c r="BA483" s="3" t="s">
        <v>74</v>
      </c>
      <c r="BB483" s="3" t="s">
        <v>74</v>
      </c>
      <c r="BC483" s="3" t="s">
        <v>74</v>
      </c>
      <c r="BD483" s="3" t="s">
        <v>74</v>
      </c>
      <c r="BE483" s="3" t="s">
        <v>9738</v>
      </c>
      <c r="BF483" s="3" t="str">
        <f>HYPERLINK("http://dx.doi.org/10.1109/SCSP.2017.7973858","http://dx.doi.org/10.1109/SCSP.2017.7973858")</f>
        <v>http://dx.doi.org/10.1109/SCSP.2017.7973858</v>
      </c>
      <c r="BG483" s="3" t="s">
        <v>74</v>
      </c>
      <c r="BH483" s="3" t="s">
        <v>74</v>
      </c>
      <c r="BI483" s="3">
        <v>6</v>
      </c>
      <c r="BJ483" s="3" t="s">
        <v>9739</v>
      </c>
      <c r="BK483" s="3" t="s">
        <v>130</v>
      </c>
      <c r="BL483" s="3" t="s">
        <v>9740</v>
      </c>
      <c r="BM483" s="3" t="s">
        <v>9741</v>
      </c>
      <c r="BN483" s="3" t="s">
        <v>74</v>
      </c>
      <c r="BO483" s="3" t="s">
        <v>74</v>
      </c>
      <c r="BP483" s="3" t="s">
        <v>74</v>
      </c>
      <c r="BQ483" s="3" t="s">
        <v>74</v>
      </c>
      <c r="BR483" s="3" t="s">
        <v>101</v>
      </c>
      <c r="BS483" s="3" t="s">
        <v>9742</v>
      </c>
      <c r="BT483" s="3" t="str">
        <f>HYPERLINK("https%3A%2F%2Fwww.webofscience.com%2Fwos%2Fwoscc%2Ffull-record%2FWOS:000443416600032","View Full Record in Web of Science")</f>
        <v>View Full Record in Web of Science</v>
      </c>
      <c r="BU483" s="3"/>
      <c r="BV483" s="3"/>
      <c r="BW483" s="1"/>
    </row>
    <row r="484" spans="1:75" x14ac:dyDescent="0.25">
      <c r="A484" s="3" t="s">
        <v>72</v>
      </c>
      <c r="B484" s="3" t="s">
        <v>9743</v>
      </c>
      <c r="C484" s="3" t="s">
        <v>74</v>
      </c>
      <c r="D484" s="3" t="s">
        <v>74</v>
      </c>
      <c r="E484" s="3" t="s">
        <v>74</v>
      </c>
      <c r="F484" s="3" t="s">
        <v>9744</v>
      </c>
      <c r="G484" s="3" t="s">
        <v>74</v>
      </c>
      <c r="H484" s="3" t="s">
        <v>74</v>
      </c>
      <c r="I484" s="3" t="s">
        <v>9745</v>
      </c>
      <c r="J484" s="3" t="s">
        <v>138</v>
      </c>
      <c r="K484" s="3" t="s">
        <v>74</v>
      </c>
      <c r="L484" s="3" t="s">
        <v>74</v>
      </c>
      <c r="M484" s="3" t="s">
        <v>110</v>
      </c>
      <c r="N484" s="3" t="s">
        <v>216</v>
      </c>
      <c r="O484" s="3" t="s">
        <v>74</v>
      </c>
      <c r="P484" s="3" t="s">
        <v>74</v>
      </c>
      <c r="Q484" s="3" t="s">
        <v>74</v>
      </c>
      <c r="R484" s="3" t="s">
        <v>74</v>
      </c>
      <c r="S484" s="3" t="s">
        <v>74</v>
      </c>
      <c r="T484" s="3" t="s">
        <v>9746</v>
      </c>
      <c r="U484" s="3" t="s">
        <v>9747</v>
      </c>
      <c r="V484" s="3" t="s">
        <v>9748</v>
      </c>
      <c r="W484" s="3" t="s">
        <v>9749</v>
      </c>
      <c r="X484" s="3" t="s">
        <v>9750</v>
      </c>
      <c r="Y484" s="3" t="s">
        <v>9751</v>
      </c>
      <c r="Z484" s="3" t="s">
        <v>9752</v>
      </c>
      <c r="AA484" s="3" t="s">
        <v>74</v>
      </c>
      <c r="AB484" s="3" t="s">
        <v>9753</v>
      </c>
      <c r="AC484" s="3" t="s">
        <v>9754</v>
      </c>
      <c r="AD484" s="3" t="s">
        <v>9755</v>
      </c>
      <c r="AE484" s="3" t="s">
        <v>9756</v>
      </c>
      <c r="AF484" s="3" t="s">
        <v>74</v>
      </c>
      <c r="AG484" s="3">
        <v>76</v>
      </c>
      <c r="AH484" s="3">
        <v>51</v>
      </c>
      <c r="AI484" s="3">
        <v>67</v>
      </c>
      <c r="AJ484" s="3">
        <v>5</v>
      </c>
      <c r="AK484" s="3">
        <v>155</v>
      </c>
      <c r="AL484" s="3" t="s">
        <v>145</v>
      </c>
      <c r="AM484" s="3" t="s">
        <v>146</v>
      </c>
      <c r="AN484" s="3" t="s">
        <v>279</v>
      </c>
      <c r="AO484" s="3" t="s">
        <v>74</v>
      </c>
      <c r="AP484" s="3" t="s">
        <v>148</v>
      </c>
      <c r="AQ484" s="3" t="s">
        <v>74</v>
      </c>
      <c r="AR484" s="3" t="s">
        <v>149</v>
      </c>
      <c r="AS484" s="3" t="s">
        <v>150</v>
      </c>
      <c r="AT484" s="3" t="s">
        <v>283</v>
      </c>
      <c r="AU484" s="3">
        <v>2018</v>
      </c>
      <c r="AV484" s="3">
        <v>10</v>
      </c>
      <c r="AW484" s="3">
        <v>8</v>
      </c>
      <c r="AX484" s="3" t="s">
        <v>74</v>
      </c>
      <c r="AY484" s="3" t="s">
        <v>74</v>
      </c>
      <c r="AZ484" s="3" t="s">
        <v>74</v>
      </c>
      <c r="BA484" s="3" t="s">
        <v>74</v>
      </c>
      <c r="BB484" s="3" t="s">
        <v>74</v>
      </c>
      <c r="BC484" s="3" t="s">
        <v>74</v>
      </c>
      <c r="BD484" s="3">
        <v>2815</v>
      </c>
      <c r="BE484" s="3" t="s">
        <v>9757</v>
      </c>
      <c r="BF484" s="3" t="str">
        <f>HYPERLINK("http://dx.doi.org/10.3390/su10082815","http://dx.doi.org/10.3390/su10082815")</f>
        <v>http://dx.doi.org/10.3390/su10082815</v>
      </c>
      <c r="BG484" s="3" t="s">
        <v>74</v>
      </c>
      <c r="BH484" s="3" t="s">
        <v>74</v>
      </c>
      <c r="BI484" s="3">
        <v>24</v>
      </c>
      <c r="BJ484" s="3" t="s">
        <v>153</v>
      </c>
      <c r="BK484" s="3" t="s">
        <v>154</v>
      </c>
      <c r="BL484" s="3" t="s">
        <v>155</v>
      </c>
      <c r="BM484" s="3" t="s">
        <v>9758</v>
      </c>
      <c r="BN484" s="3" t="s">
        <v>74</v>
      </c>
      <c r="BO484" s="3" t="s">
        <v>133</v>
      </c>
      <c r="BP484" s="3" t="s">
        <v>74</v>
      </c>
      <c r="BQ484" s="3" t="s">
        <v>74</v>
      </c>
      <c r="BR484" s="3" t="s">
        <v>101</v>
      </c>
      <c r="BS484" s="3" t="s">
        <v>9759</v>
      </c>
      <c r="BT484" s="3" t="str">
        <f>HYPERLINK("https%3A%2F%2Fwww.webofscience.com%2Fwos%2Fwoscc%2Ffull-record%2FWOS:000446767700231","View Full Record in Web of Science")</f>
        <v>View Full Record in Web of Science</v>
      </c>
      <c r="BU484" s="3"/>
      <c r="BV484" s="3"/>
      <c r="BW484" s="1"/>
    </row>
    <row r="485" spans="1:75" x14ac:dyDescent="0.25">
      <c r="A485" s="3" t="s">
        <v>103</v>
      </c>
      <c r="B485" s="3" t="s">
        <v>9760</v>
      </c>
      <c r="C485" s="3" t="s">
        <v>74</v>
      </c>
      <c r="D485" s="3" t="s">
        <v>74</v>
      </c>
      <c r="E485" s="3" t="s">
        <v>199</v>
      </c>
      <c r="F485" s="3" t="s">
        <v>9761</v>
      </c>
      <c r="G485" s="3" t="s">
        <v>74</v>
      </c>
      <c r="H485" s="3" t="s">
        <v>74</v>
      </c>
      <c r="I485" s="3" t="s">
        <v>9762</v>
      </c>
      <c r="J485" s="3" t="s">
        <v>9763</v>
      </c>
      <c r="K485" s="3" t="s">
        <v>74</v>
      </c>
      <c r="L485" s="3" t="s">
        <v>74</v>
      </c>
      <c r="M485" s="3" t="s">
        <v>110</v>
      </c>
      <c r="N485" s="3" t="s">
        <v>111</v>
      </c>
      <c r="O485" s="3" t="s">
        <v>9764</v>
      </c>
      <c r="P485" s="3" t="s">
        <v>9765</v>
      </c>
      <c r="Q485" s="3" t="s">
        <v>9766</v>
      </c>
      <c r="R485" s="3" t="s">
        <v>74</v>
      </c>
      <c r="S485" s="3" t="s">
        <v>74</v>
      </c>
      <c r="T485" s="3" t="s">
        <v>9767</v>
      </c>
      <c r="U485" s="3" t="s">
        <v>74</v>
      </c>
      <c r="V485" s="3" t="s">
        <v>9768</v>
      </c>
      <c r="W485" s="3" t="s">
        <v>9769</v>
      </c>
      <c r="X485" s="3" t="s">
        <v>9770</v>
      </c>
      <c r="Y485" s="3" t="s">
        <v>9771</v>
      </c>
      <c r="Z485" s="3" t="s">
        <v>9772</v>
      </c>
      <c r="AA485" s="3" t="s">
        <v>74</v>
      </c>
      <c r="AB485" s="3" t="s">
        <v>74</v>
      </c>
      <c r="AC485" s="3" t="s">
        <v>9773</v>
      </c>
      <c r="AD485" s="3" t="s">
        <v>8943</v>
      </c>
      <c r="AE485" s="3" t="s">
        <v>9774</v>
      </c>
      <c r="AF485" s="3" t="s">
        <v>74</v>
      </c>
      <c r="AG485" s="3">
        <v>4</v>
      </c>
      <c r="AH485" s="3">
        <v>0</v>
      </c>
      <c r="AI485" s="3">
        <v>0</v>
      </c>
      <c r="AJ485" s="3">
        <v>0</v>
      </c>
      <c r="AK485" s="3">
        <v>0</v>
      </c>
      <c r="AL485" s="3" t="s">
        <v>199</v>
      </c>
      <c r="AM485" s="3" t="s">
        <v>200</v>
      </c>
      <c r="AN485" s="3" t="s">
        <v>201</v>
      </c>
      <c r="AO485" s="3" t="s">
        <v>74</v>
      </c>
      <c r="AP485" s="3" t="s">
        <v>74</v>
      </c>
      <c r="AQ485" s="3" t="s">
        <v>9775</v>
      </c>
      <c r="AR485" s="3" t="s">
        <v>74</v>
      </c>
      <c r="AS485" s="3" t="s">
        <v>74</v>
      </c>
      <c r="AT485" s="3" t="s">
        <v>74</v>
      </c>
      <c r="AU485" s="3">
        <v>2018</v>
      </c>
      <c r="AV485" s="3" t="s">
        <v>74</v>
      </c>
      <c r="AW485" s="3" t="s">
        <v>74</v>
      </c>
      <c r="AX485" s="3" t="s">
        <v>74</v>
      </c>
      <c r="AY485" s="3" t="s">
        <v>74</v>
      </c>
      <c r="AZ485" s="3" t="s">
        <v>74</v>
      </c>
      <c r="BA485" s="3" t="s">
        <v>74</v>
      </c>
      <c r="BB485" s="3" t="s">
        <v>74</v>
      </c>
      <c r="BC485" s="3" t="s">
        <v>74</v>
      </c>
      <c r="BD485" s="3" t="s">
        <v>74</v>
      </c>
      <c r="BE485" s="3" t="s">
        <v>74</v>
      </c>
      <c r="BF485" s="3" t="s">
        <v>74</v>
      </c>
      <c r="BG485" s="3" t="s">
        <v>74</v>
      </c>
      <c r="BH485" s="3" t="s">
        <v>74</v>
      </c>
      <c r="BI485" s="3">
        <v>2</v>
      </c>
      <c r="BJ485" s="3" t="s">
        <v>1225</v>
      </c>
      <c r="BK485" s="3" t="s">
        <v>208</v>
      </c>
      <c r="BL485" s="3" t="s">
        <v>1226</v>
      </c>
      <c r="BM485" s="3" t="s">
        <v>9776</v>
      </c>
      <c r="BN485" s="3" t="s">
        <v>74</v>
      </c>
      <c r="BO485" s="3" t="s">
        <v>74</v>
      </c>
      <c r="BP485" s="3" t="s">
        <v>74</v>
      </c>
      <c r="BQ485" s="3" t="s">
        <v>74</v>
      </c>
      <c r="BR485" s="3" t="s">
        <v>101</v>
      </c>
      <c r="BS485" s="3" t="s">
        <v>9777</v>
      </c>
      <c r="BT485" s="3" t="str">
        <f>HYPERLINK("https%3A%2F%2Fwww.webofscience.com%2Fwos%2Fwoscc%2Ffull-record%2FWOS:000446004100145","View Full Record in Web of Science")</f>
        <v>View Full Record in Web of Science</v>
      </c>
      <c r="BU485" s="3"/>
      <c r="BV485" s="3"/>
      <c r="BW485" s="1"/>
    </row>
    <row r="486" spans="1:75" x14ac:dyDescent="0.25">
      <c r="A486" s="3" t="s">
        <v>103</v>
      </c>
      <c r="B486" s="3" t="s">
        <v>9778</v>
      </c>
      <c r="C486" s="3" t="s">
        <v>74</v>
      </c>
      <c r="D486" s="3" t="s">
        <v>9779</v>
      </c>
      <c r="E486" s="3" t="s">
        <v>74</v>
      </c>
      <c r="F486" s="3" t="s">
        <v>9780</v>
      </c>
      <c r="G486" s="3" t="s">
        <v>74</v>
      </c>
      <c r="H486" s="3" t="s">
        <v>74</v>
      </c>
      <c r="I486" s="3" t="s">
        <v>9781</v>
      </c>
      <c r="J486" s="3" t="s">
        <v>9782</v>
      </c>
      <c r="K486" s="3" t="s">
        <v>9783</v>
      </c>
      <c r="L486" s="3" t="s">
        <v>74</v>
      </c>
      <c r="M486" s="3" t="s">
        <v>110</v>
      </c>
      <c r="N486" s="3" t="s">
        <v>111</v>
      </c>
      <c r="O486" s="3" t="s">
        <v>9784</v>
      </c>
      <c r="P486" s="3" t="s">
        <v>9785</v>
      </c>
      <c r="Q486" s="3" t="s">
        <v>3280</v>
      </c>
      <c r="R486" s="3" t="s">
        <v>74</v>
      </c>
      <c r="S486" s="3" t="s">
        <v>74</v>
      </c>
      <c r="T486" s="3" t="s">
        <v>9786</v>
      </c>
      <c r="U486" s="3" t="s">
        <v>74</v>
      </c>
      <c r="V486" s="3" t="s">
        <v>9787</v>
      </c>
      <c r="W486" s="3" t="s">
        <v>9788</v>
      </c>
      <c r="X486" s="3" t="s">
        <v>5519</v>
      </c>
      <c r="Y486" s="3" t="s">
        <v>9789</v>
      </c>
      <c r="Z486" s="3" t="s">
        <v>74</v>
      </c>
      <c r="AA486" s="3" t="s">
        <v>9790</v>
      </c>
      <c r="AB486" s="3" t="s">
        <v>74</v>
      </c>
      <c r="AC486" s="3" t="s">
        <v>9791</v>
      </c>
      <c r="AD486" s="3" t="s">
        <v>9792</v>
      </c>
      <c r="AE486" s="3" t="s">
        <v>9793</v>
      </c>
      <c r="AF486" s="3" t="s">
        <v>74</v>
      </c>
      <c r="AG486" s="3">
        <v>11</v>
      </c>
      <c r="AH486" s="3">
        <v>0</v>
      </c>
      <c r="AI486" s="3">
        <v>0</v>
      </c>
      <c r="AJ486" s="3">
        <v>0</v>
      </c>
      <c r="AK486" s="3">
        <v>3</v>
      </c>
      <c r="AL486" s="3" t="s">
        <v>9794</v>
      </c>
      <c r="AM486" s="3" t="s">
        <v>9795</v>
      </c>
      <c r="AN486" s="3" t="s">
        <v>9796</v>
      </c>
      <c r="AO486" s="3" t="s">
        <v>9797</v>
      </c>
      <c r="AP486" s="3" t="s">
        <v>74</v>
      </c>
      <c r="AQ486" s="3" t="s">
        <v>9798</v>
      </c>
      <c r="AR486" s="3" t="s">
        <v>9799</v>
      </c>
      <c r="AS486" s="3" t="s">
        <v>74</v>
      </c>
      <c r="AT486" s="3" t="s">
        <v>74</v>
      </c>
      <c r="AU486" s="3">
        <v>2018</v>
      </c>
      <c r="AV486" s="3" t="s">
        <v>74</v>
      </c>
      <c r="AW486" s="3" t="s">
        <v>74</v>
      </c>
      <c r="AX486" s="3" t="s">
        <v>74</v>
      </c>
      <c r="AY486" s="3" t="s">
        <v>74</v>
      </c>
      <c r="AZ486" s="3" t="s">
        <v>74</v>
      </c>
      <c r="BA486" s="3" t="s">
        <v>74</v>
      </c>
      <c r="BB486" s="3">
        <v>6928</v>
      </c>
      <c r="BC486" s="3">
        <v>6934</v>
      </c>
      <c r="BD486" s="3" t="s">
        <v>74</v>
      </c>
      <c r="BE486" s="3" t="s">
        <v>74</v>
      </c>
      <c r="BF486" s="3" t="s">
        <v>74</v>
      </c>
      <c r="BG486" s="3" t="s">
        <v>74</v>
      </c>
      <c r="BH486" s="3" t="s">
        <v>74</v>
      </c>
      <c r="BI486" s="3">
        <v>7</v>
      </c>
      <c r="BJ486" s="3" t="s">
        <v>9800</v>
      </c>
      <c r="BK486" s="3" t="s">
        <v>2556</v>
      </c>
      <c r="BL486" s="3" t="s">
        <v>9800</v>
      </c>
      <c r="BM486" s="3" t="s">
        <v>9801</v>
      </c>
      <c r="BN486" s="3" t="s">
        <v>74</v>
      </c>
      <c r="BO486" s="3" t="s">
        <v>74</v>
      </c>
      <c r="BP486" s="3" t="s">
        <v>74</v>
      </c>
      <c r="BQ486" s="3" t="s">
        <v>74</v>
      </c>
      <c r="BR486" s="3" t="s">
        <v>101</v>
      </c>
      <c r="BS486" s="3" t="s">
        <v>9802</v>
      </c>
      <c r="BT486" s="3" t="str">
        <f>HYPERLINK("https%3A%2F%2Fwww.webofscience.com%2Fwos%2Fwoscc%2Ffull-record%2FWOS:000568991702034","View Full Record in Web of Science")</f>
        <v>View Full Record in Web of Science</v>
      </c>
      <c r="BU486" s="3"/>
      <c r="BV486" s="3"/>
      <c r="BW486" s="1"/>
    </row>
    <row r="487" spans="1:75" x14ac:dyDescent="0.25">
      <c r="A487" s="3" t="s">
        <v>103</v>
      </c>
      <c r="B487" s="3" t="s">
        <v>9803</v>
      </c>
      <c r="C487" s="3" t="s">
        <v>74</v>
      </c>
      <c r="D487" s="3" t="s">
        <v>74</v>
      </c>
      <c r="E487" s="3" t="s">
        <v>199</v>
      </c>
      <c r="F487" s="3" t="s">
        <v>9804</v>
      </c>
      <c r="G487" s="3" t="s">
        <v>74</v>
      </c>
      <c r="H487" s="3" t="s">
        <v>74</v>
      </c>
      <c r="I487" s="3" t="s">
        <v>9805</v>
      </c>
      <c r="J487" s="3" t="s">
        <v>9806</v>
      </c>
      <c r="K487" s="3" t="s">
        <v>74</v>
      </c>
      <c r="L487" s="3" t="s">
        <v>74</v>
      </c>
      <c r="M487" s="3" t="s">
        <v>110</v>
      </c>
      <c r="N487" s="3" t="s">
        <v>111</v>
      </c>
      <c r="O487" s="3" t="s">
        <v>9807</v>
      </c>
      <c r="P487" s="3" t="s">
        <v>9808</v>
      </c>
      <c r="Q487" s="3" t="s">
        <v>9809</v>
      </c>
      <c r="R487" s="3" t="s">
        <v>74</v>
      </c>
      <c r="S487" s="3" t="s">
        <v>74</v>
      </c>
      <c r="T487" s="3" t="s">
        <v>9810</v>
      </c>
      <c r="U487" s="3" t="s">
        <v>74</v>
      </c>
      <c r="V487" s="3" t="s">
        <v>9811</v>
      </c>
      <c r="W487" s="3" t="s">
        <v>9812</v>
      </c>
      <c r="X487" s="3" t="s">
        <v>74</v>
      </c>
      <c r="Y487" s="3" t="s">
        <v>9813</v>
      </c>
      <c r="Z487" s="3" t="s">
        <v>9814</v>
      </c>
      <c r="AA487" s="3" t="s">
        <v>74</v>
      </c>
      <c r="AB487" s="3" t="s">
        <v>74</v>
      </c>
      <c r="AC487" s="3" t="s">
        <v>74</v>
      </c>
      <c r="AD487" s="3" t="s">
        <v>74</v>
      </c>
      <c r="AE487" s="3" t="s">
        <v>74</v>
      </c>
      <c r="AF487" s="3" t="s">
        <v>74</v>
      </c>
      <c r="AG487" s="3">
        <v>5</v>
      </c>
      <c r="AH487" s="3">
        <v>2</v>
      </c>
      <c r="AI487" s="3">
        <v>2</v>
      </c>
      <c r="AJ487" s="3">
        <v>1</v>
      </c>
      <c r="AK487" s="3">
        <v>36</v>
      </c>
      <c r="AL487" s="3" t="s">
        <v>199</v>
      </c>
      <c r="AM487" s="3" t="s">
        <v>200</v>
      </c>
      <c r="AN487" s="3" t="s">
        <v>201</v>
      </c>
      <c r="AO487" s="3" t="s">
        <v>74</v>
      </c>
      <c r="AP487" s="3" t="s">
        <v>74</v>
      </c>
      <c r="AQ487" s="3" t="s">
        <v>9815</v>
      </c>
      <c r="AR487" s="3" t="s">
        <v>74</v>
      </c>
      <c r="AS487" s="3" t="s">
        <v>74</v>
      </c>
      <c r="AT487" s="3" t="s">
        <v>74</v>
      </c>
      <c r="AU487" s="3">
        <v>2016</v>
      </c>
      <c r="AV487" s="3" t="s">
        <v>74</v>
      </c>
      <c r="AW487" s="3" t="s">
        <v>74</v>
      </c>
      <c r="AX487" s="3" t="s">
        <v>74</v>
      </c>
      <c r="AY487" s="3" t="s">
        <v>74</v>
      </c>
      <c r="AZ487" s="3" t="s">
        <v>74</v>
      </c>
      <c r="BA487" s="3" t="s">
        <v>74</v>
      </c>
      <c r="BB487" s="3">
        <v>729</v>
      </c>
      <c r="BC487" s="3">
        <v>732</v>
      </c>
      <c r="BD487" s="3" t="s">
        <v>74</v>
      </c>
      <c r="BE487" s="3" t="s">
        <v>9816</v>
      </c>
      <c r="BF487" s="3" t="str">
        <f>HYPERLINK("http://dx.doi.org/10.1109/ICITBS.2015.184","http://dx.doi.org/10.1109/ICITBS.2015.184")</f>
        <v>http://dx.doi.org/10.1109/ICITBS.2015.184</v>
      </c>
      <c r="BG487" s="3" t="s">
        <v>74</v>
      </c>
      <c r="BH487" s="3" t="s">
        <v>74</v>
      </c>
      <c r="BI487" s="3">
        <v>4</v>
      </c>
      <c r="BJ487" s="3" t="s">
        <v>7779</v>
      </c>
      <c r="BK487" s="3" t="s">
        <v>208</v>
      </c>
      <c r="BL487" s="3" t="s">
        <v>7780</v>
      </c>
      <c r="BM487" s="3" t="s">
        <v>9817</v>
      </c>
      <c r="BN487" s="3" t="s">
        <v>74</v>
      </c>
      <c r="BO487" s="3" t="s">
        <v>74</v>
      </c>
      <c r="BP487" s="3" t="s">
        <v>74</v>
      </c>
      <c r="BQ487" s="3" t="s">
        <v>74</v>
      </c>
      <c r="BR487" s="3" t="s">
        <v>101</v>
      </c>
      <c r="BS487" s="3" t="s">
        <v>9818</v>
      </c>
      <c r="BT487" s="3" t="str">
        <f>HYPERLINK("https%3A%2F%2Fwww.webofscience.com%2Fwos%2Fwoscc%2Ffull-record%2FWOS:000386103000178","View Full Record in Web of Science")</f>
        <v>View Full Record in Web of Science</v>
      </c>
      <c r="BU487" s="3"/>
      <c r="BV487" s="3"/>
      <c r="BW487" s="1"/>
    </row>
    <row r="488" spans="1:75" x14ac:dyDescent="0.25">
      <c r="A488" s="3" t="s">
        <v>72</v>
      </c>
      <c r="B488" s="3" t="s">
        <v>9819</v>
      </c>
      <c r="C488" s="3" t="s">
        <v>74</v>
      </c>
      <c r="D488" s="3" t="s">
        <v>74</v>
      </c>
      <c r="E488" s="3" t="s">
        <v>74</v>
      </c>
      <c r="F488" s="3" t="s">
        <v>9820</v>
      </c>
      <c r="G488" s="3" t="s">
        <v>74</v>
      </c>
      <c r="H488" s="3" t="s">
        <v>74</v>
      </c>
      <c r="I488" s="3" t="s">
        <v>9821</v>
      </c>
      <c r="J488" s="3" t="s">
        <v>7838</v>
      </c>
      <c r="K488" s="3" t="s">
        <v>74</v>
      </c>
      <c r="L488" s="3" t="s">
        <v>74</v>
      </c>
      <c r="M488" s="3" t="s">
        <v>110</v>
      </c>
      <c r="N488" s="3" t="s">
        <v>79</v>
      </c>
      <c r="O488" s="3" t="s">
        <v>74</v>
      </c>
      <c r="P488" s="3" t="s">
        <v>74</v>
      </c>
      <c r="Q488" s="3" t="s">
        <v>74</v>
      </c>
      <c r="R488" s="3" t="s">
        <v>74</v>
      </c>
      <c r="S488" s="3" t="s">
        <v>74</v>
      </c>
      <c r="T488" s="3" t="s">
        <v>9822</v>
      </c>
      <c r="U488" s="3" t="s">
        <v>9823</v>
      </c>
      <c r="V488" s="3" t="s">
        <v>9824</v>
      </c>
      <c r="W488" s="3" t="s">
        <v>9825</v>
      </c>
      <c r="X488" s="3" t="s">
        <v>9826</v>
      </c>
      <c r="Y488" s="3" t="s">
        <v>9827</v>
      </c>
      <c r="Z488" s="3" t="s">
        <v>9828</v>
      </c>
      <c r="AA488" s="3" t="s">
        <v>74</v>
      </c>
      <c r="AB488" s="3" t="s">
        <v>9829</v>
      </c>
      <c r="AC488" s="3" t="s">
        <v>74</v>
      </c>
      <c r="AD488" s="3" t="s">
        <v>74</v>
      </c>
      <c r="AE488" s="3" t="s">
        <v>74</v>
      </c>
      <c r="AF488" s="3" t="s">
        <v>74</v>
      </c>
      <c r="AG488" s="3">
        <v>31</v>
      </c>
      <c r="AH488" s="3">
        <v>131</v>
      </c>
      <c r="AI488" s="3">
        <v>167</v>
      </c>
      <c r="AJ488" s="3">
        <v>0</v>
      </c>
      <c r="AK488" s="3">
        <v>84</v>
      </c>
      <c r="AL488" s="3" t="s">
        <v>254</v>
      </c>
      <c r="AM488" s="3" t="s">
        <v>305</v>
      </c>
      <c r="AN488" s="3" t="s">
        <v>7896</v>
      </c>
      <c r="AO488" s="3" t="s">
        <v>7851</v>
      </c>
      <c r="AP488" s="3" t="s">
        <v>7852</v>
      </c>
      <c r="AQ488" s="3" t="s">
        <v>74</v>
      </c>
      <c r="AR488" s="3" t="s">
        <v>7853</v>
      </c>
      <c r="AS488" s="3" t="s">
        <v>7854</v>
      </c>
      <c r="AT488" s="3" t="s">
        <v>333</v>
      </c>
      <c r="AU488" s="3">
        <v>2012</v>
      </c>
      <c r="AV488" s="3">
        <v>24</v>
      </c>
      <c r="AW488" s="3" t="s">
        <v>74</v>
      </c>
      <c r="AX488" s="3" t="s">
        <v>74</v>
      </c>
      <c r="AY488" s="3" t="s">
        <v>74</v>
      </c>
      <c r="AZ488" s="3" t="s">
        <v>74</v>
      </c>
      <c r="BA488" s="3" t="s">
        <v>74</v>
      </c>
      <c r="BB488" s="3">
        <v>432</v>
      </c>
      <c r="BC488" s="3">
        <v>442</v>
      </c>
      <c r="BD488" s="3" t="s">
        <v>74</v>
      </c>
      <c r="BE488" s="3" t="s">
        <v>9830</v>
      </c>
      <c r="BF488" s="3" t="str">
        <f>HYPERLINK("http://dx.doi.org/10.1016/j.jtrangeo.2012.05.001","http://dx.doi.org/10.1016/j.jtrangeo.2012.05.001")</f>
        <v>http://dx.doi.org/10.1016/j.jtrangeo.2012.05.001</v>
      </c>
      <c r="BG488" s="3" t="s">
        <v>74</v>
      </c>
      <c r="BH488" s="3" t="s">
        <v>74</v>
      </c>
      <c r="BI488" s="3">
        <v>11</v>
      </c>
      <c r="BJ488" s="3" t="s">
        <v>7856</v>
      </c>
      <c r="BK488" s="3" t="s">
        <v>264</v>
      </c>
      <c r="BL488" s="3" t="s">
        <v>7857</v>
      </c>
      <c r="BM488" s="3" t="s">
        <v>9831</v>
      </c>
      <c r="BN488" s="3" t="s">
        <v>74</v>
      </c>
      <c r="BO488" s="3" t="s">
        <v>683</v>
      </c>
      <c r="BP488" s="3" t="s">
        <v>74</v>
      </c>
      <c r="BQ488" s="3" t="s">
        <v>74</v>
      </c>
      <c r="BR488" s="3" t="s">
        <v>101</v>
      </c>
      <c r="BS488" s="3" t="s">
        <v>9832</v>
      </c>
      <c r="BT488" s="3" t="str">
        <f>HYPERLINK("https%3A%2F%2Fwww.webofscience.com%2Fwos%2Fwoscc%2Ffull-record%2FWOS:000309493500040","View Full Record in Web of Science")</f>
        <v>View Full Record in Web of Science</v>
      </c>
      <c r="BU488" s="3"/>
      <c r="BV488" s="3"/>
      <c r="BW488" s="1"/>
    </row>
    <row r="489" spans="1:75" x14ac:dyDescent="0.25">
      <c r="A489" s="3" t="s">
        <v>103</v>
      </c>
      <c r="B489" s="3" t="s">
        <v>9833</v>
      </c>
      <c r="C489" s="3" t="s">
        <v>74</v>
      </c>
      <c r="D489" s="3" t="s">
        <v>9834</v>
      </c>
      <c r="E489" s="3" t="s">
        <v>74</v>
      </c>
      <c r="F489" s="3" t="s">
        <v>9835</v>
      </c>
      <c r="G489" s="3" t="s">
        <v>74</v>
      </c>
      <c r="H489" s="3" t="s">
        <v>74</v>
      </c>
      <c r="I489" s="3" t="s">
        <v>9836</v>
      </c>
      <c r="J489" s="3" t="s">
        <v>9837</v>
      </c>
      <c r="K489" s="3" t="s">
        <v>74</v>
      </c>
      <c r="L489" s="3" t="s">
        <v>74</v>
      </c>
      <c r="M489" s="3" t="s">
        <v>110</v>
      </c>
      <c r="N489" s="3" t="s">
        <v>111</v>
      </c>
      <c r="O489" s="3" t="s">
        <v>9838</v>
      </c>
      <c r="P489" s="3" t="s">
        <v>9839</v>
      </c>
      <c r="Q489" s="3" t="s">
        <v>3280</v>
      </c>
      <c r="R489" s="3" t="s">
        <v>74</v>
      </c>
      <c r="S489" s="3" t="s">
        <v>74</v>
      </c>
      <c r="T489" s="3" t="s">
        <v>9840</v>
      </c>
      <c r="U489" s="3" t="s">
        <v>74</v>
      </c>
      <c r="V489" s="3" t="s">
        <v>9841</v>
      </c>
      <c r="W489" s="3" t="s">
        <v>9842</v>
      </c>
      <c r="X489" s="3" t="s">
        <v>9843</v>
      </c>
      <c r="Y489" s="3" t="s">
        <v>9844</v>
      </c>
      <c r="Z489" s="3" t="s">
        <v>9845</v>
      </c>
      <c r="AA489" s="3" t="s">
        <v>74</v>
      </c>
      <c r="AB489" s="3" t="s">
        <v>9846</v>
      </c>
      <c r="AC489" s="3" t="s">
        <v>74</v>
      </c>
      <c r="AD489" s="3" t="s">
        <v>74</v>
      </c>
      <c r="AE489" s="3" t="s">
        <v>74</v>
      </c>
      <c r="AF489" s="3" t="s">
        <v>74</v>
      </c>
      <c r="AG489" s="3">
        <v>24</v>
      </c>
      <c r="AH489" s="3">
        <v>3</v>
      </c>
      <c r="AI489" s="3">
        <v>3</v>
      </c>
      <c r="AJ489" s="3">
        <v>0</v>
      </c>
      <c r="AK489" s="3">
        <v>6</v>
      </c>
      <c r="AL489" s="3" t="s">
        <v>199</v>
      </c>
      <c r="AM489" s="3" t="s">
        <v>200</v>
      </c>
      <c r="AN489" s="3" t="s">
        <v>201</v>
      </c>
      <c r="AO489" s="3" t="s">
        <v>74</v>
      </c>
      <c r="AP489" s="3" t="s">
        <v>74</v>
      </c>
      <c r="AQ489" s="3" t="s">
        <v>9847</v>
      </c>
      <c r="AR489" s="3" t="s">
        <v>74</v>
      </c>
      <c r="AS489" s="3" t="s">
        <v>74</v>
      </c>
      <c r="AT489" s="3" t="s">
        <v>74</v>
      </c>
      <c r="AU489" s="3">
        <v>2015</v>
      </c>
      <c r="AV489" s="3" t="s">
        <v>74</v>
      </c>
      <c r="AW489" s="3" t="s">
        <v>74</v>
      </c>
      <c r="AX489" s="3" t="s">
        <v>74</v>
      </c>
      <c r="AY489" s="3" t="s">
        <v>74</v>
      </c>
      <c r="AZ489" s="3" t="s">
        <v>74</v>
      </c>
      <c r="BA489" s="3" t="s">
        <v>74</v>
      </c>
      <c r="BB489" s="3">
        <v>568</v>
      </c>
      <c r="BC489" s="3">
        <v>573</v>
      </c>
      <c r="BD489" s="3" t="s">
        <v>74</v>
      </c>
      <c r="BE489" s="3" t="s">
        <v>74</v>
      </c>
      <c r="BF489" s="3" t="s">
        <v>74</v>
      </c>
      <c r="BG489" s="3" t="s">
        <v>74</v>
      </c>
      <c r="BH489" s="3" t="s">
        <v>74</v>
      </c>
      <c r="BI489" s="3">
        <v>6</v>
      </c>
      <c r="BJ489" s="3" t="s">
        <v>207</v>
      </c>
      <c r="BK489" s="3" t="s">
        <v>208</v>
      </c>
      <c r="BL489" s="3" t="s">
        <v>209</v>
      </c>
      <c r="BM489" s="3" t="s">
        <v>9848</v>
      </c>
      <c r="BN489" s="3" t="s">
        <v>74</v>
      </c>
      <c r="BO489" s="3" t="s">
        <v>74</v>
      </c>
      <c r="BP489" s="3" t="s">
        <v>74</v>
      </c>
      <c r="BQ489" s="3" t="s">
        <v>74</v>
      </c>
      <c r="BR489" s="3" t="s">
        <v>101</v>
      </c>
      <c r="BS489" s="3" t="s">
        <v>9849</v>
      </c>
      <c r="BT489" s="3" t="str">
        <f>HYPERLINK("https%3A%2F%2Fwww.webofscience.com%2Fwos%2Fwoscc%2Ffull-record%2FWOS:000380454700072","View Full Record in Web of Science")</f>
        <v>View Full Record in Web of Science</v>
      </c>
      <c r="BU489" s="3"/>
      <c r="BV489" s="3"/>
      <c r="BW489" s="1"/>
    </row>
    <row r="490" spans="1:75" x14ac:dyDescent="0.25">
      <c r="A490" s="3" t="s">
        <v>103</v>
      </c>
      <c r="B490" s="3" t="s">
        <v>9850</v>
      </c>
      <c r="C490" s="3" t="s">
        <v>74</v>
      </c>
      <c r="D490" s="3" t="s">
        <v>9851</v>
      </c>
      <c r="E490" s="3" t="s">
        <v>74</v>
      </c>
      <c r="F490" s="3" t="s">
        <v>9852</v>
      </c>
      <c r="G490" s="3" t="s">
        <v>74</v>
      </c>
      <c r="H490" s="3" t="s">
        <v>74</v>
      </c>
      <c r="I490" s="3" t="s">
        <v>9853</v>
      </c>
      <c r="J490" s="3" t="s">
        <v>9854</v>
      </c>
      <c r="K490" s="3" t="s">
        <v>4887</v>
      </c>
      <c r="L490" s="3" t="s">
        <v>74</v>
      </c>
      <c r="M490" s="3" t="s">
        <v>110</v>
      </c>
      <c r="N490" s="3" t="s">
        <v>111</v>
      </c>
      <c r="O490" s="3" t="s">
        <v>9855</v>
      </c>
      <c r="P490" s="3" t="s">
        <v>9856</v>
      </c>
      <c r="Q490" s="3" t="s">
        <v>9857</v>
      </c>
      <c r="R490" s="3" t="s">
        <v>74</v>
      </c>
      <c r="S490" s="3" t="s">
        <v>74</v>
      </c>
      <c r="T490" s="3" t="s">
        <v>9858</v>
      </c>
      <c r="U490" s="3" t="s">
        <v>74</v>
      </c>
      <c r="V490" s="3" t="s">
        <v>9859</v>
      </c>
      <c r="W490" s="3" t="s">
        <v>9860</v>
      </c>
      <c r="X490" s="3" t="s">
        <v>74</v>
      </c>
      <c r="Y490" s="3" t="s">
        <v>9861</v>
      </c>
      <c r="Z490" s="3" t="s">
        <v>9862</v>
      </c>
      <c r="AA490" s="3" t="s">
        <v>74</v>
      </c>
      <c r="AB490" s="3" t="s">
        <v>74</v>
      </c>
      <c r="AC490" s="3" t="s">
        <v>74</v>
      </c>
      <c r="AD490" s="3" t="s">
        <v>74</v>
      </c>
      <c r="AE490" s="3" t="s">
        <v>74</v>
      </c>
      <c r="AF490" s="3" t="s">
        <v>74</v>
      </c>
      <c r="AG490" s="3">
        <v>5</v>
      </c>
      <c r="AH490" s="3">
        <v>21</v>
      </c>
      <c r="AI490" s="3">
        <v>32</v>
      </c>
      <c r="AJ490" s="3">
        <v>0</v>
      </c>
      <c r="AK490" s="3">
        <v>26</v>
      </c>
      <c r="AL490" s="3" t="s">
        <v>123</v>
      </c>
      <c r="AM490" s="3" t="s">
        <v>124</v>
      </c>
      <c r="AN490" s="3" t="s">
        <v>125</v>
      </c>
      <c r="AO490" s="3" t="s">
        <v>4898</v>
      </c>
      <c r="AP490" s="3" t="s">
        <v>74</v>
      </c>
      <c r="AQ490" s="3" t="s">
        <v>74</v>
      </c>
      <c r="AR490" s="3" t="s">
        <v>4899</v>
      </c>
      <c r="AS490" s="3" t="s">
        <v>74</v>
      </c>
      <c r="AT490" s="3" t="s">
        <v>74</v>
      </c>
      <c r="AU490" s="3">
        <v>2012</v>
      </c>
      <c r="AV490" s="3">
        <v>48</v>
      </c>
      <c r="AW490" s="3" t="s">
        <v>74</v>
      </c>
      <c r="AX490" s="3" t="s">
        <v>74</v>
      </c>
      <c r="AY490" s="3" t="s">
        <v>74</v>
      </c>
      <c r="AZ490" s="3" t="s">
        <v>74</v>
      </c>
      <c r="BA490" s="3" t="s">
        <v>74</v>
      </c>
      <c r="BB490" s="3">
        <v>622</v>
      </c>
      <c r="BC490" s="3">
        <v>631</v>
      </c>
      <c r="BD490" s="3" t="s">
        <v>74</v>
      </c>
      <c r="BE490" s="3" t="s">
        <v>9863</v>
      </c>
      <c r="BF490" s="3" t="str">
        <f>HYPERLINK("http://dx.doi.org/10.1016/j.sbspro.2012.06.1040","http://dx.doi.org/10.1016/j.sbspro.2012.06.1040")</f>
        <v>http://dx.doi.org/10.1016/j.sbspro.2012.06.1040</v>
      </c>
      <c r="BG490" s="3" t="s">
        <v>74</v>
      </c>
      <c r="BH490" s="3" t="s">
        <v>74</v>
      </c>
      <c r="BI490" s="3">
        <v>10</v>
      </c>
      <c r="BJ490" s="3" t="s">
        <v>129</v>
      </c>
      <c r="BK490" s="3" t="s">
        <v>130</v>
      </c>
      <c r="BL490" s="3" t="s">
        <v>131</v>
      </c>
      <c r="BM490" s="3" t="s">
        <v>9864</v>
      </c>
      <c r="BN490" s="3" t="s">
        <v>74</v>
      </c>
      <c r="BO490" s="3" t="s">
        <v>100</v>
      </c>
      <c r="BP490" s="3" t="s">
        <v>74</v>
      </c>
      <c r="BQ490" s="3" t="s">
        <v>74</v>
      </c>
      <c r="BR490" s="3" t="s">
        <v>101</v>
      </c>
      <c r="BS490" s="3" t="s">
        <v>9865</v>
      </c>
      <c r="BT490" s="3" t="str">
        <f>HYPERLINK("https%3A%2F%2Fwww.webofscience.com%2Fwos%2Fwoscc%2Ffull-record%2FWOS:000314227500059","View Full Record in Web of Science")</f>
        <v>View Full Record in Web of Science</v>
      </c>
      <c r="BU490" s="3"/>
      <c r="BV490" s="3"/>
      <c r="BW490" s="1"/>
    </row>
    <row r="491" spans="1:75" x14ac:dyDescent="0.25">
      <c r="A491" s="3" t="s">
        <v>103</v>
      </c>
      <c r="B491" s="3" t="s">
        <v>9866</v>
      </c>
      <c r="C491" s="3" t="s">
        <v>74</v>
      </c>
      <c r="D491" s="3" t="s">
        <v>9867</v>
      </c>
      <c r="E491" s="3" t="s">
        <v>74</v>
      </c>
      <c r="F491" s="3" t="s">
        <v>9868</v>
      </c>
      <c r="G491" s="3" t="s">
        <v>74</v>
      </c>
      <c r="H491" s="3" t="s">
        <v>74</v>
      </c>
      <c r="I491" s="3" t="s">
        <v>9869</v>
      </c>
      <c r="J491" s="3" t="s">
        <v>9870</v>
      </c>
      <c r="K491" s="3" t="s">
        <v>9871</v>
      </c>
      <c r="L491" s="3" t="s">
        <v>74</v>
      </c>
      <c r="M491" s="3" t="s">
        <v>110</v>
      </c>
      <c r="N491" s="3" t="s">
        <v>111</v>
      </c>
      <c r="O491" s="3" t="s">
        <v>9872</v>
      </c>
      <c r="P491" s="3" t="s">
        <v>9873</v>
      </c>
      <c r="Q491" s="3" t="s">
        <v>9874</v>
      </c>
      <c r="R491" s="3" t="s">
        <v>74</v>
      </c>
      <c r="S491" s="3" t="s">
        <v>74</v>
      </c>
      <c r="T491" s="3" t="s">
        <v>9875</v>
      </c>
      <c r="U491" s="3" t="s">
        <v>74</v>
      </c>
      <c r="V491" s="3" t="s">
        <v>9876</v>
      </c>
      <c r="W491" s="3" t="s">
        <v>9877</v>
      </c>
      <c r="X491" s="3" t="s">
        <v>74</v>
      </c>
      <c r="Y491" s="3" t="s">
        <v>9878</v>
      </c>
      <c r="Z491" s="3" t="s">
        <v>74</v>
      </c>
      <c r="AA491" s="3" t="s">
        <v>74</v>
      </c>
      <c r="AB491" s="3" t="s">
        <v>74</v>
      </c>
      <c r="AC491" s="3" t="s">
        <v>74</v>
      </c>
      <c r="AD491" s="3" t="s">
        <v>74</v>
      </c>
      <c r="AE491" s="3" t="s">
        <v>74</v>
      </c>
      <c r="AF491" s="3" t="s">
        <v>74</v>
      </c>
      <c r="AG491" s="3">
        <v>5</v>
      </c>
      <c r="AH491" s="3">
        <v>0</v>
      </c>
      <c r="AI491" s="3">
        <v>0</v>
      </c>
      <c r="AJ491" s="3">
        <v>0</v>
      </c>
      <c r="AK491" s="3">
        <v>6</v>
      </c>
      <c r="AL491" s="3" t="s">
        <v>9598</v>
      </c>
      <c r="AM491" s="3" t="s">
        <v>9599</v>
      </c>
      <c r="AN491" s="3" t="s">
        <v>9600</v>
      </c>
      <c r="AO491" s="3" t="s">
        <v>9879</v>
      </c>
      <c r="AP491" s="3" t="s">
        <v>74</v>
      </c>
      <c r="AQ491" s="3" t="s">
        <v>9880</v>
      </c>
      <c r="AR491" s="3" t="s">
        <v>9881</v>
      </c>
      <c r="AS491" s="3" t="s">
        <v>74</v>
      </c>
      <c r="AT491" s="3" t="s">
        <v>74</v>
      </c>
      <c r="AU491" s="3">
        <v>2017</v>
      </c>
      <c r="AV491" s="3">
        <v>72</v>
      </c>
      <c r="AW491" s="3" t="s">
        <v>74</v>
      </c>
      <c r="AX491" s="3" t="s">
        <v>74</v>
      </c>
      <c r="AY491" s="3" t="s">
        <v>74</v>
      </c>
      <c r="AZ491" s="3" t="s">
        <v>74</v>
      </c>
      <c r="BA491" s="3" t="s">
        <v>74</v>
      </c>
      <c r="BB491" s="3">
        <v>439</v>
      </c>
      <c r="BC491" s="3">
        <v>443</v>
      </c>
      <c r="BD491" s="3" t="s">
        <v>74</v>
      </c>
      <c r="BE491" s="3" t="s">
        <v>74</v>
      </c>
      <c r="BF491" s="3" t="s">
        <v>74</v>
      </c>
      <c r="BG491" s="3" t="s">
        <v>74</v>
      </c>
      <c r="BH491" s="3" t="s">
        <v>74</v>
      </c>
      <c r="BI491" s="3">
        <v>5</v>
      </c>
      <c r="BJ491" s="3" t="s">
        <v>6626</v>
      </c>
      <c r="BK491" s="3" t="s">
        <v>2556</v>
      </c>
      <c r="BL491" s="3" t="s">
        <v>6627</v>
      </c>
      <c r="BM491" s="3" t="s">
        <v>9882</v>
      </c>
      <c r="BN491" s="3" t="s">
        <v>74</v>
      </c>
      <c r="BO491" s="3" t="s">
        <v>74</v>
      </c>
      <c r="BP491" s="3" t="s">
        <v>74</v>
      </c>
      <c r="BQ491" s="3" t="s">
        <v>74</v>
      </c>
      <c r="BR491" s="3" t="s">
        <v>101</v>
      </c>
      <c r="BS491" s="3" t="s">
        <v>9883</v>
      </c>
      <c r="BT491" s="3" t="str">
        <f>HYPERLINK("https%3A%2F%2Fwww.webofscience.com%2Fwos%2Fwoscc%2Ffull-record%2FWOS:000416086100102","View Full Record in Web of Science")</f>
        <v>View Full Record in Web of Science</v>
      </c>
      <c r="BU491" s="3"/>
      <c r="BV491" s="3"/>
      <c r="BW491" s="1"/>
    </row>
    <row r="492" spans="1:75" x14ac:dyDescent="0.25">
      <c r="A492" s="3" t="s">
        <v>103</v>
      </c>
      <c r="B492" s="3" t="s">
        <v>9884</v>
      </c>
      <c r="C492" s="3" t="s">
        <v>74</v>
      </c>
      <c r="D492" s="3" t="s">
        <v>9885</v>
      </c>
      <c r="E492" s="3" t="s">
        <v>74</v>
      </c>
      <c r="F492" s="3" t="s">
        <v>9886</v>
      </c>
      <c r="G492" s="3" t="s">
        <v>74</v>
      </c>
      <c r="H492" s="3" t="s">
        <v>74</v>
      </c>
      <c r="I492" s="3" t="s">
        <v>9887</v>
      </c>
      <c r="J492" s="3" t="s">
        <v>9888</v>
      </c>
      <c r="K492" s="3" t="s">
        <v>9889</v>
      </c>
      <c r="L492" s="3" t="s">
        <v>74</v>
      </c>
      <c r="M492" s="3" t="s">
        <v>9890</v>
      </c>
      <c r="N492" s="3" t="s">
        <v>111</v>
      </c>
      <c r="O492" s="3" t="s">
        <v>9891</v>
      </c>
      <c r="P492" s="3" t="s">
        <v>9892</v>
      </c>
      <c r="Q492" s="3" t="s">
        <v>9893</v>
      </c>
      <c r="R492" s="3" t="s">
        <v>74</v>
      </c>
      <c r="S492" s="3" t="s">
        <v>74</v>
      </c>
      <c r="T492" s="3" t="s">
        <v>9894</v>
      </c>
      <c r="U492" s="3" t="s">
        <v>74</v>
      </c>
      <c r="V492" s="3" t="s">
        <v>9895</v>
      </c>
      <c r="W492" s="3" t="s">
        <v>9896</v>
      </c>
      <c r="X492" s="3" t="s">
        <v>9897</v>
      </c>
      <c r="Y492" s="3" t="s">
        <v>9898</v>
      </c>
      <c r="Z492" s="3" t="s">
        <v>9899</v>
      </c>
      <c r="AA492" s="3" t="s">
        <v>74</v>
      </c>
      <c r="AB492" s="3" t="s">
        <v>74</v>
      </c>
      <c r="AC492" s="3" t="s">
        <v>74</v>
      </c>
      <c r="AD492" s="3" t="s">
        <v>74</v>
      </c>
      <c r="AE492" s="3" t="s">
        <v>74</v>
      </c>
      <c r="AF492" s="3" t="s">
        <v>74</v>
      </c>
      <c r="AG492" s="3">
        <v>5</v>
      </c>
      <c r="AH492" s="3">
        <v>0</v>
      </c>
      <c r="AI492" s="3">
        <v>0</v>
      </c>
      <c r="AJ492" s="3">
        <v>0</v>
      </c>
      <c r="AK492" s="3">
        <v>2</v>
      </c>
      <c r="AL492" s="3" t="s">
        <v>9900</v>
      </c>
      <c r="AM492" s="3" t="s">
        <v>9901</v>
      </c>
      <c r="AN492" s="3" t="s">
        <v>9902</v>
      </c>
      <c r="AO492" s="3" t="s">
        <v>9903</v>
      </c>
      <c r="AP492" s="3" t="s">
        <v>74</v>
      </c>
      <c r="AQ492" s="3" t="s">
        <v>9904</v>
      </c>
      <c r="AR492" s="3" t="s">
        <v>9905</v>
      </c>
      <c r="AS492" s="3" t="s">
        <v>74</v>
      </c>
      <c r="AT492" s="3" t="s">
        <v>74</v>
      </c>
      <c r="AU492" s="3">
        <v>2016</v>
      </c>
      <c r="AV492" s="3">
        <v>91</v>
      </c>
      <c r="AW492" s="3" t="s">
        <v>74</v>
      </c>
      <c r="AX492" s="3" t="s">
        <v>74</v>
      </c>
      <c r="AY492" s="3" t="s">
        <v>74</v>
      </c>
      <c r="AZ492" s="3" t="s">
        <v>74</v>
      </c>
      <c r="BA492" s="3" t="s">
        <v>74</v>
      </c>
      <c r="BB492" s="3">
        <v>124</v>
      </c>
      <c r="BC492" s="3">
        <v>128</v>
      </c>
      <c r="BD492" s="3" t="s">
        <v>74</v>
      </c>
      <c r="BE492" s="3" t="s">
        <v>74</v>
      </c>
      <c r="BF492" s="3" t="s">
        <v>74</v>
      </c>
      <c r="BG492" s="3" t="s">
        <v>74</v>
      </c>
      <c r="BH492" s="3" t="s">
        <v>74</v>
      </c>
      <c r="BI492" s="3">
        <v>5</v>
      </c>
      <c r="BJ492" s="3" t="s">
        <v>6626</v>
      </c>
      <c r="BK492" s="3" t="s">
        <v>2556</v>
      </c>
      <c r="BL492" s="3" t="s">
        <v>6627</v>
      </c>
      <c r="BM492" s="3" t="s">
        <v>9906</v>
      </c>
      <c r="BN492" s="3" t="s">
        <v>74</v>
      </c>
      <c r="BO492" s="3" t="s">
        <v>74</v>
      </c>
      <c r="BP492" s="3" t="s">
        <v>74</v>
      </c>
      <c r="BQ492" s="3" t="s">
        <v>74</v>
      </c>
      <c r="BR492" s="3" t="s">
        <v>101</v>
      </c>
      <c r="BS492" s="3" t="s">
        <v>9907</v>
      </c>
      <c r="BT492" s="3" t="str">
        <f>HYPERLINK("https%3A%2F%2Fwww.webofscience.com%2Fwos%2Fwoscc%2Ffull-record%2FWOS:000397677300024","View Full Record in Web of Science")</f>
        <v>View Full Record in Web of Science</v>
      </c>
      <c r="BU492" s="3"/>
      <c r="BV492" s="3"/>
      <c r="BW492" s="1"/>
    </row>
    <row r="493" spans="1:75" x14ac:dyDescent="0.25">
      <c r="A493" s="3" t="s">
        <v>103</v>
      </c>
      <c r="B493" s="3" t="s">
        <v>9908</v>
      </c>
      <c r="C493" s="3" t="s">
        <v>74</v>
      </c>
      <c r="D493" s="3" t="s">
        <v>9909</v>
      </c>
      <c r="E493" s="3" t="s">
        <v>74</v>
      </c>
      <c r="F493" s="3" t="s">
        <v>9910</v>
      </c>
      <c r="G493" s="3" t="s">
        <v>74</v>
      </c>
      <c r="H493" s="3" t="s">
        <v>74</v>
      </c>
      <c r="I493" s="3" t="s">
        <v>9911</v>
      </c>
      <c r="J493" s="3" t="s">
        <v>9912</v>
      </c>
      <c r="K493" s="3" t="s">
        <v>9913</v>
      </c>
      <c r="L493" s="3" t="s">
        <v>74</v>
      </c>
      <c r="M493" s="3" t="s">
        <v>9890</v>
      </c>
      <c r="N493" s="3" t="s">
        <v>111</v>
      </c>
      <c r="O493" s="3" t="s">
        <v>9914</v>
      </c>
      <c r="P493" s="3" t="s">
        <v>9915</v>
      </c>
      <c r="Q493" s="3" t="s">
        <v>9916</v>
      </c>
      <c r="R493" s="3" t="s">
        <v>74</v>
      </c>
      <c r="S493" s="3" t="s">
        <v>74</v>
      </c>
      <c r="T493" s="3" t="s">
        <v>9917</v>
      </c>
      <c r="U493" s="3" t="s">
        <v>74</v>
      </c>
      <c r="V493" s="3" t="s">
        <v>9918</v>
      </c>
      <c r="W493" s="3" t="s">
        <v>9919</v>
      </c>
      <c r="X493" s="3" t="s">
        <v>9920</v>
      </c>
      <c r="Y493" s="3" t="s">
        <v>9921</v>
      </c>
      <c r="Z493" s="3" t="s">
        <v>9922</v>
      </c>
      <c r="AA493" s="3" t="s">
        <v>74</v>
      </c>
      <c r="AB493" s="3" t="s">
        <v>74</v>
      </c>
      <c r="AC493" s="3" t="s">
        <v>74</v>
      </c>
      <c r="AD493" s="3" t="s">
        <v>74</v>
      </c>
      <c r="AE493" s="3" t="s">
        <v>74</v>
      </c>
      <c r="AF493" s="3" t="s">
        <v>74</v>
      </c>
      <c r="AG493" s="3">
        <v>5</v>
      </c>
      <c r="AH493" s="3">
        <v>0</v>
      </c>
      <c r="AI493" s="3">
        <v>0</v>
      </c>
      <c r="AJ493" s="3">
        <v>0</v>
      </c>
      <c r="AK493" s="3">
        <v>1</v>
      </c>
      <c r="AL493" s="3" t="s">
        <v>9923</v>
      </c>
      <c r="AM493" s="3" t="s">
        <v>2523</v>
      </c>
      <c r="AN493" s="3" t="s">
        <v>9924</v>
      </c>
      <c r="AO493" s="3" t="s">
        <v>9925</v>
      </c>
      <c r="AP493" s="3" t="s">
        <v>74</v>
      </c>
      <c r="AQ493" s="3" t="s">
        <v>9926</v>
      </c>
      <c r="AR493" s="3" t="s">
        <v>9927</v>
      </c>
      <c r="AS493" s="3" t="s">
        <v>74</v>
      </c>
      <c r="AT493" s="3" t="s">
        <v>74</v>
      </c>
      <c r="AU493" s="3">
        <v>2016</v>
      </c>
      <c r="AV493" s="3">
        <v>52</v>
      </c>
      <c r="AW493" s="3" t="s">
        <v>74</v>
      </c>
      <c r="AX493" s="3" t="s">
        <v>74</v>
      </c>
      <c r="AY493" s="3" t="s">
        <v>74</v>
      </c>
      <c r="AZ493" s="3" t="s">
        <v>74</v>
      </c>
      <c r="BA493" s="3" t="s">
        <v>74</v>
      </c>
      <c r="BB493" s="3">
        <v>476</v>
      </c>
      <c r="BC493" s="3">
        <v>480</v>
      </c>
      <c r="BD493" s="3" t="s">
        <v>74</v>
      </c>
      <c r="BE493" s="3" t="s">
        <v>74</v>
      </c>
      <c r="BF493" s="3" t="s">
        <v>74</v>
      </c>
      <c r="BG493" s="3" t="s">
        <v>74</v>
      </c>
      <c r="BH493" s="3" t="s">
        <v>74</v>
      </c>
      <c r="BI493" s="3">
        <v>5</v>
      </c>
      <c r="BJ493" s="3" t="s">
        <v>9928</v>
      </c>
      <c r="BK493" s="3" t="s">
        <v>2556</v>
      </c>
      <c r="BL493" s="3" t="s">
        <v>9929</v>
      </c>
      <c r="BM493" s="3" t="s">
        <v>9930</v>
      </c>
      <c r="BN493" s="3" t="s">
        <v>74</v>
      </c>
      <c r="BO493" s="3" t="s">
        <v>74</v>
      </c>
      <c r="BP493" s="3" t="s">
        <v>74</v>
      </c>
      <c r="BQ493" s="3" t="s">
        <v>74</v>
      </c>
      <c r="BR493" s="3" t="s">
        <v>101</v>
      </c>
      <c r="BS493" s="3" t="s">
        <v>9931</v>
      </c>
      <c r="BT493" s="3" t="str">
        <f>HYPERLINK("https%3A%2F%2Fwww.webofscience.com%2Fwos%2Fwoscc%2Ffull-record%2FWOS:000385897700093","View Full Record in Web of Science")</f>
        <v>View Full Record in Web of Science</v>
      </c>
      <c r="BU493" s="3"/>
      <c r="BV493" s="3"/>
      <c r="BW493" s="1"/>
    </row>
    <row r="494" spans="1:75" x14ac:dyDescent="0.25">
      <c r="A494" s="3" t="s">
        <v>103</v>
      </c>
      <c r="B494" s="3" t="s">
        <v>9932</v>
      </c>
      <c r="C494" s="3" t="s">
        <v>74</v>
      </c>
      <c r="D494" s="3" t="s">
        <v>9933</v>
      </c>
      <c r="E494" s="3" t="s">
        <v>74</v>
      </c>
      <c r="F494" s="3" t="s">
        <v>9934</v>
      </c>
      <c r="G494" s="3" t="s">
        <v>74</v>
      </c>
      <c r="H494" s="3" t="s">
        <v>74</v>
      </c>
      <c r="I494" s="3" t="s">
        <v>9935</v>
      </c>
      <c r="J494" s="3" t="s">
        <v>9936</v>
      </c>
      <c r="K494" s="3" t="s">
        <v>468</v>
      </c>
      <c r="L494" s="3" t="s">
        <v>74</v>
      </c>
      <c r="M494" s="3" t="s">
        <v>110</v>
      </c>
      <c r="N494" s="3" t="s">
        <v>111</v>
      </c>
      <c r="O494" s="3" t="s">
        <v>9937</v>
      </c>
      <c r="P494" s="3" t="s">
        <v>9938</v>
      </c>
      <c r="Q494" s="3" t="s">
        <v>9939</v>
      </c>
      <c r="R494" s="3" t="s">
        <v>74</v>
      </c>
      <c r="S494" s="3" t="s">
        <v>74</v>
      </c>
      <c r="T494" s="3" t="s">
        <v>9940</v>
      </c>
      <c r="U494" s="3" t="s">
        <v>9941</v>
      </c>
      <c r="V494" s="3" t="s">
        <v>9942</v>
      </c>
      <c r="W494" s="3" t="s">
        <v>9943</v>
      </c>
      <c r="X494" s="3" t="s">
        <v>8622</v>
      </c>
      <c r="Y494" s="3" t="s">
        <v>9944</v>
      </c>
      <c r="Z494" s="3" t="s">
        <v>9945</v>
      </c>
      <c r="AA494" s="3" t="s">
        <v>9946</v>
      </c>
      <c r="AB494" s="3" t="s">
        <v>9947</v>
      </c>
      <c r="AC494" s="3" t="s">
        <v>74</v>
      </c>
      <c r="AD494" s="3" t="s">
        <v>74</v>
      </c>
      <c r="AE494" s="3" t="s">
        <v>74</v>
      </c>
      <c r="AF494" s="3" t="s">
        <v>74</v>
      </c>
      <c r="AG494" s="3">
        <v>21</v>
      </c>
      <c r="AH494" s="3">
        <v>0</v>
      </c>
      <c r="AI494" s="3">
        <v>0</v>
      </c>
      <c r="AJ494" s="3">
        <v>0</v>
      </c>
      <c r="AK494" s="3">
        <v>6</v>
      </c>
      <c r="AL494" s="3" t="s">
        <v>9948</v>
      </c>
      <c r="AM494" s="3" t="s">
        <v>375</v>
      </c>
      <c r="AN494" s="3" t="s">
        <v>376</v>
      </c>
      <c r="AO494" s="3" t="s">
        <v>480</v>
      </c>
      <c r="AP494" s="3" t="s">
        <v>74</v>
      </c>
      <c r="AQ494" s="3" t="s">
        <v>9949</v>
      </c>
      <c r="AR494" s="3" t="s">
        <v>483</v>
      </c>
      <c r="AS494" s="3" t="s">
        <v>74</v>
      </c>
      <c r="AT494" s="3" t="s">
        <v>74</v>
      </c>
      <c r="AU494" s="3">
        <v>2016</v>
      </c>
      <c r="AV494" s="3">
        <v>640</v>
      </c>
      <c r="AW494" s="3" t="s">
        <v>74</v>
      </c>
      <c r="AX494" s="3" t="s">
        <v>74</v>
      </c>
      <c r="AY494" s="3" t="s">
        <v>74</v>
      </c>
      <c r="AZ494" s="3" t="s">
        <v>74</v>
      </c>
      <c r="BA494" s="3" t="s">
        <v>74</v>
      </c>
      <c r="BB494" s="3">
        <v>329</v>
      </c>
      <c r="BC494" s="3">
        <v>341</v>
      </c>
      <c r="BD494" s="3" t="s">
        <v>74</v>
      </c>
      <c r="BE494" s="3" t="s">
        <v>9950</v>
      </c>
      <c r="BF494" s="3" t="str">
        <f>HYPERLINK("http://dx.doi.org/10.1007/978-3-319-49646-7_28","http://dx.doi.org/10.1007/978-3-319-49646-7_28")</f>
        <v>http://dx.doi.org/10.1007/978-3-319-49646-7_28</v>
      </c>
      <c r="BG494" s="3" t="s">
        <v>74</v>
      </c>
      <c r="BH494" s="3" t="s">
        <v>74</v>
      </c>
      <c r="BI494" s="3">
        <v>13</v>
      </c>
      <c r="BJ494" s="3" t="s">
        <v>1566</v>
      </c>
      <c r="BK494" s="3" t="s">
        <v>208</v>
      </c>
      <c r="BL494" s="3" t="s">
        <v>486</v>
      </c>
      <c r="BM494" s="3" t="s">
        <v>9951</v>
      </c>
      <c r="BN494" s="3" t="s">
        <v>74</v>
      </c>
      <c r="BO494" s="3" t="s">
        <v>74</v>
      </c>
      <c r="BP494" s="3" t="s">
        <v>74</v>
      </c>
      <c r="BQ494" s="3" t="s">
        <v>74</v>
      </c>
      <c r="BR494" s="3" t="s">
        <v>101</v>
      </c>
      <c r="BS494" s="3" t="s">
        <v>9952</v>
      </c>
      <c r="BT494" s="3" t="str">
        <f>HYPERLINK("https%3A%2F%2Fwww.webofscience.com%2Fwos%2Fwoscc%2Ffull-record%2FWOS:000399946300028","View Full Record in Web of Science")</f>
        <v>View Full Record in Web of Science</v>
      </c>
      <c r="BU494" s="3"/>
      <c r="BV494" s="3"/>
      <c r="BW494" s="1"/>
    </row>
    <row r="495" spans="1:75" x14ac:dyDescent="0.25">
      <c r="A495" s="3" t="s">
        <v>103</v>
      </c>
      <c r="B495" s="3" t="s">
        <v>9953</v>
      </c>
      <c r="C495" s="3" t="s">
        <v>74</v>
      </c>
      <c r="D495" s="3" t="s">
        <v>74</v>
      </c>
      <c r="E495" s="3" t="s">
        <v>9954</v>
      </c>
      <c r="F495" s="3" t="s">
        <v>9955</v>
      </c>
      <c r="G495" s="3" t="s">
        <v>74</v>
      </c>
      <c r="H495" s="3" t="s">
        <v>74</v>
      </c>
      <c r="I495" s="3" t="s">
        <v>9956</v>
      </c>
      <c r="J495" s="3" t="s">
        <v>9957</v>
      </c>
      <c r="K495" s="3" t="s">
        <v>74</v>
      </c>
      <c r="L495" s="3" t="s">
        <v>74</v>
      </c>
      <c r="M495" s="3" t="s">
        <v>110</v>
      </c>
      <c r="N495" s="3" t="s">
        <v>111</v>
      </c>
      <c r="O495" s="3" t="s">
        <v>9958</v>
      </c>
      <c r="P495" s="3" t="s">
        <v>9959</v>
      </c>
      <c r="Q495" s="3" t="s">
        <v>9960</v>
      </c>
      <c r="R495" s="3" t="s">
        <v>74</v>
      </c>
      <c r="S495" s="3" t="s">
        <v>74</v>
      </c>
      <c r="T495" s="3" t="s">
        <v>9961</v>
      </c>
      <c r="U495" s="3" t="s">
        <v>74</v>
      </c>
      <c r="V495" s="3" t="s">
        <v>9962</v>
      </c>
      <c r="W495" s="3" t="s">
        <v>9963</v>
      </c>
      <c r="X495" s="3" t="s">
        <v>9964</v>
      </c>
      <c r="Y495" s="3" t="s">
        <v>9965</v>
      </c>
      <c r="Z495" s="3" t="s">
        <v>9966</v>
      </c>
      <c r="AA495" s="3" t="s">
        <v>74</v>
      </c>
      <c r="AB495" s="3" t="s">
        <v>74</v>
      </c>
      <c r="AC495" s="3" t="s">
        <v>74</v>
      </c>
      <c r="AD495" s="3" t="s">
        <v>74</v>
      </c>
      <c r="AE495" s="3" t="s">
        <v>74</v>
      </c>
      <c r="AF495" s="3" t="s">
        <v>74</v>
      </c>
      <c r="AG495" s="3">
        <v>2</v>
      </c>
      <c r="AH495" s="3">
        <v>0</v>
      </c>
      <c r="AI495" s="3">
        <v>0</v>
      </c>
      <c r="AJ495" s="3">
        <v>0</v>
      </c>
      <c r="AK495" s="3">
        <v>10</v>
      </c>
      <c r="AL495" s="3" t="s">
        <v>2596</v>
      </c>
      <c r="AM495" s="3" t="s">
        <v>2597</v>
      </c>
      <c r="AN495" s="3" t="s">
        <v>2598</v>
      </c>
      <c r="AO495" s="3" t="s">
        <v>74</v>
      </c>
      <c r="AP495" s="3" t="s">
        <v>74</v>
      </c>
      <c r="AQ495" s="3" t="s">
        <v>9967</v>
      </c>
      <c r="AR495" s="3" t="s">
        <v>74</v>
      </c>
      <c r="AS495" s="3" t="s">
        <v>74</v>
      </c>
      <c r="AT495" s="3" t="s">
        <v>74</v>
      </c>
      <c r="AU495" s="3">
        <v>2015</v>
      </c>
      <c r="AV495" s="3" t="s">
        <v>74</v>
      </c>
      <c r="AW495" s="3" t="s">
        <v>74</v>
      </c>
      <c r="AX495" s="3" t="s">
        <v>74</v>
      </c>
      <c r="AY495" s="3" t="s">
        <v>74</v>
      </c>
      <c r="AZ495" s="3" t="s">
        <v>74</v>
      </c>
      <c r="BA495" s="3" t="s">
        <v>74</v>
      </c>
      <c r="BB495" s="3">
        <v>593</v>
      </c>
      <c r="BC495" s="3">
        <v>596</v>
      </c>
      <c r="BD495" s="3" t="s">
        <v>74</v>
      </c>
      <c r="BE495" s="3" t="s">
        <v>74</v>
      </c>
      <c r="BF495" s="3" t="s">
        <v>74</v>
      </c>
      <c r="BG495" s="3" t="s">
        <v>74</v>
      </c>
      <c r="BH495" s="3" t="s">
        <v>74</v>
      </c>
      <c r="BI495" s="3">
        <v>4</v>
      </c>
      <c r="BJ495" s="3" t="s">
        <v>7188</v>
      </c>
      <c r="BK495" s="3" t="s">
        <v>208</v>
      </c>
      <c r="BL495" s="3" t="s">
        <v>486</v>
      </c>
      <c r="BM495" s="3" t="s">
        <v>9968</v>
      </c>
      <c r="BN495" s="3" t="s">
        <v>74</v>
      </c>
      <c r="BO495" s="3" t="s">
        <v>74</v>
      </c>
      <c r="BP495" s="3" t="s">
        <v>74</v>
      </c>
      <c r="BQ495" s="3" t="s">
        <v>74</v>
      </c>
      <c r="BR495" s="3" t="s">
        <v>101</v>
      </c>
      <c r="BS495" s="3" t="s">
        <v>9969</v>
      </c>
      <c r="BT495" s="3" t="str">
        <f>HYPERLINK("https%3A%2F%2Fwww.webofscience.com%2Fwos%2Fwoscc%2Ffull-record%2FWOS:000380291000100","View Full Record in Web of Science")</f>
        <v>View Full Record in Web of Science</v>
      </c>
      <c r="BU495" s="3"/>
      <c r="BV495" s="3"/>
      <c r="BW495" s="1"/>
    </row>
    <row r="496" spans="1:75" x14ac:dyDescent="0.25">
      <c r="A496" s="3" t="s">
        <v>103</v>
      </c>
      <c r="B496" s="3" t="s">
        <v>9970</v>
      </c>
      <c r="C496" s="3" t="s">
        <v>74</v>
      </c>
      <c r="D496" s="3" t="s">
        <v>9971</v>
      </c>
      <c r="E496" s="3" t="s">
        <v>74</v>
      </c>
      <c r="F496" s="3" t="s">
        <v>9972</v>
      </c>
      <c r="G496" s="3" t="s">
        <v>74</v>
      </c>
      <c r="H496" s="3" t="s">
        <v>74</v>
      </c>
      <c r="I496" s="3" t="s">
        <v>9973</v>
      </c>
      <c r="J496" s="3" t="s">
        <v>9974</v>
      </c>
      <c r="K496" s="3" t="s">
        <v>9975</v>
      </c>
      <c r="L496" s="3" t="s">
        <v>74</v>
      </c>
      <c r="M496" s="3" t="s">
        <v>110</v>
      </c>
      <c r="N496" s="3" t="s">
        <v>111</v>
      </c>
      <c r="O496" s="3" t="s">
        <v>9976</v>
      </c>
      <c r="P496" s="3" t="s">
        <v>9977</v>
      </c>
      <c r="Q496" s="3" t="s">
        <v>9978</v>
      </c>
      <c r="R496" s="3" t="s">
        <v>74</v>
      </c>
      <c r="S496" s="3" t="s">
        <v>74</v>
      </c>
      <c r="T496" s="3" t="s">
        <v>9979</v>
      </c>
      <c r="U496" s="3" t="s">
        <v>74</v>
      </c>
      <c r="V496" s="3" t="s">
        <v>9980</v>
      </c>
      <c r="W496" s="3" t="s">
        <v>9981</v>
      </c>
      <c r="X496" s="3" t="s">
        <v>74</v>
      </c>
      <c r="Y496" s="3" t="s">
        <v>9982</v>
      </c>
      <c r="Z496" s="3" t="s">
        <v>74</v>
      </c>
      <c r="AA496" s="3" t="s">
        <v>74</v>
      </c>
      <c r="AB496" s="3" t="s">
        <v>74</v>
      </c>
      <c r="AC496" s="3" t="s">
        <v>74</v>
      </c>
      <c r="AD496" s="3" t="s">
        <v>74</v>
      </c>
      <c r="AE496" s="3" t="s">
        <v>74</v>
      </c>
      <c r="AF496" s="3" t="s">
        <v>74</v>
      </c>
      <c r="AG496" s="3">
        <v>6</v>
      </c>
      <c r="AH496" s="3">
        <v>0</v>
      </c>
      <c r="AI496" s="3">
        <v>0</v>
      </c>
      <c r="AJ496" s="3">
        <v>0</v>
      </c>
      <c r="AK496" s="3">
        <v>5</v>
      </c>
      <c r="AL496" s="3" t="s">
        <v>4427</v>
      </c>
      <c r="AM496" s="3" t="s">
        <v>4428</v>
      </c>
      <c r="AN496" s="3" t="s">
        <v>4429</v>
      </c>
      <c r="AO496" s="3" t="s">
        <v>9983</v>
      </c>
      <c r="AP496" s="3" t="s">
        <v>74</v>
      </c>
      <c r="AQ496" s="3" t="s">
        <v>9984</v>
      </c>
      <c r="AR496" s="3" t="s">
        <v>9985</v>
      </c>
      <c r="AS496" s="3" t="s">
        <v>74</v>
      </c>
      <c r="AT496" s="3" t="s">
        <v>74</v>
      </c>
      <c r="AU496" s="3">
        <v>2012</v>
      </c>
      <c r="AV496" s="3">
        <v>146</v>
      </c>
      <c r="AW496" s="3" t="s">
        <v>74</v>
      </c>
      <c r="AX496" s="3" t="s">
        <v>74</v>
      </c>
      <c r="AY496" s="3" t="s">
        <v>74</v>
      </c>
      <c r="AZ496" s="3" t="s">
        <v>74</v>
      </c>
      <c r="BA496" s="3" t="s">
        <v>74</v>
      </c>
      <c r="BB496" s="3">
        <v>147</v>
      </c>
      <c r="BC496" s="3">
        <v>154</v>
      </c>
      <c r="BD496" s="3" t="s">
        <v>74</v>
      </c>
      <c r="BE496" s="3" t="s">
        <v>74</v>
      </c>
      <c r="BF496" s="3" t="s">
        <v>74</v>
      </c>
      <c r="BG496" s="3" t="s">
        <v>74</v>
      </c>
      <c r="BH496" s="3" t="s">
        <v>74</v>
      </c>
      <c r="BI496" s="3">
        <v>8</v>
      </c>
      <c r="BJ496" s="3" t="s">
        <v>2278</v>
      </c>
      <c r="BK496" s="3" t="s">
        <v>208</v>
      </c>
      <c r="BL496" s="3" t="s">
        <v>486</v>
      </c>
      <c r="BM496" s="3" t="s">
        <v>9986</v>
      </c>
      <c r="BN496" s="3" t="s">
        <v>74</v>
      </c>
      <c r="BO496" s="3" t="s">
        <v>74</v>
      </c>
      <c r="BP496" s="3" t="s">
        <v>74</v>
      </c>
      <c r="BQ496" s="3" t="s">
        <v>74</v>
      </c>
      <c r="BR496" s="3" t="s">
        <v>101</v>
      </c>
      <c r="BS496" s="3" t="s">
        <v>9987</v>
      </c>
      <c r="BT496" s="3" t="str">
        <f>HYPERLINK("https%3A%2F%2Fwww.webofscience.com%2Fwos%2Fwoscc%2Ffull-record%2FWOS:000310561900021","View Full Record in Web of Science")</f>
        <v>View Full Record in Web of Science</v>
      </c>
      <c r="BU496" s="3"/>
      <c r="BV496" s="3"/>
      <c r="BW496" s="1"/>
    </row>
    <row r="497" spans="1:75" x14ac:dyDescent="0.25">
      <c r="A497" s="3" t="s">
        <v>103</v>
      </c>
      <c r="B497" s="3" t="s">
        <v>9988</v>
      </c>
      <c r="C497" s="3" t="s">
        <v>74</v>
      </c>
      <c r="D497" s="3" t="s">
        <v>74</v>
      </c>
      <c r="E497" s="3" t="s">
        <v>9989</v>
      </c>
      <c r="F497" s="3" t="s">
        <v>9990</v>
      </c>
      <c r="G497" s="3" t="s">
        <v>74</v>
      </c>
      <c r="H497" s="3" t="s">
        <v>74</v>
      </c>
      <c r="I497" s="3" t="s">
        <v>9991</v>
      </c>
      <c r="J497" s="3" t="s">
        <v>9992</v>
      </c>
      <c r="K497" s="3" t="s">
        <v>74</v>
      </c>
      <c r="L497" s="3" t="s">
        <v>74</v>
      </c>
      <c r="M497" s="3" t="s">
        <v>9890</v>
      </c>
      <c r="N497" s="3" t="s">
        <v>111</v>
      </c>
      <c r="O497" s="3" t="s">
        <v>9993</v>
      </c>
      <c r="P497" s="3" t="s">
        <v>9994</v>
      </c>
      <c r="Q497" s="3" t="s">
        <v>9995</v>
      </c>
      <c r="R497" s="3" t="s">
        <v>74</v>
      </c>
      <c r="S497" s="3" t="s">
        <v>74</v>
      </c>
      <c r="T497" s="3" t="s">
        <v>9996</v>
      </c>
      <c r="U497" s="3" t="s">
        <v>74</v>
      </c>
      <c r="V497" s="3" t="s">
        <v>9997</v>
      </c>
      <c r="W497" s="3" t="s">
        <v>9998</v>
      </c>
      <c r="X497" s="3" t="s">
        <v>9640</v>
      </c>
      <c r="Y497" s="3" t="s">
        <v>74</v>
      </c>
      <c r="Z497" s="3" t="s">
        <v>9999</v>
      </c>
      <c r="AA497" s="3" t="s">
        <v>74</v>
      </c>
      <c r="AB497" s="3" t="s">
        <v>74</v>
      </c>
      <c r="AC497" s="3" t="s">
        <v>74</v>
      </c>
      <c r="AD497" s="3" t="s">
        <v>74</v>
      </c>
      <c r="AE497" s="3" t="s">
        <v>74</v>
      </c>
      <c r="AF497" s="3" t="s">
        <v>74</v>
      </c>
      <c r="AG497" s="3">
        <v>4</v>
      </c>
      <c r="AH497" s="3">
        <v>0</v>
      </c>
      <c r="AI497" s="3">
        <v>0</v>
      </c>
      <c r="AJ497" s="3">
        <v>0</v>
      </c>
      <c r="AK497" s="3">
        <v>1</v>
      </c>
      <c r="AL497" s="3" t="s">
        <v>8731</v>
      </c>
      <c r="AM497" s="3" t="s">
        <v>8732</v>
      </c>
      <c r="AN497" s="3" t="s">
        <v>8733</v>
      </c>
      <c r="AO497" s="3" t="s">
        <v>74</v>
      </c>
      <c r="AP497" s="3" t="s">
        <v>74</v>
      </c>
      <c r="AQ497" s="3" t="s">
        <v>10000</v>
      </c>
      <c r="AR497" s="3" t="s">
        <v>74</v>
      </c>
      <c r="AS497" s="3" t="s">
        <v>74</v>
      </c>
      <c r="AT497" s="3" t="s">
        <v>74</v>
      </c>
      <c r="AU497" s="3">
        <v>2010</v>
      </c>
      <c r="AV497" s="3" t="s">
        <v>74</v>
      </c>
      <c r="AW497" s="3" t="s">
        <v>74</v>
      </c>
      <c r="AX497" s="3" t="s">
        <v>74</v>
      </c>
      <c r="AY497" s="3" t="s">
        <v>74</v>
      </c>
      <c r="AZ497" s="3" t="s">
        <v>74</v>
      </c>
      <c r="BA497" s="3" t="s">
        <v>74</v>
      </c>
      <c r="BB497" s="3">
        <v>2518</v>
      </c>
      <c r="BC497" s="3">
        <v>2521</v>
      </c>
      <c r="BD497" s="3" t="s">
        <v>74</v>
      </c>
      <c r="BE497" s="3" t="s">
        <v>74</v>
      </c>
      <c r="BF497" s="3" t="s">
        <v>74</v>
      </c>
      <c r="BG497" s="3" t="s">
        <v>74</v>
      </c>
      <c r="BH497" s="3" t="s">
        <v>74</v>
      </c>
      <c r="BI497" s="3">
        <v>4</v>
      </c>
      <c r="BJ497" s="3" t="s">
        <v>96</v>
      </c>
      <c r="BK497" s="3" t="s">
        <v>2556</v>
      </c>
      <c r="BL497" s="3" t="s">
        <v>98</v>
      </c>
      <c r="BM497" s="3" t="s">
        <v>10001</v>
      </c>
      <c r="BN497" s="3" t="s">
        <v>74</v>
      </c>
      <c r="BO497" s="3" t="s">
        <v>74</v>
      </c>
      <c r="BP497" s="3" t="s">
        <v>74</v>
      </c>
      <c r="BQ497" s="3" t="s">
        <v>74</v>
      </c>
      <c r="BR497" s="3" t="s">
        <v>101</v>
      </c>
      <c r="BS497" s="3" t="s">
        <v>10002</v>
      </c>
      <c r="BT497" s="3" t="str">
        <f>HYPERLINK("https%3A%2F%2Fwww.webofscience.com%2Fwos%2Fwoscc%2Ffull-record%2FWOS:000276079501048","View Full Record in Web of Science")</f>
        <v>View Full Record in Web of Science</v>
      </c>
      <c r="BU497" s="3"/>
      <c r="BV497" s="3"/>
      <c r="BW497" s="1"/>
    </row>
    <row r="498" spans="1:75" x14ac:dyDescent="0.25">
      <c r="A498" s="3" t="s">
        <v>103</v>
      </c>
      <c r="B498" s="3" t="s">
        <v>10003</v>
      </c>
      <c r="C498" s="3" t="s">
        <v>74</v>
      </c>
      <c r="D498" s="3" t="s">
        <v>74</v>
      </c>
      <c r="E498" s="3" t="s">
        <v>199</v>
      </c>
      <c r="F498" s="3" t="s">
        <v>10004</v>
      </c>
      <c r="G498" s="3" t="s">
        <v>74</v>
      </c>
      <c r="H498" s="3" t="s">
        <v>74</v>
      </c>
      <c r="I498" s="3" t="s">
        <v>10005</v>
      </c>
      <c r="J498" s="3" t="s">
        <v>10006</v>
      </c>
      <c r="K498" s="3" t="s">
        <v>74</v>
      </c>
      <c r="L498" s="3" t="s">
        <v>74</v>
      </c>
      <c r="M498" s="3" t="s">
        <v>110</v>
      </c>
      <c r="N498" s="3" t="s">
        <v>111</v>
      </c>
      <c r="O498" s="3" t="s">
        <v>10007</v>
      </c>
      <c r="P498" s="3" t="s">
        <v>10008</v>
      </c>
      <c r="Q498" s="3" t="s">
        <v>10009</v>
      </c>
      <c r="R498" s="3" t="s">
        <v>74</v>
      </c>
      <c r="S498" s="3" t="s">
        <v>10010</v>
      </c>
      <c r="T498" s="3" t="s">
        <v>10011</v>
      </c>
      <c r="U498" s="3" t="s">
        <v>10012</v>
      </c>
      <c r="V498" s="3" t="s">
        <v>10013</v>
      </c>
      <c r="W498" s="3" t="s">
        <v>10014</v>
      </c>
      <c r="X498" s="3" t="s">
        <v>5661</v>
      </c>
      <c r="Y498" s="3" t="s">
        <v>10015</v>
      </c>
      <c r="Z498" s="3" t="s">
        <v>10016</v>
      </c>
      <c r="AA498" s="3" t="s">
        <v>74</v>
      </c>
      <c r="AB498" s="3" t="s">
        <v>74</v>
      </c>
      <c r="AC498" s="3" t="s">
        <v>74</v>
      </c>
      <c r="AD498" s="3" t="s">
        <v>74</v>
      </c>
      <c r="AE498" s="3" t="s">
        <v>74</v>
      </c>
      <c r="AF498" s="3" t="s">
        <v>74</v>
      </c>
      <c r="AG498" s="3">
        <v>20</v>
      </c>
      <c r="AH498" s="3">
        <v>0</v>
      </c>
      <c r="AI498" s="3">
        <v>0</v>
      </c>
      <c r="AJ498" s="3">
        <v>0</v>
      </c>
      <c r="AK498" s="3">
        <v>3</v>
      </c>
      <c r="AL498" s="3" t="s">
        <v>199</v>
      </c>
      <c r="AM498" s="3" t="s">
        <v>200</v>
      </c>
      <c r="AN498" s="3" t="s">
        <v>201</v>
      </c>
      <c r="AO498" s="3" t="s">
        <v>74</v>
      </c>
      <c r="AP498" s="3" t="s">
        <v>74</v>
      </c>
      <c r="AQ498" s="3" t="s">
        <v>10017</v>
      </c>
      <c r="AR498" s="3" t="s">
        <v>74</v>
      </c>
      <c r="AS498" s="3" t="s">
        <v>74</v>
      </c>
      <c r="AT498" s="3" t="s">
        <v>74</v>
      </c>
      <c r="AU498" s="3">
        <v>2008</v>
      </c>
      <c r="AV498" s="3" t="s">
        <v>74</v>
      </c>
      <c r="AW498" s="3" t="s">
        <v>74</v>
      </c>
      <c r="AX498" s="3" t="s">
        <v>74</v>
      </c>
      <c r="AY498" s="3" t="s">
        <v>74</v>
      </c>
      <c r="AZ498" s="3" t="s">
        <v>74</v>
      </c>
      <c r="BA498" s="3" t="s">
        <v>74</v>
      </c>
      <c r="BB498" s="3">
        <v>2826</v>
      </c>
      <c r="BC498" s="3">
        <v>2831</v>
      </c>
      <c r="BD498" s="3" t="s">
        <v>74</v>
      </c>
      <c r="BE498" s="3" t="s">
        <v>10018</v>
      </c>
      <c r="BF498" s="3" t="str">
        <f>HYPERLINK("http://dx.doi.org/10.1109/SOLI.2008.4683016","http://dx.doi.org/10.1109/SOLI.2008.4683016")</f>
        <v>http://dx.doi.org/10.1109/SOLI.2008.4683016</v>
      </c>
      <c r="BG498" s="3" t="s">
        <v>74</v>
      </c>
      <c r="BH498" s="3" t="s">
        <v>74</v>
      </c>
      <c r="BI498" s="3">
        <v>6</v>
      </c>
      <c r="BJ498" s="3" t="s">
        <v>10019</v>
      </c>
      <c r="BK498" s="3" t="s">
        <v>208</v>
      </c>
      <c r="BL498" s="3" t="s">
        <v>209</v>
      </c>
      <c r="BM498" s="3" t="s">
        <v>10020</v>
      </c>
      <c r="BN498" s="3" t="s">
        <v>74</v>
      </c>
      <c r="BO498" s="3" t="s">
        <v>74</v>
      </c>
      <c r="BP498" s="3" t="s">
        <v>74</v>
      </c>
      <c r="BQ498" s="3" t="s">
        <v>74</v>
      </c>
      <c r="BR498" s="3" t="s">
        <v>101</v>
      </c>
      <c r="BS498" s="3" t="s">
        <v>10021</v>
      </c>
      <c r="BT498" s="3" t="str">
        <f>HYPERLINK("https%3A%2F%2Fwww.webofscience.com%2Fwos%2Fwoscc%2Ffull-record%2FWOS:000260563001255","View Full Record in Web of Science")</f>
        <v>View Full Record in Web of Science</v>
      </c>
      <c r="BU498" s="3"/>
      <c r="BV498" s="3"/>
      <c r="BW498" s="1"/>
    </row>
    <row r="499" spans="1:75" x14ac:dyDescent="0.25">
      <c r="A499" s="3" t="s">
        <v>103</v>
      </c>
      <c r="B499" s="3" t="s">
        <v>10022</v>
      </c>
      <c r="C499" s="3" t="s">
        <v>74</v>
      </c>
      <c r="D499" s="3" t="s">
        <v>10023</v>
      </c>
      <c r="E499" s="3" t="s">
        <v>74</v>
      </c>
      <c r="F499" s="3" t="s">
        <v>10024</v>
      </c>
      <c r="G499" s="3" t="s">
        <v>74</v>
      </c>
      <c r="H499" s="3" t="s">
        <v>74</v>
      </c>
      <c r="I499" s="3" t="s">
        <v>10025</v>
      </c>
      <c r="J499" s="3" t="s">
        <v>10026</v>
      </c>
      <c r="K499" s="3" t="s">
        <v>10027</v>
      </c>
      <c r="L499" s="3" t="s">
        <v>74</v>
      </c>
      <c r="M499" s="3" t="s">
        <v>110</v>
      </c>
      <c r="N499" s="3" t="s">
        <v>111</v>
      </c>
      <c r="O499" s="3" t="s">
        <v>10028</v>
      </c>
      <c r="P499" s="3" t="s">
        <v>10029</v>
      </c>
      <c r="Q499" s="3" t="s">
        <v>10030</v>
      </c>
      <c r="R499" s="3" t="s">
        <v>74</v>
      </c>
      <c r="S499" s="3" t="s">
        <v>74</v>
      </c>
      <c r="T499" s="3" t="s">
        <v>10031</v>
      </c>
      <c r="U499" s="3" t="s">
        <v>74</v>
      </c>
      <c r="V499" s="3" t="s">
        <v>10032</v>
      </c>
      <c r="W499" s="3" t="s">
        <v>10033</v>
      </c>
      <c r="X499" s="3" t="s">
        <v>10034</v>
      </c>
      <c r="Y499" s="3" t="s">
        <v>10035</v>
      </c>
      <c r="Z499" s="3" t="s">
        <v>74</v>
      </c>
      <c r="AA499" s="3" t="s">
        <v>74</v>
      </c>
      <c r="AB499" s="3" t="s">
        <v>74</v>
      </c>
      <c r="AC499" s="3" t="s">
        <v>74</v>
      </c>
      <c r="AD499" s="3" t="s">
        <v>74</v>
      </c>
      <c r="AE499" s="3" t="s">
        <v>74</v>
      </c>
      <c r="AF499" s="3" t="s">
        <v>74</v>
      </c>
      <c r="AG499" s="3">
        <v>9</v>
      </c>
      <c r="AH499" s="3">
        <v>0</v>
      </c>
      <c r="AI499" s="3">
        <v>0</v>
      </c>
      <c r="AJ499" s="3">
        <v>0</v>
      </c>
      <c r="AK499" s="3">
        <v>2</v>
      </c>
      <c r="AL499" s="3" t="s">
        <v>10036</v>
      </c>
      <c r="AM499" s="3" t="s">
        <v>10037</v>
      </c>
      <c r="AN499" s="3" t="s">
        <v>10038</v>
      </c>
      <c r="AO499" s="3" t="s">
        <v>10039</v>
      </c>
      <c r="AP499" s="3" t="s">
        <v>74</v>
      </c>
      <c r="AQ499" s="3" t="s">
        <v>74</v>
      </c>
      <c r="AR499" s="3" t="s">
        <v>10040</v>
      </c>
      <c r="AS499" s="3" t="s">
        <v>74</v>
      </c>
      <c r="AT499" s="3" t="s">
        <v>74</v>
      </c>
      <c r="AU499" s="3">
        <v>2004</v>
      </c>
      <c r="AV499" s="3">
        <v>3</v>
      </c>
      <c r="AW499" s="3" t="s">
        <v>74</v>
      </c>
      <c r="AX499" s="3" t="s">
        <v>74</v>
      </c>
      <c r="AY499" s="3" t="s">
        <v>74</v>
      </c>
      <c r="AZ499" s="3" t="s">
        <v>74</v>
      </c>
      <c r="BA499" s="3" t="s">
        <v>74</v>
      </c>
      <c r="BB499" s="3">
        <v>326</v>
      </c>
      <c r="BC499" s="3">
        <v>330</v>
      </c>
      <c r="BD499" s="3" t="s">
        <v>74</v>
      </c>
      <c r="BE499" s="3" t="s">
        <v>74</v>
      </c>
      <c r="BF499" s="3" t="s">
        <v>74</v>
      </c>
      <c r="BG499" s="3" t="s">
        <v>74</v>
      </c>
      <c r="BH499" s="3" t="s">
        <v>74</v>
      </c>
      <c r="BI499" s="3">
        <v>5</v>
      </c>
      <c r="BJ499" s="3" t="s">
        <v>7676</v>
      </c>
      <c r="BK499" s="3" t="s">
        <v>208</v>
      </c>
      <c r="BL499" s="3" t="s">
        <v>7677</v>
      </c>
      <c r="BM499" s="3" t="s">
        <v>10041</v>
      </c>
      <c r="BN499" s="3" t="s">
        <v>74</v>
      </c>
      <c r="BO499" s="3" t="s">
        <v>74</v>
      </c>
      <c r="BP499" s="3" t="s">
        <v>74</v>
      </c>
      <c r="BQ499" s="3" t="s">
        <v>74</v>
      </c>
      <c r="BR499" s="3" t="s">
        <v>101</v>
      </c>
      <c r="BS499" s="3" t="s">
        <v>10042</v>
      </c>
      <c r="BT499" s="3" t="str">
        <f>HYPERLINK("https%3A%2F%2Fwww.webofscience.com%2Fwos%2Fwoscc%2Ffull-record%2FWOS:000237307500057","View Full Record in Web of Science")</f>
        <v>View Full Record in Web of Science</v>
      </c>
      <c r="BU499" s="3"/>
      <c r="BV499" s="3"/>
      <c r="BW499" s="1"/>
    </row>
    <row r="500" spans="1:75" x14ac:dyDescent="0.25">
      <c r="A500" s="3" t="s">
        <v>103</v>
      </c>
      <c r="B500" s="3" t="s">
        <v>10043</v>
      </c>
      <c r="C500" s="3" t="s">
        <v>74</v>
      </c>
      <c r="D500" s="3" t="s">
        <v>10044</v>
      </c>
      <c r="E500" s="3" t="s">
        <v>74</v>
      </c>
      <c r="F500" s="3" t="s">
        <v>10045</v>
      </c>
      <c r="G500" s="3" t="s">
        <v>74</v>
      </c>
      <c r="H500" s="3" t="s">
        <v>74</v>
      </c>
      <c r="I500" s="3" t="s">
        <v>10046</v>
      </c>
      <c r="J500" s="3" t="s">
        <v>10047</v>
      </c>
      <c r="K500" s="3" t="s">
        <v>74</v>
      </c>
      <c r="L500" s="3" t="s">
        <v>74</v>
      </c>
      <c r="M500" s="3" t="s">
        <v>110</v>
      </c>
      <c r="N500" s="3" t="s">
        <v>111</v>
      </c>
      <c r="O500" s="3" t="s">
        <v>10048</v>
      </c>
      <c r="P500" s="3" t="s">
        <v>10049</v>
      </c>
      <c r="Q500" s="3" t="s">
        <v>10050</v>
      </c>
      <c r="R500" s="3" t="s">
        <v>74</v>
      </c>
      <c r="S500" s="3" t="s">
        <v>10051</v>
      </c>
      <c r="T500" s="3" t="s">
        <v>10052</v>
      </c>
      <c r="U500" s="3" t="s">
        <v>10053</v>
      </c>
      <c r="V500" s="3" t="s">
        <v>10054</v>
      </c>
      <c r="W500" s="3" t="s">
        <v>10055</v>
      </c>
      <c r="X500" s="3" t="s">
        <v>5661</v>
      </c>
      <c r="Y500" s="3" t="s">
        <v>10056</v>
      </c>
      <c r="Z500" s="3" t="s">
        <v>10057</v>
      </c>
      <c r="AA500" s="3" t="s">
        <v>10058</v>
      </c>
      <c r="AB500" s="3" t="s">
        <v>74</v>
      </c>
      <c r="AC500" s="3" t="s">
        <v>74</v>
      </c>
      <c r="AD500" s="3" t="s">
        <v>74</v>
      </c>
      <c r="AE500" s="3" t="s">
        <v>74</v>
      </c>
      <c r="AF500" s="3" t="s">
        <v>74</v>
      </c>
      <c r="AG500" s="3">
        <v>5</v>
      </c>
      <c r="AH500" s="3">
        <v>1</v>
      </c>
      <c r="AI500" s="3">
        <v>1</v>
      </c>
      <c r="AJ500" s="3">
        <v>0</v>
      </c>
      <c r="AK500" s="3">
        <v>16</v>
      </c>
      <c r="AL500" s="3" t="s">
        <v>4427</v>
      </c>
      <c r="AM500" s="3" t="s">
        <v>4428</v>
      </c>
      <c r="AN500" s="3" t="s">
        <v>4429</v>
      </c>
      <c r="AO500" s="3" t="s">
        <v>74</v>
      </c>
      <c r="AP500" s="3" t="s">
        <v>74</v>
      </c>
      <c r="AQ500" s="3" t="s">
        <v>10059</v>
      </c>
      <c r="AR500" s="3" t="s">
        <v>74</v>
      </c>
      <c r="AS500" s="3" t="s">
        <v>74</v>
      </c>
      <c r="AT500" s="3" t="s">
        <v>74</v>
      </c>
      <c r="AU500" s="3">
        <v>2015</v>
      </c>
      <c r="AV500" s="3" t="s">
        <v>74</v>
      </c>
      <c r="AW500" s="3" t="s">
        <v>74</v>
      </c>
      <c r="AX500" s="3" t="s">
        <v>74</v>
      </c>
      <c r="AY500" s="3" t="s">
        <v>74</v>
      </c>
      <c r="AZ500" s="3" t="s">
        <v>74</v>
      </c>
      <c r="BA500" s="3" t="s">
        <v>74</v>
      </c>
      <c r="BB500" s="3">
        <v>427</v>
      </c>
      <c r="BC500" s="3">
        <v>431</v>
      </c>
      <c r="BD500" s="3" t="s">
        <v>74</v>
      </c>
      <c r="BE500" s="3" t="s">
        <v>10060</v>
      </c>
      <c r="BF500" s="3" t="str">
        <f>HYPERLINK("http://dx.doi.org/10.1007/978-3-642-40660-7_62","http://dx.doi.org/10.1007/978-3-642-40660-7_62")</f>
        <v>http://dx.doi.org/10.1007/978-3-642-40660-7_62</v>
      </c>
      <c r="BG500" s="3" t="s">
        <v>74</v>
      </c>
      <c r="BH500" s="3" t="s">
        <v>74</v>
      </c>
      <c r="BI500" s="3">
        <v>5</v>
      </c>
      <c r="BJ500" s="3" t="s">
        <v>207</v>
      </c>
      <c r="BK500" s="3" t="s">
        <v>208</v>
      </c>
      <c r="BL500" s="3" t="s">
        <v>209</v>
      </c>
      <c r="BM500" s="3" t="s">
        <v>10061</v>
      </c>
      <c r="BN500" s="3" t="s">
        <v>74</v>
      </c>
      <c r="BO500" s="3" t="s">
        <v>74</v>
      </c>
      <c r="BP500" s="3" t="s">
        <v>74</v>
      </c>
      <c r="BQ500" s="3" t="s">
        <v>74</v>
      </c>
      <c r="BR500" s="3" t="s">
        <v>101</v>
      </c>
      <c r="BS500" s="3" t="s">
        <v>10062</v>
      </c>
      <c r="BT500" s="3" t="str">
        <f>HYPERLINK("https%3A%2F%2Fwww.webofscience.com%2Fwos%2Fwoscc%2Ffull-record%2FWOS:000358441900062","View Full Record in Web of Science")</f>
        <v>View Full Record in Web of Science</v>
      </c>
      <c r="BU500" s="3"/>
      <c r="BV500" s="3"/>
      <c r="BW500" s="1"/>
    </row>
    <row r="501" spans="1:75" x14ac:dyDescent="0.25">
      <c r="A501" s="3" t="s">
        <v>103</v>
      </c>
      <c r="B501" s="3" t="s">
        <v>10063</v>
      </c>
      <c r="C501" s="3" t="s">
        <v>74</v>
      </c>
      <c r="D501" s="3" t="s">
        <v>10064</v>
      </c>
      <c r="E501" s="3" t="s">
        <v>74</v>
      </c>
      <c r="F501" s="3" t="s">
        <v>10065</v>
      </c>
      <c r="G501" s="3" t="s">
        <v>74</v>
      </c>
      <c r="H501" s="3" t="s">
        <v>74</v>
      </c>
      <c r="I501" s="3" t="s">
        <v>10066</v>
      </c>
      <c r="J501" s="3" t="s">
        <v>10067</v>
      </c>
      <c r="K501" s="3" t="s">
        <v>74</v>
      </c>
      <c r="L501" s="3" t="s">
        <v>74</v>
      </c>
      <c r="M501" s="3" t="s">
        <v>110</v>
      </c>
      <c r="N501" s="3" t="s">
        <v>111</v>
      </c>
      <c r="O501" s="3" t="s">
        <v>10068</v>
      </c>
      <c r="P501" s="3" t="s">
        <v>10069</v>
      </c>
      <c r="Q501" s="3" t="s">
        <v>6485</v>
      </c>
      <c r="R501" s="3" t="s">
        <v>74</v>
      </c>
      <c r="S501" s="3" t="s">
        <v>74</v>
      </c>
      <c r="T501" s="3" t="s">
        <v>10070</v>
      </c>
      <c r="U501" s="3" t="s">
        <v>74</v>
      </c>
      <c r="V501" s="3" t="s">
        <v>10071</v>
      </c>
      <c r="W501" s="3" t="s">
        <v>10072</v>
      </c>
      <c r="X501" s="3" t="s">
        <v>10073</v>
      </c>
      <c r="Y501" s="3" t="s">
        <v>74</v>
      </c>
      <c r="Z501" s="3" t="s">
        <v>10074</v>
      </c>
      <c r="AA501" s="3" t="s">
        <v>74</v>
      </c>
      <c r="AB501" s="3" t="s">
        <v>74</v>
      </c>
      <c r="AC501" s="3" t="s">
        <v>74</v>
      </c>
      <c r="AD501" s="3" t="s">
        <v>74</v>
      </c>
      <c r="AE501" s="3" t="s">
        <v>74</v>
      </c>
      <c r="AF501" s="3" t="s">
        <v>74</v>
      </c>
      <c r="AG501" s="3">
        <v>6</v>
      </c>
      <c r="AH501" s="3">
        <v>0</v>
      </c>
      <c r="AI501" s="3">
        <v>0</v>
      </c>
      <c r="AJ501" s="3">
        <v>0</v>
      </c>
      <c r="AK501" s="3">
        <v>1</v>
      </c>
      <c r="AL501" s="3" t="s">
        <v>6493</v>
      </c>
      <c r="AM501" s="3" t="s">
        <v>6494</v>
      </c>
      <c r="AN501" s="3" t="s">
        <v>6495</v>
      </c>
      <c r="AO501" s="3" t="s">
        <v>74</v>
      </c>
      <c r="AP501" s="3" t="s">
        <v>74</v>
      </c>
      <c r="AQ501" s="3" t="s">
        <v>10075</v>
      </c>
      <c r="AR501" s="3" t="s">
        <v>74</v>
      </c>
      <c r="AS501" s="3" t="s">
        <v>74</v>
      </c>
      <c r="AT501" s="3" t="s">
        <v>74</v>
      </c>
      <c r="AU501" s="3">
        <v>2010</v>
      </c>
      <c r="AV501" s="3" t="s">
        <v>74</v>
      </c>
      <c r="AW501" s="3" t="s">
        <v>74</v>
      </c>
      <c r="AX501" s="3" t="s">
        <v>74</v>
      </c>
      <c r="AY501" s="3" t="s">
        <v>74</v>
      </c>
      <c r="AZ501" s="3" t="s">
        <v>74</v>
      </c>
      <c r="BA501" s="3" t="s">
        <v>74</v>
      </c>
      <c r="BB501" s="3">
        <v>2833</v>
      </c>
      <c r="BC501" s="3">
        <v>2836</v>
      </c>
      <c r="BD501" s="3" t="s">
        <v>74</v>
      </c>
      <c r="BE501" s="3" t="s">
        <v>74</v>
      </c>
      <c r="BF501" s="3" t="s">
        <v>74</v>
      </c>
      <c r="BG501" s="3" t="s">
        <v>74</v>
      </c>
      <c r="BH501" s="3" t="s">
        <v>74</v>
      </c>
      <c r="BI501" s="3">
        <v>4</v>
      </c>
      <c r="BJ501" s="3" t="s">
        <v>2056</v>
      </c>
      <c r="BK501" s="3" t="s">
        <v>2556</v>
      </c>
      <c r="BL501" s="3" t="s">
        <v>98</v>
      </c>
      <c r="BM501" s="3" t="s">
        <v>10076</v>
      </c>
      <c r="BN501" s="3" t="s">
        <v>74</v>
      </c>
      <c r="BO501" s="3" t="s">
        <v>74</v>
      </c>
      <c r="BP501" s="3" t="s">
        <v>74</v>
      </c>
      <c r="BQ501" s="3" t="s">
        <v>74</v>
      </c>
      <c r="BR501" s="3" t="s">
        <v>101</v>
      </c>
      <c r="BS501" s="3" t="s">
        <v>10077</v>
      </c>
      <c r="BT501" s="3" t="str">
        <f>HYPERLINK("https%3A%2F%2Fwww.webofscience.com%2Fwos%2Fwoscc%2Ffull-record%2FWOS:000283469200469","View Full Record in Web of Science")</f>
        <v>View Full Record in Web of Science</v>
      </c>
      <c r="BU501" s="3"/>
      <c r="BV501" s="3"/>
      <c r="BW501" s="1"/>
    </row>
    <row r="502" spans="1:75" x14ac:dyDescent="0.25">
      <c r="A502" s="3" t="s">
        <v>72</v>
      </c>
      <c r="B502" s="3" t="s">
        <v>10078</v>
      </c>
      <c r="C502" s="3" t="s">
        <v>74</v>
      </c>
      <c r="D502" s="3" t="s">
        <v>74</v>
      </c>
      <c r="E502" s="3" t="s">
        <v>74</v>
      </c>
      <c r="F502" s="3" t="s">
        <v>10079</v>
      </c>
      <c r="G502" s="3" t="s">
        <v>74</v>
      </c>
      <c r="H502" s="3" t="s">
        <v>74</v>
      </c>
      <c r="I502" s="3" t="s">
        <v>10080</v>
      </c>
      <c r="J502" s="3" t="s">
        <v>138</v>
      </c>
      <c r="K502" s="3" t="s">
        <v>74</v>
      </c>
      <c r="L502" s="3" t="s">
        <v>74</v>
      </c>
      <c r="M502" s="3" t="s">
        <v>110</v>
      </c>
      <c r="N502" s="3" t="s">
        <v>79</v>
      </c>
      <c r="O502" s="3" t="s">
        <v>74</v>
      </c>
      <c r="P502" s="3" t="s">
        <v>74</v>
      </c>
      <c r="Q502" s="3" t="s">
        <v>74</v>
      </c>
      <c r="R502" s="3" t="s">
        <v>74</v>
      </c>
      <c r="S502" s="3" t="s">
        <v>74</v>
      </c>
      <c r="T502" s="3" t="s">
        <v>10081</v>
      </c>
      <c r="U502" s="3" t="s">
        <v>10082</v>
      </c>
      <c r="V502" s="3" t="s">
        <v>10083</v>
      </c>
      <c r="W502" s="3" t="s">
        <v>10084</v>
      </c>
      <c r="X502" s="3" t="s">
        <v>10085</v>
      </c>
      <c r="Y502" s="3" t="s">
        <v>10086</v>
      </c>
      <c r="Z502" s="3" t="s">
        <v>10087</v>
      </c>
      <c r="AA502" s="3" t="s">
        <v>74</v>
      </c>
      <c r="AB502" s="3" t="s">
        <v>74</v>
      </c>
      <c r="AC502" s="3" t="s">
        <v>10088</v>
      </c>
      <c r="AD502" s="3" t="s">
        <v>10089</v>
      </c>
      <c r="AE502" s="3" t="s">
        <v>10090</v>
      </c>
      <c r="AF502" s="3" t="s">
        <v>74</v>
      </c>
      <c r="AG502" s="3">
        <v>58</v>
      </c>
      <c r="AH502" s="3">
        <v>3</v>
      </c>
      <c r="AI502" s="3">
        <v>4</v>
      </c>
      <c r="AJ502" s="3">
        <v>1</v>
      </c>
      <c r="AK502" s="3">
        <v>10</v>
      </c>
      <c r="AL502" s="3" t="s">
        <v>145</v>
      </c>
      <c r="AM502" s="3" t="s">
        <v>146</v>
      </c>
      <c r="AN502" s="3" t="s">
        <v>279</v>
      </c>
      <c r="AO502" s="3" t="s">
        <v>74</v>
      </c>
      <c r="AP502" s="3" t="s">
        <v>148</v>
      </c>
      <c r="AQ502" s="3" t="s">
        <v>74</v>
      </c>
      <c r="AR502" s="3" t="s">
        <v>149</v>
      </c>
      <c r="AS502" s="3" t="s">
        <v>150</v>
      </c>
      <c r="AT502" s="3" t="s">
        <v>260</v>
      </c>
      <c r="AU502" s="3">
        <v>2023</v>
      </c>
      <c r="AV502" s="3">
        <v>15</v>
      </c>
      <c r="AW502" s="3">
        <v>1</v>
      </c>
      <c r="AX502" s="3" t="s">
        <v>74</v>
      </c>
      <c r="AY502" s="3" t="s">
        <v>74</v>
      </c>
      <c r="AZ502" s="3" t="s">
        <v>74</v>
      </c>
      <c r="BA502" s="3" t="s">
        <v>74</v>
      </c>
      <c r="BB502" s="3" t="s">
        <v>74</v>
      </c>
      <c r="BC502" s="3" t="s">
        <v>74</v>
      </c>
      <c r="BD502" s="3">
        <v>186</v>
      </c>
      <c r="BE502" s="3" t="s">
        <v>10091</v>
      </c>
      <c r="BF502" s="3" t="str">
        <f>HYPERLINK("http://dx.doi.org/10.3390/su15010186","http://dx.doi.org/10.3390/su15010186")</f>
        <v>http://dx.doi.org/10.3390/su15010186</v>
      </c>
      <c r="BG502" s="3" t="s">
        <v>74</v>
      </c>
      <c r="BH502" s="3" t="s">
        <v>74</v>
      </c>
      <c r="BI502" s="3">
        <v>20</v>
      </c>
      <c r="BJ502" s="3" t="s">
        <v>153</v>
      </c>
      <c r="BK502" s="3" t="s">
        <v>154</v>
      </c>
      <c r="BL502" s="3" t="s">
        <v>155</v>
      </c>
      <c r="BM502" s="3" t="s">
        <v>10092</v>
      </c>
      <c r="BN502" s="3" t="s">
        <v>74</v>
      </c>
      <c r="BO502" s="3" t="s">
        <v>133</v>
      </c>
      <c r="BP502" s="3" t="s">
        <v>74</v>
      </c>
      <c r="BQ502" s="3" t="s">
        <v>74</v>
      </c>
      <c r="BR502" s="3" t="s">
        <v>101</v>
      </c>
      <c r="BS502" s="3" t="s">
        <v>10093</v>
      </c>
      <c r="BT502" s="3" t="str">
        <f>HYPERLINK("https%3A%2F%2Fwww.webofscience.com%2Fwos%2Fwoscc%2Ffull-record%2FWOS:000909755600001","View Full Record in Web of Science")</f>
        <v>View Full Record in Web of Science</v>
      </c>
      <c r="BU502" s="3"/>
      <c r="BV502" s="3"/>
      <c r="BW502" s="1"/>
    </row>
    <row r="503" spans="1:75" x14ac:dyDescent="0.25">
      <c r="A503" s="3" t="s">
        <v>72</v>
      </c>
      <c r="B503" s="3" t="s">
        <v>10094</v>
      </c>
      <c r="C503" s="3" t="s">
        <v>74</v>
      </c>
      <c r="D503" s="3" t="s">
        <v>74</v>
      </c>
      <c r="E503" s="3" t="s">
        <v>74</v>
      </c>
      <c r="F503" s="3" t="s">
        <v>10095</v>
      </c>
      <c r="G503" s="3" t="s">
        <v>74</v>
      </c>
      <c r="H503" s="3" t="s">
        <v>74</v>
      </c>
      <c r="I503" s="3" t="s">
        <v>10096</v>
      </c>
      <c r="J503" s="3" t="s">
        <v>138</v>
      </c>
      <c r="K503" s="3" t="s">
        <v>74</v>
      </c>
      <c r="L503" s="3" t="s">
        <v>74</v>
      </c>
      <c r="M503" s="3" t="s">
        <v>110</v>
      </c>
      <c r="N503" s="3" t="s">
        <v>79</v>
      </c>
      <c r="O503" s="3" t="s">
        <v>74</v>
      </c>
      <c r="P503" s="3" t="s">
        <v>74</v>
      </c>
      <c r="Q503" s="3" t="s">
        <v>74</v>
      </c>
      <c r="R503" s="3" t="s">
        <v>74</v>
      </c>
      <c r="S503" s="3" t="s">
        <v>74</v>
      </c>
      <c r="T503" s="3" t="s">
        <v>10097</v>
      </c>
      <c r="U503" s="3" t="s">
        <v>10098</v>
      </c>
      <c r="V503" s="3" t="s">
        <v>10099</v>
      </c>
      <c r="W503" s="3" t="s">
        <v>10100</v>
      </c>
      <c r="X503" s="3" t="s">
        <v>10101</v>
      </c>
      <c r="Y503" s="3" t="s">
        <v>10102</v>
      </c>
      <c r="Z503" s="3" t="s">
        <v>10103</v>
      </c>
      <c r="AA503" s="3" t="s">
        <v>10104</v>
      </c>
      <c r="AB503" s="3" t="s">
        <v>10105</v>
      </c>
      <c r="AC503" s="3" t="s">
        <v>10106</v>
      </c>
      <c r="AD503" s="3" t="s">
        <v>10107</v>
      </c>
      <c r="AE503" s="3" t="s">
        <v>10108</v>
      </c>
      <c r="AF503" s="3" t="s">
        <v>74</v>
      </c>
      <c r="AG503" s="3">
        <v>60</v>
      </c>
      <c r="AH503" s="3">
        <v>7</v>
      </c>
      <c r="AI503" s="3">
        <v>10</v>
      </c>
      <c r="AJ503" s="3">
        <v>3</v>
      </c>
      <c r="AK503" s="3">
        <v>60</v>
      </c>
      <c r="AL503" s="3" t="s">
        <v>145</v>
      </c>
      <c r="AM503" s="3" t="s">
        <v>146</v>
      </c>
      <c r="AN503" s="3" t="s">
        <v>147</v>
      </c>
      <c r="AO503" s="3" t="s">
        <v>74</v>
      </c>
      <c r="AP503" s="3" t="s">
        <v>148</v>
      </c>
      <c r="AQ503" s="3" t="s">
        <v>74</v>
      </c>
      <c r="AR503" s="3" t="s">
        <v>149</v>
      </c>
      <c r="AS503" s="3" t="s">
        <v>150</v>
      </c>
      <c r="AT503" s="3" t="s">
        <v>1450</v>
      </c>
      <c r="AU503" s="3">
        <v>2021</v>
      </c>
      <c r="AV503" s="3">
        <v>13</v>
      </c>
      <c r="AW503" s="3">
        <v>13</v>
      </c>
      <c r="AX503" s="3" t="s">
        <v>74</v>
      </c>
      <c r="AY503" s="3" t="s">
        <v>74</v>
      </c>
      <c r="AZ503" s="3" t="s">
        <v>74</v>
      </c>
      <c r="BA503" s="3" t="s">
        <v>74</v>
      </c>
      <c r="BB503" s="3" t="s">
        <v>74</v>
      </c>
      <c r="BC503" s="3" t="s">
        <v>74</v>
      </c>
      <c r="BD503" s="3">
        <v>7418</v>
      </c>
      <c r="BE503" s="3" t="s">
        <v>10109</v>
      </c>
      <c r="BF503" s="3" t="str">
        <f>HYPERLINK("http://dx.doi.org/10.3390/su13137418","http://dx.doi.org/10.3390/su13137418")</f>
        <v>http://dx.doi.org/10.3390/su13137418</v>
      </c>
      <c r="BG503" s="3" t="s">
        <v>74</v>
      </c>
      <c r="BH503" s="3" t="s">
        <v>74</v>
      </c>
      <c r="BI503" s="3">
        <v>20</v>
      </c>
      <c r="BJ503" s="3" t="s">
        <v>153</v>
      </c>
      <c r="BK503" s="3" t="s">
        <v>154</v>
      </c>
      <c r="BL503" s="3" t="s">
        <v>155</v>
      </c>
      <c r="BM503" s="3" t="s">
        <v>10110</v>
      </c>
      <c r="BN503" s="3" t="s">
        <v>74</v>
      </c>
      <c r="BO503" s="3" t="s">
        <v>133</v>
      </c>
      <c r="BP503" s="3" t="s">
        <v>74</v>
      </c>
      <c r="BQ503" s="3" t="s">
        <v>74</v>
      </c>
      <c r="BR503" s="3" t="s">
        <v>101</v>
      </c>
      <c r="BS503" s="3" t="s">
        <v>10111</v>
      </c>
      <c r="BT503" s="3" t="str">
        <f>HYPERLINK("https%3A%2F%2Fwww.webofscience.com%2Fwos%2Fwoscc%2Ffull-record%2FWOS:000671010900001","View Full Record in Web of Science")</f>
        <v>View Full Record in Web of Science</v>
      </c>
      <c r="BU503" s="3"/>
      <c r="BV503" s="3"/>
      <c r="BW503" s="1"/>
    </row>
    <row r="504" spans="1:75" x14ac:dyDescent="0.25">
      <c r="A504" s="3" t="s">
        <v>72</v>
      </c>
      <c r="B504" s="3" t="s">
        <v>10112</v>
      </c>
      <c r="C504" s="3" t="s">
        <v>74</v>
      </c>
      <c r="D504" s="3" t="s">
        <v>74</v>
      </c>
      <c r="E504" s="3" t="s">
        <v>74</v>
      </c>
      <c r="F504" s="3" t="s">
        <v>10113</v>
      </c>
      <c r="G504" s="3" t="s">
        <v>74</v>
      </c>
      <c r="H504" s="3" t="s">
        <v>74</v>
      </c>
      <c r="I504" s="3" t="s">
        <v>10114</v>
      </c>
      <c r="J504" s="3" t="s">
        <v>10115</v>
      </c>
      <c r="K504" s="3" t="s">
        <v>74</v>
      </c>
      <c r="L504" s="3" t="s">
        <v>74</v>
      </c>
      <c r="M504" s="3" t="s">
        <v>110</v>
      </c>
      <c r="N504" s="3" t="s">
        <v>79</v>
      </c>
      <c r="O504" s="3" t="s">
        <v>74</v>
      </c>
      <c r="P504" s="3" t="s">
        <v>74</v>
      </c>
      <c r="Q504" s="3" t="s">
        <v>74</v>
      </c>
      <c r="R504" s="3" t="s">
        <v>74</v>
      </c>
      <c r="S504" s="3" t="s">
        <v>74</v>
      </c>
      <c r="T504" s="3" t="s">
        <v>10116</v>
      </c>
      <c r="U504" s="3" t="s">
        <v>10117</v>
      </c>
      <c r="V504" s="3" t="s">
        <v>10118</v>
      </c>
      <c r="W504" s="3" t="s">
        <v>10119</v>
      </c>
      <c r="X504" s="3" t="s">
        <v>10120</v>
      </c>
      <c r="Y504" s="3" t="s">
        <v>10121</v>
      </c>
      <c r="Z504" s="3" t="s">
        <v>10122</v>
      </c>
      <c r="AA504" s="3" t="s">
        <v>10123</v>
      </c>
      <c r="AB504" s="3" t="s">
        <v>74</v>
      </c>
      <c r="AC504" s="3" t="s">
        <v>74</v>
      </c>
      <c r="AD504" s="3" t="s">
        <v>74</v>
      </c>
      <c r="AE504" s="3" t="s">
        <v>74</v>
      </c>
      <c r="AF504" s="3" t="s">
        <v>74</v>
      </c>
      <c r="AG504" s="3">
        <v>105</v>
      </c>
      <c r="AH504" s="3">
        <v>4</v>
      </c>
      <c r="AI504" s="3">
        <v>4</v>
      </c>
      <c r="AJ504" s="3">
        <v>3</v>
      </c>
      <c r="AK504" s="3">
        <v>38</v>
      </c>
      <c r="AL504" s="3" t="s">
        <v>10124</v>
      </c>
      <c r="AM504" s="3" t="s">
        <v>10125</v>
      </c>
      <c r="AN504" s="3" t="s">
        <v>10126</v>
      </c>
      <c r="AO504" s="3" t="s">
        <v>10127</v>
      </c>
      <c r="AP504" s="3" t="s">
        <v>74</v>
      </c>
      <c r="AQ504" s="3" t="s">
        <v>74</v>
      </c>
      <c r="AR504" s="3" t="s">
        <v>10128</v>
      </c>
      <c r="AS504" s="3" t="s">
        <v>10129</v>
      </c>
      <c r="AT504" s="3" t="s">
        <v>74</v>
      </c>
      <c r="AU504" s="3">
        <v>2021</v>
      </c>
      <c r="AV504" s="3">
        <v>12</v>
      </c>
      <c r="AW504" s="3">
        <v>6</v>
      </c>
      <c r="AX504" s="3" t="s">
        <v>74</v>
      </c>
      <c r="AY504" s="3" t="s">
        <v>74</v>
      </c>
      <c r="AZ504" s="3" t="s">
        <v>74</v>
      </c>
      <c r="BA504" s="3" t="s">
        <v>74</v>
      </c>
      <c r="BB504" s="3">
        <v>67</v>
      </c>
      <c r="BC504" s="3">
        <v>86</v>
      </c>
      <c r="BD504" s="3" t="s">
        <v>74</v>
      </c>
      <c r="BE504" s="3" t="s">
        <v>10130</v>
      </c>
      <c r="BF504" s="3" t="str">
        <f>HYPERLINK("http://dx.doi.org/10.29141/2218-5003-2021-12-6-5","http://dx.doi.org/10.29141/2218-5003-2021-12-6-5")</f>
        <v>http://dx.doi.org/10.29141/2218-5003-2021-12-6-5</v>
      </c>
      <c r="BG504" s="3" t="s">
        <v>74</v>
      </c>
      <c r="BH504" s="3" t="s">
        <v>74</v>
      </c>
      <c r="BI504" s="3">
        <v>20</v>
      </c>
      <c r="BJ504" s="3" t="s">
        <v>96</v>
      </c>
      <c r="BK504" s="3" t="s">
        <v>97</v>
      </c>
      <c r="BL504" s="3" t="s">
        <v>98</v>
      </c>
      <c r="BM504" s="3" t="s">
        <v>10131</v>
      </c>
      <c r="BN504" s="3" t="s">
        <v>74</v>
      </c>
      <c r="BO504" s="3" t="s">
        <v>100</v>
      </c>
      <c r="BP504" s="3" t="s">
        <v>74</v>
      </c>
      <c r="BQ504" s="3" t="s">
        <v>74</v>
      </c>
      <c r="BR504" s="3" t="s">
        <v>101</v>
      </c>
      <c r="BS504" s="3" t="s">
        <v>10132</v>
      </c>
      <c r="BT504" s="3" t="str">
        <f>HYPERLINK("https%3A%2F%2Fwww.webofscience.com%2Fwos%2Fwoscc%2Ffull-record%2FWOS:000755208700005","View Full Record in Web of Science")</f>
        <v>View Full Record in Web of Science</v>
      </c>
      <c r="BU504" s="3"/>
      <c r="BV504" s="3"/>
      <c r="BW504" s="1"/>
    </row>
    <row r="505" spans="1:75" x14ac:dyDescent="0.25">
      <c r="A505" s="3" t="s">
        <v>72</v>
      </c>
      <c r="B505" s="3" t="s">
        <v>10133</v>
      </c>
      <c r="C505" s="3" t="s">
        <v>74</v>
      </c>
      <c r="D505" s="3" t="s">
        <v>74</v>
      </c>
      <c r="E505" s="3" t="s">
        <v>74</v>
      </c>
      <c r="F505" s="3" t="s">
        <v>10134</v>
      </c>
      <c r="G505" s="3" t="s">
        <v>74</v>
      </c>
      <c r="H505" s="3" t="s">
        <v>74</v>
      </c>
      <c r="I505" s="3" t="s">
        <v>10135</v>
      </c>
      <c r="J505" s="3" t="s">
        <v>10136</v>
      </c>
      <c r="K505" s="3" t="s">
        <v>74</v>
      </c>
      <c r="L505" s="3" t="s">
        <v>74</v>
      </c>
      <c r="M505" s="3" t="s">
        <v>110</v>
      </c>
      <c r="N505" s="3" t="s">
        <v>79</v>
      </c>
      <c r="O505" s="3" t="s">
        <v>74</v>
      </c>
      <c r="P505" s="3" t="s">
        <v>74</v>
      </c>
      <c r="Q505" s="3" t="s">
        <v>74</v>
      </c>
      <c r="R505" s="3" t="s">
        <v>74</v>
      </c>
      <c r="S505" s="3" t="s">
        <v>74</v>
      </c>
      <c r="T505" s="3" t="s">
        <v>10137</v>
      </c>
      <c r="U505" s="3" t="s">
        <v>74</v>
      </c>
      <c r="V505" s="3" t="s">
        <v>10138</v>
      </c>
      <c r="W505" s="3" t="s">
        <v>10139</v>
      </c>
      <c r="X505" s="3" t="s">
        <v>10140</v>
      </c>
      <c r="Y505" s="3" t="s">
        <v>10141</v>
      </c>
      <c r="Z505" s="3" t="s">
        <v>10142</v>
      </c>
      <c r="AA505" s="3" t="s">
        <v>74</v>
      </c>
      <c r="AB505" s="3" t="s">
        <v>74</v>
      </c>
      <c r="AC505" s="3" t="s">
        <v>74</v>
      </c>
      <c r="AD505" s="3" t="s">
        <v>74</v>
      </c>
      <c r="AE505" s="3" t="s">
        <v>74</v>
      </c>
      <c r="AF505" s="3" t="s">
        <v>74</v>
      </c>
      <c r="AG505" s="3">
        <v>39</v>
      </c>
      <c r="AH505" s="3">
        <v>0</v>
      </c>
      <c r="AI505" s="3">
        <v>0</v>
      </c>
      <c r="AJ505" s="3">
        <v>0</v>
      </c>
      <c r="AK505" s="3">
        <v>0</v>
      </c>
      <c r="AL505" s="3" t="s">
        <v>10143</v>
      </c>
      <c r="AM505" s="3" t="s">
        <v>10144</v>
      </c>
      <c r="AN505" s="3" t="s">
        <v>10145</v>
      </c>
      <c r="AO505" s="3" t="s">
        <v>10146</v>
      </c>
      <c r="AP505" s="3" t="s">
        <v>10147</v>
      </c>
      <c r="AQ505" s="3" t="s">
        <v>74</v>
      </c>
      <c r="AR505" s="3" t="s">
        <v>10136</v>
      </c>
      <c r="AS505" s="3" t="s">
        <v>10148</v>
      </c>
      <c r="AT505" s="3" t="s">
        <v>74</v>
      </c>
      <c r="AU505" s="3">
        <v>2025</v>
      </c>
      <c r="AV505" s="3">
        <v>21</v>
      </c>
      <c r="AW505" s="3">
        <v>4</v>
      </c>
      <c r="AX505" s="3" t="s">
        <v>74</v>
      </c>
      <c r="AY505" s="3" t="s">
        <v>74</v>
      </c>
      <c r="AZ505" s="3" t="s">
        <v>74</v>
      </c>
      <c r="BA505" s="3" t="s">
        <v>74</v>
      </c>
      <c r="BB505" s="3">
        <v>619</v>
      </c>
      <c r="BC505" s="3">
        <v>635</v>
      </c>
      <c r="BD505" s="3" t="s">
        <v>74</v>
      </c>
      <c r="BE505" s="3" t="s">
        <v>10149</v>
      </c>
      <c r="BF505" s="3" t="str">
        <f>HYPERLINK("http://dx.doi.org/10.17270/J.LOG.001297","http://dx.doi.org/10.17270/J.LOG.001297")</f>
        <v>http://dx.doi.org/10.17270/J.LOG.001297</v>
      </c>
      <c r="BG505" s="3" t="s">
        <v>74</v>
      </c>
      <c r="BH505" s="3" t="s">
        <v>74</v>
      </c>
      <c r="BI505" s="3">
        <v>17</v>
      </c>
      <c r="BJ505" s="3" t="s">
        <v>96</v>
      </c>
      <c r="BK505" s="3" t="s">
        <v>97</v>
      </c>
      <c r="BL505" s="3" t="s">
        <v>98</v>
      </c>
      <c r="BM505" s="3" t="s">
        <v>10150</v>
      </c>
      <c r="BN505" s="3" t="s">
        <v>74</v>
      </c>
      <c r="BO505" s="3" t="s">
        <v>100</v>
      </c>
      <c r="BP505" s="3" t="s">
        <v>74</v>
      </c>
      <c r="BQ505" s="3" t="s">
        <v>74</v>
      </c>
      <c r="BR505" s="3" t="s">
        <v>101</v>
      </c>
      <c r="BS505" s="3" t="s">
        <v>10151</v>
      </c>
      <c r="BT505" s="3" t="str">
        <f>HYPERLINK("https%3A%2F%2Fwww.webofscience.com%2Fwos%2Fwoscc%2Ffull-record%2FWOS:001619388700009","View Full Record in Web of Science")</f>
        <v>View Full Record in Web of Science</v>
      </c>
      <c r="BU505" s="3"/>
      <c r="BV505" s="3"/>
      <c r="BW505" s="1"/>
    </row>
    <row r="506" spans="1:75" x14ac:dyDescent="0.25">
      <c r="A506" s="3" t="s">
        <v>72</v>
      </c>
      <c r="B506" s="3" t="s">
        <v>10152</v>
      </c>
      <c r="C506" s="3" t="s">
        <v>74</v>
      </c>
      <c r="D506" s="3" t="s">
        <v>74</v>
      </c>
      <c r="E506" s="3" t="s">
        <v>74</v>
      </c>
      <c r="F506" s="3" t="s">
        <v>10153</v>
      </c>
      <c r="G506" s="3" t="s">
        <v>74</v>
      </c>
      <c r="H506" s="3" t="s">
        <v>74</v>
      </c>
      <c r="I506" s="3" t="s">
        <v>10154</v>
      </c>
      <c r="J506" s="3" t="s">
        <v>138</v>
      </c>
      <c r="K506" s="3" t="s">
        <v>74</v>
      </c>
      <c r="L506" s="3" t="s">
        <v>74</v>
      </c>
      <c r="M506" s="3" t="s">
        <v>110</v>
      </c>
      <c r="N506" s="3" t="s">
        <v>79</v>
      </c>
      <c r="O506" s="3" t="s">
        <v>74</v>
      </c>
      <c r="P506" s="3" t="s">
        <v>74</v>
      </c>
      <c r="Q506" s="3" t="s">
        <v>74</v>
      </c>
      <c r="R506" s="3" t="s">
        <v>74</v>
      </c>
      <c r="S506" s="3" t="s">
        <v>74</v>
      </c>
      <c r="T506" s="3" t="s">
        <v>10155</v>
      </c>
      <c r="U506" s="3" t="s">
        <v>10156</v>
      </c>
      <c r="V506" s="3" t="s">
        <v>10157</v>
      </c>
      <c r="W506" s="3" t="s">
        <v>10158</v>
      </c>
      <c r="X506" s="3" t="s">
        <v>1377</v>
      </c>
      <c r="Y506" s="3" t="s">
        <v>6061</v>
      </c>
      <c r="Z506" s="3" t="s">
        <v>10159</v>
      </c>
      <c r="AA506" s="3" t="s">
        <v>10160</v>
      </c>
      <c r="AB506" s="3" t="s">
        <v>10161</v>
      </c>
      <c r="AC506" s="3" t="s">
        <v>10162</v>
      </c>
      <c r="AD506" s="3" t="s">
        <v>6066</v>
      </c>
      <c r="AE506" s="3" t="s">
        <v>10163</v>
      </c>
      <c r="AF506" s="3" t="s">
        <v>74</v>
      </c>
      <c r="AG506" s="3">
        <v>61</v>
      </c>
      <c r="AH506" s="3">
        <v>16</v>
      </c>
      <c r="AI506" s="3">
        <v>17</v>
      </c>
      <c r="AJ506" s="3">
        <v>1</v>
      </c>
      <c r="AK506" s="3">
        <v>40</v>
      </c>
      <c r="AL506" s="3" t="s">
        <v>145</v>
      </c>
      <c r="AM506" s="3" t="s">
        <v>146</v>
      </c>
      <c r="AN506" s="3" t="s">
        <v>147</v>
      </c>
      <c r="AO506" s="3" t="s">
        <v>74</v>
      </c>
      <c r="AP506" s="3" t="s">
        <v>148</v>
      </c>
      <c r="AQ506" s="3" t="s">
        <v>74</v>
      </c>
      <c r="AR506" s="3" t="s">
        <v>149</v>
      </c>
      <c r="AS506" s="3" t="s">
        <v>150</v>
      </c>
      <c r="AT506" s="3" t="s">
        <v>151</v>
      </c>
      <c r="AU506" s="3">
        <v>2021</v>
      </c>
      <c r="AV506" s="3">
        <v>13</v>
      </c>
      <c r="AW506" s="3">
        <v>24</v>
      </c>
      <c r="AX506" s="3" t="s">
        <v>74</v>
      </c>
      <c r="AY506" s="3" t="s">
        <v>74</v>
      </c>
      <c r="AZ506" s="3" t="s">
        <v>74</v>
      </c>
      <c r="BA506" s="3" t="s">
        <v>74</v>
      </c>
      <c r="BB506" s="3" t="s">
        <v>74</v>
      </c>
      <c r="BC506" s="3" t="s">
        <v>74</v>
      </c>
      <c r="BD506" s="3">
        <v>13872</v>
      </c>
      <c r="BE506" s="3" t="s">
        <v>10164</v>
      </c>
      <c r="BF506" s="3" t="str">
        <f>HYPERLINK("http://dx.doi.org/10.3390/su132413872","http://dx.doi.org/10.3390/su132413872")</f>
        <v>http://dx.doi.org/10.3390/su132413872</v>
      </c>
      <c r="BG506" s="3" t="s">
        <v>74</v>
      </c>
      <c r="BH506" s="3" t="s">
        <v>74</v>
      </c>
      <c r="BI506" s="3">
        <v>25</v>
      </c>
      <c r="BJ506" s="3" t="s">
        <v>153</v>
      </c>
      <c r="BK506" s="3" t="s">
        <v>154</v>
      </c>
      <c r="BL506" s="3" t="s">
        <v>155</v>
      </c>
      <c r="BM506" s="3" t="s">
        <v>10165</v>
      </c>
      <c r="BN506" s="3" t="s">
        <v>74</v>
      </c>
      <c r="BO506" s="3" t="s">
        <v>133</v>
      </c>
      <c r="BP506" s="3" t="s">
        <v>74</v>
      </c>
      <c r="BQ506" s="3" t="s">
        <v>74</v>
      </c>
      <c r="BR506" s="3" t="s">
        <v>101</v>
      </c>
      <c r="BS506" s="3" t="s">
        <v>10166</v>
      </c>
      <c r="BT506" s="3" t="str">
        <f>HYPERLINK("https%3A%2F%2Fwww.webofscience.com%2Fwos%2Fwoscc%2Ffull-record%2FWOS:000737454800001","View Full Record in Web of Science")</f>
        <v>View Full Record in Web of Science</v>
      </c>
      <c r="BU506" s="3"/>
      <c r="BV506" s="3"/>
      <c r="BW506" s="1"/>
    </row>
    <row r="507" spans="1:75" x14ac:dyDescent="0.25">
      <c r="A507" s="3" t="s">
        <v>103</v>
      </c>
      <c r="B507" s="3" t="s">
        <v>10167</v>
      </c>
      <c r="C507" s="3" t="s">
        <v>74</v>
      </c>
      <c r="D507" s="3" t="s">
        <v>10168</v>
      </c>
      <c r="E507" s="3" t="s">
        <v>74</v>
      </c>
      <c r="F507" s="3" t="s">
        <v>10169</v>
      </c>
      <c r="G507" s="3" t="s">
        <v>74</v>
      </c>
      <c r="H507" s="3" t="s">
        <v>74</v>
      </c>
      <c r="I507" s="3" t="s">
        <v>10170</v>
      </c>
      <c r="J507" s="3" t="s">
        <v>10171</v>
      </c>
      <c r="K507" s="3" t="s">
        <v>10172</v>
      </c>
      <c r="L507" s="3" t="s">
        <v>74</v>
      </c>
      <c r="M507" s="3" t="s">
        <v>110</v>
      </c>
      <c r="N507" s="3" t="s">
        <v>111</v>
      </c>
      <c r="O507" s="3" t="s">
        <v>10173</v>
      </c>
      <c r="P507" s="3" t="s">
        <v>10174</v>
      </c>
      <c r="Q507" s="3" t="s">
        <v>10175</v>
      </c>
      <c r="R507" s="3" t="s">
        <v>74</v>
      </c>
      <c r="S507" s="3" t="s">
        <v>74</v>
      </c>
      <c r="T507" s="3" t="s">
        <v>10176</v>
      </c>
      <c r="U507" s="3" t="s">
        <v>10177</v>
      </c>
      <c r="V507" s="3" t="s">
        <v>10178</v>
      </c>
      <c r="W507" s="3" t="s">
        <v>10179</v>
      </c>
      <c r="X507" s="3" t="s">
        <v>10180</v>
      </c>
      <c r="Y507" s="3" t="s">
        <v>10181</v>
      </c>
      <c r="Z507" s="3" t="s">
        <v>10182</v>
      </c>
      <c r="AA507" s="3" t="s">
        <v>10183</v>
      </c>
      <c r="AB507" s="3" t="s">
        <v>10184</v>
      </c>
      <c r="AC507" s="3" t="s">
        <v>74</v>
      </c>
      <c r="AD507" s="3" t="s">
        <v>74</v>
      </c>
      <c r="AE507" s="3" t="s">
        <v>74</v>
      </c>
      <c r="AF507" s="3" t="s">
        <v>74</v>
      </c>
      <c r="AG507" s="3">
        <v>39</v>
      </c>
      <c r="AH507" s="3">
        <v>2</v>
      </c>
      <c r="AI507" s="3">
        <v>2</v>
      </c>
      <c r="AJ507" s="3">
        <v>0</v>
      </c>
      <c r="AK507" s="3">
        <v>5</v>
      </c>
      <c r="AL507" s="3" t="s">
        <v>374</v>
      </c>
      <c r="AM507" s="3" t="s">
        <v>375</v>
      </c>
      <c r="AN507" s="3" t="s">
        <v>376</v>
      </c>
      <c r="AO507" s="3" t="s">
        <v>10185</v>
      </c>
      <c r="AP507" s="3" t="s">
        <v>10186</v>
      </c>
      <c r="AQ507" s="3" t="s">
        <v>10187</v>
      </c>
      <c r="AR507" s="3" t="s">
        <v>10188</v>
      </c>
      <c r="AS507" s="3" t="s">
        <v>74</v>
      </c>
      <c r="AT507" s="3" t="s">
        <v>74</v>
      </c>
      <c r="AU507" s="3">
        <v>2019</v>
      </c>
      <c r="AV507" s="3">
        <v>267</v>
      </c>
      <c r="AW507" s="3" t="s">
        <v>74</v>
      </c>
      <c r="AX507" s="3" t="s">
        <v>74</v>
      </c>
      <c r="AY507" s="3" t="s">
        <v>74</v>
      </c>
      <c r="AZ507" s="3" t="s">
        <v>74</v>
      </c>
      <c r="BA507" s="3" t="s">
        <v>74</v>
      </c>
      <c r="BB507" s="3">
        <v>26</v>
      </c>
      <c r="BC507" s="3">
        <v>38</v>
      </c>
      <c r="BD507" s="3" t="s">
        <v>74</v>
      </c>
      <c r="BE507" s="3" t="s">
        <v>10189</v>
      </c>
      <c r="BF507" s="3" t="str">
        <f>HYPERLINK("http://dx.doi.org/10.1007/978-3-030-14757-0_3","http://dx.doi.org/10.1007/978-3-030-14757-0_3")</f>
        <v>http://dx.doi.org/10.1007/978-3-030-14757-0_3</v>
      </c>
      <c r="BG507" s="3" t="s">
        <v>74</v>
      </c>
      <c r="BH507" s="3" t="s">
        <v>74</v>
      </c>
      <c r="BI507" s="3">
        <v>13</v>
      </c>
      <c r="BJ507" s="3" t="s">
        <v>10190</v>
      </c>
      <c r="BK507" s="3" t="s">
        <v>130</v>
      </c>
      <c r="BL507" s="3" t="s">
        <v>10191</v>
      </c>
      <c r="BM507" s="3" t="s">
        <v>10192</v>
      </c>
      <c r="BN507" s="3" t="s">
        <v>74</v>
      </c>
      <c r="BO507" s="3" t="s">
        <v>74</v>
      </c>
      <c r="BP507" s="3" t="s">
        <v>74</v>
      </c>
      <c r="BQ507" s="3" t="s">
        <v>74</v>
      </c>
      <c r="BR507" s="3" t="s">
        <v>101</v>
      </c>
      <c r="BS507" s="3" t="s">
        <v>10193</v>
      </c>
      <c r="BT507" s="3" t="str">
        <f>HYPERLINK("https%3A%2F%2Fwww.webofscience.com%2Fwos%2Fwoscc%2Ffull-record%2FWOS:000613008200003","View Full Record in Web of Science")</f>
        <v>View Full Record in Web of Science</v>
      </c>
      <c r="BU507" s="3"/>
      <c r="BV507" s="3"/>
      <c r="BW507" s="1"/>
    </row>
    <row r="508" spans="1:75" x14ac:dyDescent="0.25">
      <c r="A508" s="3" t="s">
        <v>72</v>
      </c>
      <c r="B508" s="3" t="s">
        <v>8811</v>
      </c>
      <c r="C508" s="3" t="s">
        <v>74</v>
      </c>
      <c r="D508" s="3" t="s">
        <v>74</v>
      </c>
      <c r="E508" s="3" t="s">
        <v>74</v>
      </c>
      <c r="F508" s="3" t="s">
        <v>8812</v>
      </c>
      <c r="G508" s="3" t="s">
        <v>74</v>
      </c>
      <c r="H508" s="3" t="s">
        <v>74</v>
      </c>
      <c r="I508" s="3" t="s">
        <v>10194</v>
      </c>
      <c r="J508" s="3" t="s">
        <v>7697</v>
      </c>
      <c r="K508" s="3" t="s">
        <v>74</v>
      </c>
      <c r="L508" s="3" t="s">
        <v>74</v>
      </c>
      <c r="M508" s="3" t="s">
        <v>110</v>
      </c>
      <c r="N508" s="3" t="s">
        <v>79</v>
      </c>
      <c r="O508" s="3" t="s">
        <v>74</v>
      </c>
      <c r="P508" s="3" t="s">
        <v>74</v>
      </c>
      <c r="Q508" s="3" t="s">
        <v>74</v>
      </c>
      <c r="R508" s="3" t="s">
        <v>74</v>
      </c>
      <c r="S508" s="3" t="s">
        <v>74</v>
      </c>
      <c r="T508" s="3" t="s">
        <v>74</v>
      </c>
      <c r="U508" s="3" t="s">
        <v>10195</v>
      </c>
      <c r="V508" s="3" t="s">
        <v>10196</v>
      </c>
      <c r="W508" s="3" t="s">
        <v>10197</v>
      </c>
      <c r="X508" s="3" t="s">
        <v>8818</v>
      </c>
      <c r="Y508" s="3" t="s">
        <v>10198</v>
      </c>
      <c r="Z508" s="3" t="s">
        <v>5171</v>
      </c>
      <c r="AA508" s="3" t="s">
        <v>10199</v>
      </c>
      <c r="AB508" s="3" t="s">
        <v>10200</v>
      </c>
      <c r="AC508" s="3" t="s">
        <v>10201</v>
      </c>
      <c r="AD508" s="3" t="s">
        <v>10202</v>
      </c>
      <c r="AE508" s="3" t="s">
        <v>10203</v>
      </c>
      <c r="AF508" s="3" t="s">
        <v>74</v>
      </c>
      <c r="AG508" s="3">
        <v>30</v>
      </c>
      <c r="AH508" s="3">
        <v>41</v>
      </c>
      <c r="AI508" s="3">
        <v>47</v>
      </c>
      <c r="AJ508" s="3">
        <v>0</v>
      </c>
      <c r="AK508" s="3">
        <v>123</v>
      </c>
      <c r="AL508" s="3" t="s">
        <v>254</v>
      </c>
      <c r="AM508" s="3" t="s">
        <v>305</v>
      </c>
      <c r="AN508" s="3" t="s">
        <v>7896</v>
      </c>
      <c r="AO508" s="3" t="s">
        <v>7705</v>
      </c>
      <c r="AP508" s="3" t="s">
        <v>7706</v>
      </c>
      <c r="AQ508" s="3" t="s">
        <v>74</v>
      </c>
      <c r="AR508" s="3" t="s">
        <v>7697</v>
      </c>
      <c r="AS508" s="3" t="s">
        <v>7707</v>
      </c>
      <c r="AT508" s="3" t="s">
        <v>260</v>
      </c>
      <c r="AU508" s="3">
        <v>2019</v>
      </c>
      <c r="AV508" s="3">
        <v>73</v>
      </c>
      <c r="AW508" s="3" t="s">
        <v>74</v>
      </c>
      <c r="AX508" s="3" t="s">
        <v>74</v>
      </c>
      <c r="AY508" s="3" t="s">
        <v>74</v>
      </c>
      <c r="AZ508" s="3" t="s">
        <v>74</v>
      </c>
      <c r="BA508" s="3" t="s">
        <v>74</v>
      </c>
      <c r="BB508" s="3">
        <v>143</v>
      </c>
      <c r="BC508" s="3">
        <v>151</v>
      </c>
      <c r="BD508" s="3" t="s">
        <v>74</v>
      </c>
      <c r="BE508" s="3" t="s">
        <v>10204</v>
      </c>
      <c r="BF508" s="3" t="str">
        <f>HYPERLINK("http://dx.doi.org/10.1016/j.tranpol.2018.07.003","http://dx.doi.org/10.1016/j.tranpol.2018.07.003")</f>
        <v>http://dx.doi.org/10.1016/j.tranpol.2018.07.003</v>
      </c>
      <c r="BG508" s="3" t="s">
        <v>74</v>
      </c>
      <c r="BH508" s="3" t="s">
        <v>74</v>
      </c>
      <c r="BI508" s="3">
        <v>9</v>
      </c>
      <c r="BJ508" s="3" t="s">
        <v>3979</v>
      </c>
      <c r="BK508" s="3" t="s">
        <v>264</v>
      </c>
      <c r="BL508" s="3" t="s">
        <v>1187</v>
      </c>
      <c r="BM508" s="3" t="s">
        <v>10205</v>
      </c>
      <c r="BN508" s="3" t="s">
        <v>74</v>
      </c>
      <c r="BO508" s="3" t="s">
        <v>74</v>
      </c>
      <c r="BP508" s="3" t="s">
        <v>74</v>
      </c>
      <c r="BQ508" s="3" t="s">
        <v>74</v>
      </c>
      <c r="BR508" s="3" t="s">
        <v>101</v>
      </c>
      <c r="BS508" s="3" t="s">
        <v>10206</v>
      </c>
      <c r="BT508" s="3" t="str">
        <f>HYPERLINK("https%3A%2F%2Fwww.webofscience.com%2Fwos%2Fwoscc%2Ffull-record%2FWOS:000453339000012","View Full Record in Web of Science")</f>
        <v>View Full Record in Web of Science</v>
      </c>
      <c r="BU508" s="3"/>
      <c r="BV508" s="3"/>
      <c r="BW508" s="1"/>
    </row>
    <row r="509" spans="1:75" x14ac:dyDescent="0.25">
      <c r="A509" s="3" t="s">
        <v>103</v>
      </c>
      <c r="B509" s="3" t="s">
        <v>10207</v>
      </c>
      <c r="C509" s="3" t="s">
        <v>74</v>
      </c>
      <c r="D509" s="3" t="s">
        <v>10208</v>
      </c>
      <c r="E509" s="3" t="s">
        <v>74</v>
      </c>
      <c r="F509" s="3" t="s">
        <v>10209</v>
      </c>
      <c r="G509" s="3" t="s">
        <v>74</v>
      </c>
      <c r="H509" s="3" t="s">
        <v>74</v>
      </c>
      <c r="I509" s="3" t="s">
        <v>10210</v>
      </c>
      <c r="J509" s="3" t="s">
        <v>10211</v>
      </c>
      <c r="K509" s="3" t="s">
        <v>4574</v>
      </c>
      <c r="L509" s="3" t="s">
        <v>74</v>
      </c>
      <c r="M509" s="3" t="s">
        <v>110</v>
      </c>
      <c r="N509" s="3" t="s">
        <v>111</v>
      </c>
      <c r="O509" s="3" t="s">
        <v>10212</v>
      </c>
      <c r="P509" s="3" t="s">
        <v>10213</v>
      </c>
      <c r="Q509" s="3" t="s">
        <v>10214</v>
      </c>
      <c r="R509" s="3" t="s">
        <v>74</v>
      </c>
      <c r="S509" s="3" t="s">
        <v>74</v>
      </c>
      <c r="T509" s="3" t="s">
        <v>10215</v>
      </c>
      <c r="U509" s="3" t="s">
        <v>74</v>
      </c>
      <c r="V509" s="3" t="s">
        <v>10216</v>
      </c>
      <c r="W509" s="3" t="s">
        <v>10217</v>
      </c>
      <c r="X509" s="3" t="s">
        <v>10218</v>
      </c>
      <c r="Y509" s="3" t="s">
        <v>10219</v>
      </c>
      <c r="Z509" s="3" t="s">
        <v>10220</v>
      </c>
      <c r="AA509" s="3" t="s">
        <v>74</v>
      </c>
      <c r="AB509" s="3" t="s">
        <v>74</v>
      </c>
      <c r="AC509" s="3" t="s">
        <v>10221</v>
      </c>
      <c r="AD509" s="3" t="s">
        <v>10222</v>
      </c>
      <c r="AE509" s="3" t="s">
        <v>10223</v>
      </c>
      <c r="AF509" s="3" t="s">
        <v>74</v>
      </c>
      <c r="AG509" s="3">
        <v>23</v>
      </c>
      <c r="AH509" s="3">
        <v>2</v>
      </c>
      <c r="AI509" s="3">
        <v>3</v>
      </c>
      <c r="AJ509" s="3">
        <v>0</v>
      </c>
      <c r="AK509" s="3">
        <v>27</v>
      </c>
      <c r="AL509" s="3" t="s">
        <v>7553</v>
      </c>
      <c r="AM509" s="3" t="s">
        <v>146</v>
      </c>
      <c r="AN509" s="3" t="s">
        <v>7554</v>
      </c>
      <c r="AO509" s="3" t="s">
        <v>4587</v>
      </c>
      <c r="AP509" s="3" t="s">
        <v>74</v>
      </c>
      <c r="AQ509" s="3" t="s">
        <v>10224</v>
      </c>
      <c r="AR509" s="3" t="s">
        <v>4589</v>
      </c>
      <c r="AS509" s="3" t="s">
        <v>74</v>
      </c>
      <c r="AT509" s="3" t="s">
        <v>74</v>
      </c>
      <c r="AU509" s="3">
        <v>2022</v>
      </c>
      <c r="AV509" s="3">
        <v>145</v>
      </c>
      <c r="AW509" s="3" t="s">
        <v>74</v>
      </c>
      <c r="AX509" s="3" t="s">
        <v>74</v>
      </c>
      <c r="AY509" s="3" t="s">
        <v>74</v>
      </c>
      <c r="AZ509" s="3" t="s">
        <v>74</v>
      </c>
      <c r="BA509" s="3" t="s">
        <v>74</v>
      </c>
      <c r="BB509" s="3">
        <v>340</v>
      </c>
      <c r="BC509" s="3">
        <v>352</v>
      </c>
      <c r="BD509" s="3" t="s">
        <v>74</v>
      </c>
      <c r="BE509" s="3" t="s">
        <v>10225</v>
      </c>
      <c r="BF509" s="3" t="str">
        <f>HYPERLINK("http://dx.doi.org/10.1007/978-3-031-10385-8_25","http://dx.doi.org/10.1007/978-3-031-10385-8_25")</f>
        <v>http://dx.doi.org/10.1007/978-3-031-10385-8_25</v>
      </c>
      <c r="BG509" s="3" t="s">
        <v>74</v>
      </c>
      <c r="BH509" s="3" t="s">
        <v>74</v>
      </c>
      <c r="BI509" s="3">
        <v>13</v>
      </c>
      <c r="BJ509" s="3" t="s">
        <v>10226</v>
      </c>
      <c r="BK509" s="3" t="s">
        <v>208</v>
      </c>
      <c r="BL509" s="3" t="s">
        <v>209</v>
      </c>
      <c r="BM509" s="3" t="s">
        <v>10227</v>
      </c>
      <c r="BN509" s="3" t="s">
        <v>74</v>
      </c>
      <c r="BO509" s="3" t="s">
        <v>74</v>
      </c>
      <c r="BP509" s="3" t="s">
        <v>74</v>
      </c>
      <c r="BQ509" s="3" t="s">
        <v>74</v>
      </c>
      <c r="BR509" s="3" t="s">
        <v>101</v>
      </c>
      <c r="BS509" s="3" t="s">
        <v>10228</v>
      </c>
      <c r="BT509" s="3" t="str">
        <f>HYPERLINK("https%3A%2F%2Fwww.webofscience.com%2Fwos%2Fwoscc%2Ffull-record%2FWOS:000882974200025","View Full Record in Web of Science")</f>
        <v>View Full Record in Web of Science</v>
      </c>
      <c r="BU509" s="3"/>
      <c r="BV509" s="3"/>
      <c r="BW509" s="1"/>
    </row>
    <row r="510" spans="1:75" x14ac:dyDescent="0.25">
      <c r="A510" s="3" t="s">
        <v>72</v>
      </c>
      <c r="B510" s="3" t="s">
        <v>10229</v>
      </c>
      <c r="C510" s="3" t="s">
        <v>74</v>
      </c>
      <c r="D510" s="3" t="s">
        <v>74</v>
      </c>
      <c r="E510" s="3" t="s">
        <v>74</v>
      </c>
      <c r="F510" s="3" t="s">
        <v>10230</v>
      </c>
      <c r="G510" s="3" t="s">
        <v>74</v>
      </c>
      <c r="H510" s="3" t="s">
        <v>74</v>
      </c>
      <c r="I510" s="3" t="s">
        <v>10231</v>
      </c>
      <c r="J510" s="3" t="s">
        <v>10232</v>
      </c>
      <c r="K510" s="3" t="s">
        <v>74</v>
      </c>
      <c r="L510" s="3" t="s">
        <v>74</v>
      </c>
      <c r="M510" s="3" t="s">
        <v>110</v>
      </c>
      <c r="N510" s="3" t="s">
        <v>216</v>
      </c>
      <c r="O510" s="3" t="s">
        <v>74</v>
      </c>
      <c r="P510" s="3" t="s">
        <v>74</v>
      </c>
      <c r="Q510" s="3" t="s">
        <v>74</v>
      </c>
      <c r="R510" s="3" t="s">
        <v>74</v>
      </c>
      <c r="S510" s="3" t="s">
        <v>74</v>
      </c>
      <c r="T510" s="3" t="s">
        <v>10233</v>
      </c>
      <c r="U510" s="3" t="s">
        <v>10234</v>
      </c>
      <c r="V510" s="3" t="s">
        <v>10235</v>
      </c>
      <c r="W510" s="3" t="s">
        <v>10236</v>
      </c>
      <c r="X510" s="3" t="s">
        <v>5088</v>
      </c>
      <c r="Y510" s="3" t="s">
        <v>10237</v>
      </c>
      <c r="Z510" s="3" t="s">
        <v>10238</v>
      </c>
      <c r="AA510" s="3" t="s">
        <v>10239</v>
      </c>
      <c r="AB510" s="3" t="s">
        <v>10240</v>
      </c>
      <c r="AC510" s="3" t="s">
        <v>74</v>
      </c>
      <c r="AD510" s="3" t="s">
        <v>74</v>
      </c>
      <c r="AE510" s="3" t="s">
        <v>74</v>
      </c>
      <c r="AF510" s="3" t="s">
        <v>74</v>
      </c>
      <c r="AG510" s="3">
        <v>89</v>
      </c>
      <c r="AH510" s="3">
        <v>9</v>
      </c>
      <c r="AI510" s="3">
        <v>11</v>
      </c>
      <c r="AJ510" s="3">
        <v>5</v>
      </c>
      <c r="AK510" s="3">
        <v>36</v>
      </c>
      <c r="AL510" s="3" t="s">
        <v>145</v>
      </c>
      <c r="AM510" s="3" t="s">
        <v>146</v>
      </c>
      <c r="AN510" s="3" t="s">
        <v>147</v>
      </c>
      <c r="AO510" s="3" t="s">
        <v>74</v>
      </c>
      <c r="AP510" s="3" t="s">
        <v>10241</v>
      </c>
      <c r="AQ510" s="3" t="s">
        <v>74</v>
      </c>
      <c r="AR510" s="3" t="s">
        <v>10242</v>
      </c>
      <c r="AS510" s="3" t="s">
        <v>7209</v>
      </c>
      <c r="AT510" s="3" t="s">
        <v>1164</v>
      </c>
      <c r="AU510" s="3">
        <v>2023</v>
      </c>
      <c r="AV510" s="3">
        <v>11</v>
      </c>
      <c r="AW510" s="3">
        <v>19</v>
      </c>
      <c r="AX510" s="3" t="s">
        <v>74</v>
      </c>
      <c r="AY510" s="3" t="s">
        <v>74</v>
      </c>
      <c r="AZ510" s="3" t="s">
        <v>74</v>
      </c>
      <c r="BA510" s="3" t="s">
        <v>74</v>
      </c>
      <c r="BB510" s="3" t="s">
        <v>74</v>
      </c>
      <c r="BC510" s="3" t="s">
        <v>74</v>
      </c>
      <c r="BD510" s="3">
        <v>4089</v>
      </c>
      <c r="BE510" s="3" t="s">
        <v>10243</v>
      </c>
      <c r="BF510" s="3" t="str">
        <f>HYPERLINK("http://dx.doi.org/10.3390/math11194089","http://dx.doi.org/10.3390/math11194089")</f>
        <v>http://dx.doi.org/10.3390/math11194089</v>
      </c>
      <c r="BG510" s="3" t="s">
        <v>74</v>
      </c>
      <c r="BH510" s="3" t="s">
        <v>74</v>
      </c>
      <c r="BI510" s="3">
        <v>24</v>
      </c>
      <c r="BJ510" s="3" t="s">
        <v>7209</v>
      </c>
      <c r="BK510" s="3" t="s">
        <v>179</v>
      </c>
      <c r="BL510" s="3" t="s">
        <v>7209</v>
      </c>
      <c r="BM510" s="3" t="s">
        <v>10244</v>
      </c>
      <c r="BN510" s="3" t="s">
        <v>74</v>
      </c>
      <c r="BO510" s="3" t="s">
        <v>133</v>
      </c>
      <c r="BP510" s="3" t="s">
        <v>74</v>
      </c>
      <c r="BQ510" s="3" t="s">
        <v>74</v>
      </c>
      <c r="BR510" s="3" t="s">
        <v>101</v>
      </c>
      <c r="BS510" s="3" t="s">
        <v>10245</v>
      </c>
      <c r="BT510" s="3" t="str">
        <f>HYPERLINK("https%3A%2F%2Fwww.webofscience.com%2Fwos%2Fwoscc%2Ffull-record%2FWOS:001084410300001","View Full Record in Web of Science")</f>
        <v>View Full Record in Web of Science</v>
      </c>
      <c r="BU510" s="3"/>
      <c r="BV510" s="3"/>
      <c r="BW510" s="1"/>
    </row>
    <row r="511" spans="1:75" x14ac:dyDescent="0.25">
      <c r="A511" s="3" t="s">
        <v>72</v>
      </c>
      <c r="B511" s="3" t="s">
        <v>10246</v>
      </c>
      <c r="C511" s="3" t="s">
        <v>74</v>
      </c>
      <c r="D511" s="3" t="s">
        <v>74</v>
      </c>
      <c r="E511" s="3" t="s">
        <v>74</v>
      </c>
      <c r="F511" s="3" t="s">
        <v>10247</v>
      </c>
      <c r="G511" s="3" t="s">
        <v>74</v>
      </c>
      <c r="H511" s="3" t="s">
        <v>74</v>
      </c>
      <c r="I511" s="3" t="s">
        <v>10248</v>
      </c>
      <c r="J511" s="3" t="s">
        <v>1783</v>
      </c>
      <c r="K511" s="3" t="s">
        <v>74</v>
      </c>
      <c r="L511" s="3" t="s">
        <v>74</v>
      </c>
      <c r="M511" s="3" t="s">
        <v>110</v>
      </c>
      <c r="N511" s="3" t="s">
        <v>79</v>
      </c>
      <c r="O511" s="3" t="s">
        <v>74</v>
      </c>
      <c r="P511" s="3" t="s">
        <v>74</v>
      </c>
      <c r="Q511" s="3" t="s">
        <v>74</v>
      </c>
      <c r="R511" s="3" t="s">
        <v>74</v>
      </c>
      <c r="S511" s="3" t="s">
        <v>74</v>
      </c>
      <c r="T511" s="3" t="s">
        <v>10249</v>
      </c>
      <c r="U511" s="3" t="s">
        <v>10250</v>
      </c>
      <c r="V511" s="3" t="s">
        <v>10251</v>
      </c>
      <c r="W511" s="3" t="s">
        <v>10252</v>
      </c>
      <c r="X511" s="3" t="s">
        <v>3357</v>
      </c>
      <c r="Y511" s="3" t="s">
        <v>10253</v>
      </c>
      <c r="Z511" s="3" t="s">
        <v>10254</v>
      </c>
      <c r="AA511" s="3" t="s">
        <v>10255</v>
      </c>
      <c r="AB511" s="3" t="s">
        <v>10256</v>
      </c>
      <c r="AC511" s="3" t="s">
        <v>10257</v>
      </c>
      <c r="AD511" s="3" t="s">
        <v>10257</v>
      </c>
      <c r="AE511" s="3" t="s">
        <v>10258</v>
      </c>
      <c r="AF511" s="3" t="s">
        <v>74</v>
      </c>
      <c r="AG511" s="3">
        <v>62</v>
      </c>
      <c r="AH511" s="3">
        <v>7</v>
      </c>
      <c r="AI511" s="3">
        <v>7</v>
      </c>
      <c r="AJ511" s="3">
        <v>21</v>
      </c>
      <c r="AK511" s="3">
        <v>32</v>
      </c>
      <c r="AL511" s="3" t="s">
        <v>304</v>
      </c>
      <c r="AM511" s="3" t="s">
        <v>305</v>
      </c>
      <c r="AN511" s="3" t="s">
        <v>306</v>
      </c>
      <c r="AO511" s="3" t="s">
        <v>1798</v>
      </c>
      <c r="AP511" s="3" t="s">
        <v>5899</v>
      </c>
      <c r="AQ511" s="3" t="s">
        <v>74</v>
      </c>
      <c r="AR511" s="3" t="s">
        <v>1799</v>
      </c>
      <c r="AS511" s="3" t="s">
        <v>1800</v>
      </c>
      <c r="AT511" s="3" t="s">
        <v>949</v>
      </c>
      <c r="AU511" s="3">
        <v>2025</v>
      </c>
      <c r="AV511" s="3">
        <v>140</v>
      </c>
      <c r="AW511" s="3" t="s">
        <v>74</v>
      </c>
      <c r="AX511" s="3" t="s">
        <v>74</v>
      </c>
      <c r="AY511" s="3" t="s">
        <v>74</v>
      </c>
      <c r="AZ511" s="3" t="s">
        <v>74</v>
      </c>
      <c r="BA511" s="3" t="s">
        <v>74</v>
      </c>
      <c r="BB511" s="3" t="s">
        <v>74</v>
      </c>
      <c r="BC511" s="3" t="s">
        <v>74</v>
      </c>
      <c r="BD511" s="3">
        <v>104610</v>
      </c>
      <c r="BE511" s="3" t="s">
        <v>10259</v>
      </c>
      <c r="BF511" s="3" t="str">
        <f>HYPERLINK("http://dx.doi.org/10.1016/j.trd.2025.104610","http://dx.doi.org/10.1016/j.trd.2025.104610")</f>
        <v>http://dx.doi.org/10.1016/j.trd.2025.104610</v>
      </c>
      <c r="BG511" s="3" t="s">
        <v>74</v>
      </c>
      <c r="BH511" s="3" t="s">
        <v>2712</v>
      </c>
      <c r="BI511" s="3">
        <v>13</v>
      </c>
      <c r="BJ511" s="3" t="s">
        <v>1802</v>
      </c>
      <c r="BK511" s="3" t="s">
        <v>154</v>
      </c>
      <c r="BL511" s="3" t="s">
        <v>1804</v>
      </c>
      <c r="BM511" s="3" t="s">
        <v>10260</v>
      </c>
      <c r="BN511" s="3" t="s">
        <v>74</v>
      </c>
      <c r="BO511" s="3" t="s">
        <v>74</v>
      </c>
      <c r="BP511" s="3" t="s">
        <v>74</v>
      </c>
      <c r="BQ511" s="3" t="s">
        <v>74</v>
      </c>
      <c r="BR511" s="3" t="s">
        <v>101</v>
      </c>
      <c r="BS511" s="3" t="s">
        <v>10261</v>
      </c>
      <c r="BT511" s="3" t="str">
        <f>HYPERLINK("https%3A%2F%2Fwww.webofscience.com%2Fwos%2Fwoscc%2Ffull-record%2FWOS:001409181500001","View Full Record in Web of Science")</f>
        <v>View Full Record in Web of Science</v>
      </c>
      <c r="BU511" s="3"/>
      <c r="BV511" s="3"/>
      <c r="BW511" s="1"/>
    </row>
    <row r="512" spans="1:75" x14ac:dyDescent="0.25">
      <c r="A512" s="3" t="s">
        <v>72</v>
      </c>
      <c r="B512" s="3" t="s">
        <v>10262</v>
      </c>
      <c r="C512" s="3" t="s">
        <v>74</v>
      </c>
      <c r="D512" s="3" t="s">
        <v>74</v>
      </c>
      <c r="E512" s="3" t="s">
        <v>74</v>
      </c>
      <c r="F512" s="3" t="s">
        <v>10263</v>
      </c>
      <c r="G512" s="3" t="s">
        <v>74</v>
      </c>
      <c r="H512" s="3" t="s">
        <v>74</v>
      </c>
      <c r="I512" s="3" t="s">
        <v>10264</v>
      </c>
      <c r="J512" s="3" t="s">
        <v>7606</v>
      </c>
      <c r="K512" s="3" t="s">
        <v>74</v>
      </c>
      <c r="L512" s="3" t="s">
        <v>74</v>
      </c>
      <c r="M512" s="3" t="s">
        <v>110</v>
      </c>
      <c r="N512" s="3" t="s">
        <v>79</v>
      </c>
      <c r="O512" s="3" t="s">
        <v>74</v>
      </c>
      <c r="P512" s="3" t="s">
        <v>74</v>
      </c>
      <c r="Q512" s="3" t="s">
        <v>74</v>
      </c>
      <c r="R512" s="3" t="s">
        <v>74</v>
      </c>
      <c r="S512" s="3" t="s">
        <v>74</v>
      </c>
      <c r="T512" s="3" t="s">
        <v>10265</v>
      </c>
      <c r="U512" s="3" t="s">
        <v>10266</v>
      </c>
      <c r="V512" s="3" t="s">
        <v>10267</v>
      </c>
      <c r="W512" s="3" t="s">
        <v>10268</v>
      </c>
      <c r="X512" s="3" t="s">
        <v>10269</v>
      </c>
      <c r="Y512" s="3" t="s">
        <v>10270</v>
      </c>
      <c r="Z512" s="3" t="s">
        <v>10271</v>
      </c>
      <c r="AA512" s="3" t="s">
        <v>10272</v>
      </c>
      <c r="AB512" s="3" t="s">
        <v>10273</v>
      </c>
      <c r="AC512" s="3" t="s">
        <v>10274</v>
      </c>
      <c r="AD512" s="3" t="s">
        <v>10275</v>
      </c>
      <c r="AE512" s="3" t="s">
        <v>10276</v>
      </c>
      <c r="AF512" s="3" t="s">
        <v>74</v>
      </c>
      <c r="AG512" s="3">
        <v>46</v>
      </c>
      <c r="AH512" s="3">
        <v>28</v>
      </c>
      <c r="AI512" s="3">
        <v>30</v>
      </c>
      <c r="AJ512" s="3">
        <v>20</v>
      </c>
      <c r="AK512" s="3">
        <v>94</v>
      </c>
      <c r="AL512" s="3" t="s">
        <v>304</v>
      </c>
      <c r="AM512" s="3" t="s">
        <v>305</v>
      </c>
      <c r="AN512" s="3" t="s">
        <v>306</v>
      </c>
      <c r="AO512" s="3" t="s">
        <v>7618</v>
      </c>
      <c r="AP512" s="3" t="s">
        <v>7619</v>
      </c>
      <c r="AQ512" s="3" t="s">
        <v>74</v>
      </c>
      <c r="AR512" s="3" t="s">
        <v>7620</v>
      </c>
      <c r="AS512" s="3" t="s">
        <v>7621</v>
      </c>
      <c r="AT512" s="3" t="s">
        <v>1240</v>
      </c>
      <c r="AU512" s="3">
        <v>2023</v>
      </c>
      <c r="AV512" s="3">
        <v>171</v>
      </c>
      <c r="AW512" s="3" t="s">
        <v>74</v>
      </c>
      <c r="AX512" s="3" t="s">
        <v>74</v>
      </c>
      <c r="AY512" s="3" t="s">
        <v>74</v>
      </c>
      <c r="AZ512" s="3" t="s">
        <v>74</v>
      </c>
      <c r="BA512" s="3" t="s">
        <v>74</v>
      </c>
      <c r="BB512" s="3" t="s">
        <v>74</v>
      </c>
      <c r="BC512" s="3" t="s">
        <v>74</v>
      </c>
      <c r="BD512" s="3">
        <v>103645</v>
      </c>
      <c r="BE512" s="3" t="s">
        <v>10277</v>
      </c>
      <c r="BF512" s="3" t="str">
        <f>HYPERLINK("http://dx.doi.org/10.1016/j.tra.2023.103645","http://dx.doi.org/10.1016/j.tra.2023.103645")</f>
        <v>http://dx.doi.org/10.1016/j.tra.2023.103645</v>
      </c>
      <c r="BG512" s="3" t="s">
        <v>74</v>
      </c>
      <c r="BH512" s="3" t="s">
        <v>10278</v>
      </c>
      <c r="BI512" s="3">
        <v>22</v>
      </c>
      <c r="BJ512" s="3" t="s">
        <v>7623</v>
      </c>
      <c r="BK512" s="3" t="s">
        <v>154</v>
      </c>
      <c r="BL512" s="3" t="s">
        <v>1187</v>
      </c>
      <c r="BM512" s="3" t="s">
        <v>10279</v>
      </c>
      <c r="BN512" s="3" t="s">
        <v>74</v>
      </c>
      <c r="BO512" s="3" t="s">
        <v>884</v>
      </c>
      <c r="BP512" s="3" t="s">
        <v>74</v>
      </c>
      <c r="BQ512" s="3" t="s">
        <v>74</v>
      </c>
      <c r="BR512" s="3" t="s">
        <v>101</v>
      </c>
      <c r="BS512" s="3" t="s">
        <v>10280</v>
      </c>
      <c r="BT512" s="3" t="str">
        <f>HYPERLINK("https%3A%2F%2Fwww.webofscience.com%2Fwos%2Fwoscc%2Ffull-record%2FWOS:001035825000001","View Full Record in Web of Science")</f>
        <v>View Full Record in Web of Science</v>
      </c>
      <c r="BU512" s="3"/>
      <c r="BV512" s="3"/>
      <c r="BW512" s="1"/>
    </row>
    <row r="513" spans="1:75" x14ac:dyDescent="0.25">
      <c r="A513" s="3" t="s">
        <v>72</v>
      </c>
      <c r="B513" s="3" t="s">
        <v>10281</v>
      </c>
      <c r="C513" s="3" t="s">
        <v>74</v>
      </c>
      <c r="D513" s="3" t="s">
        <v>74</v>
      </c>
      <c r="E513" s="3" t="s">
        <v>74</v>
      </c>
      <c r="F513" s="3" t="s">
        <v>10282</v>
      </c>
      <c r="G513" s="3" t="s">
        <v>74</v>
      </c>
      <c r="H513" s="3" t="s">
        <v>74</v>
      </c>
      <c r="I513" s="3" t="s">
        <v>10283</v>
      </c>
      <c r="J513" s="3" t="s">
        <v>138</v>
      </c>
      <c r="K513" s="3" t="s">
        <v>74</v>
      </c>
      <c r="L513" s="3" t="s">
        <v>74</v>
      </c>
      <c r="M513" s="3" t="s">
        <v>110</v>
      </c>
      <c r="N513" s="3" t="s">
        <v>79</v>
      </c>
      <c r="O513" s="3" t="s">
        <v>74</v>
      </c>
      <c r="P513" s="3" t="s">
        <v>74</v>
      </c>
      <c r="Q513" s="3" t="s">
        <v>74</v>
      </c>
      <c r="R513" s="3" t="s">
        <v>74</v>
      </c>
      <c r="S513" s="3" t="s">
        <v>74</v>
      </c>
      <c r="T513" s="3" t="s">
        <v>10284</v>
      </c>
      <c r="U513" s="3" t="s">
        <v>10285</v>
      </c>
      <c r="V513" s="3" t="s">
        <v>10286</v>
      </c>
      <c r="W513" s="3" t="s">
        <v>10287</v>
      </c>
      <c r="X513" s="3" t="s">
        <v>10288</v>
      </c>
      <c r="Y513" s="3" t="s">
        <v>10289</v>
      </c>
      <c r="Z513" s="3" t="s">
        <v>10290</v>
      </c>
      <c r="AA513" s="3" t="s">
        <v>10291</v>
      </c>
      <c r="AB513" s="3" t="s">
        <v>10292</v>
      </c>
      <c r="AC513" s="3" t="s">
        <v>10293</v>
      </c>
      <c r="AD513" s="3" t="s">
        <v>10294</v>
      </c>
      <c r="AE513" s="3" t="s">
        <v>10295</v>
      </c>
      <c r="AF513" s="3" t="s">
        <v>74</v>
      </c>
      <c r="AG513" s="3">
        <v>79</v>
      </c>
      <c r="AH513" s="3">
        <v>15</v>
      </c>
      <c r="AI513" s="3">
        <v>17</v>
      </c>
      <c r="AJ513" s="3">
        <v>1</v>
      </c>
      <c r="AK513" s="3">
        <v>27</v>
      </c>
      <c r="AL513" s="3" t="s">
        <v>145</v>
      </c>
      <c r="AM513" s="3" t="s">
        <v>146</v>
      </c>
      <c r="AN513" s="3" t="s">
        <v>147</v>
      </c>
      <c r="AO513" s="3" t="s">
        <v>74</v>
      </c>
      <c r="AP513" s="3" t="s">
        <v>148</v>
      </c>
      <c r="AQ513" s="3" t="s">
        <v>74</v>
      </c>
      <c r="AR513" s="3" t="s">
        <v>149</v>
      </c>
      <c r="AS513" s="3" t="s">
        <v>150</v>
      </c>
      <c r="AT513" s="3" t="s">
        <v>7730</v>
      </c>
      <c r="AU513" s="3">
        <v>2019</v>
      </c>
      <c r="AV513" s="3">
        <v>11</v>
      </c>
      <c r="AW513" s="3">
        <v>24</v>
      </c>
      <c r="AX513" s="3" t="s">
        <v>74</v>
      </c>
      <c r="AY513" s="3" t="s">
        <v>74</v>
      </c>
      <c r="AZ513" s="3" t="s">
        <v>74</v>
      </c>
      <c r="BA513" s="3" t="s">
        <v>74</v>
      </c>
      <c r="BB513" s="3" t="s">
        <v>74</v>
      </c>
      <c r="BC513" s="3" t="s">
        <v>74</v>
      </c>
      <c r="BD513" s="3">
        <v>6890</v>
      </c>
      <c r="BE513" s="3" t="s">
        <v>10296</v>
      </c>
      <c r="BF513" s="3" t="str">
        <f>HYPERLINK("http://dx.doi.org/10.3390/su11246890","http://dx.doi.org/10.3390/su11246890")</f>
        <v>http://dx.doi.org/10.3390/su11246890</v>
      </c>
      <c r="BG513" s="3" t="s">
        <v>74</v>
      </c>
      <c r="BH513" s="3" t="s">
        <v>74</v>
      </c>
      <c r="BI513" s="3">
        <v>17</v>
      </c>
      <c r="BJ513" s="3" t="s">
        <v>153</v>
      </c>
      <c r="BK513" s="3" t="s">
        <v>154</v>
      </c>
      <c r="BL513" s="3" t="s">
        <v>155</v>
      </c>
      <c r="BM513" s="3" t="s">
        <v>10297</v>
      </c>
      <c r="BN513" s="3" t="s">
        <v>74</v>
      </c>
      <c r="BO513" s="3" t="s">
        <v>133</v>
      </c>
      <c r="BP513" s="3" t="s">
        <v>74</v>
      </c>
      <c r="BQ513" s="3" t="s">
        <v>74</v>
      </c>
      <c r="BR513" s="3" t="s">
        <v>101</v>
      </c>
      <c r="BS513" s="3" t="s">
        <v>10298</v>
      </c>
      <c r="BT513" s="3" t="str">
        <f>HYPERLINK("https%3A%2F%2Fwww.webofscience.com%2Fwos%2Fwoscc%2Ffull-record%2FWOS:000506899000008","View Full Record in Web of Science")</f>
        <v>View Full Record in Web of Science</v>
      </c>
      <c r="BU513" s="3"/>
      <c r="BV513" s="3"/>
      <c r="BW513" s="1"/>
    </row>
    <row r="514" spans="1:75" x14ac:dyDescent="0.25">
      <c r="A514" s="3" t="s">
        <v>72</v>
      </c>
      <c r="B514" s="3" t="s">
        <v>10299</v>
      </c>
      <c r="C514" s="3" t="s">
        <v>74</v>
      </c>
      <c r="D514" s="3" t="s">
        <v>74</v>
      </c>
      <c r="E514" s="3" t="s">
        <v>74</v>
      </c>
      <c r="F514" s="3" t="s">
        <v>10300</v>
      </c>
      <c r="G514" s="3" t="s">
        <v>74</v>
      </c>
      <c r="H514" s="3" t="s">
        <v>74</v>
      </c>
      <c r="I514" s="3" t="s">
        <v>10301</v>
      </c>
      <c r="J514" s="3" t="s">
        <v>6887</v>
      </c>
      <c r="K514" s="3" t="s">
        <v>74</v>
      </c>
      <c r="L514" s="3" t="s">
        <v>74</v>
      </c>
      <c r="M514" s="3" t="s">
        <v>110</v>
      </c>
      <c r="N514" s="3" t="s">
        <v>79</v>
      </c>
      <c r="O514" s="3" t="s">
        <v>74</v>
      </c>
      <c r="P514" s="3" t="s">
        <v>74</v>
      </c>
      <c r="Q514" s="3" t="s">
        <v>74</v>
      </c>
      <c r="R514" s="3" t="s">
        <v>74</v>
      </c>
      <c r="S514" s="3" t="s">
        <v>74</v>
      </c>
      <c r="T514" s="3" t="s">
        <v>10302</v>
      </c>
      <c r="U514" s="3" t="s">
        <v>10303</v>
      </c>
      <c r="V514" s="3" t="s">
        <v>10304</v>
      </c>
      <c r="W514" s="3" t="s">
        <v>10305</v>
      </c>
      <c r="X514" s="3" t="s">
        <v>10306</v>
      </c>
      <c r="Y514" s="3" t="s">
        <v>10307</v>
      </c>
      <c r="Z514" s="3" t="s">
        <v>10308</v>
      </c>
      <c r="AA514" s="3" t="s">
        <v>74</v>
      </c>
      <c r="AB514" s="3" t="s">
        <v>10309</v>
      </c>
      <c r="AC514" s="3" t="s">
        <v>10310</v>
      </c>
      <c r="AD514" s="3" t="s">
        <v>10311</v>
      </c>
      <c r="AE514" s="3" t="s">
        <v>10312</v>
      </c>
      <c r="AF514" s="3" t="s">
        <v>74</v>
      </c>
      <c r="AG514" s="3">
        <v>43</v>
      </c>
      <c r="AH514" s="3">
        <v>1</v>
      </c>
      <c r="AI514" s="3">
        <v>2</v>
      </c>
      <c r="AJ514" s="3">
        <v>1</v>
      </c>
      <c r="AK514" s="3">
        <v>10</v>
      </c>
      <c r="AL514" s="3" t="s">
        <v>2788</v>
      </c>
      <c r="AM514" s="3" t="s">
        <v>2789</v>
      </c>
      <c r="AN514" s="3" t="s">
        <v>2790</v>
      </c>
      <c r="AO514" s="3" t="s">
        <v>6899</v>
      </c>
      <c r="AP514" s="3" t="s">
        <v>6900</v>
      </c>
      <c r="AQ514" s="3" t="s">
        <v>74</v>
      </c>
      <c r="AR514" s="3" t="s">
        <v>6901</v>
      </c>
      <c r="AS514" s="3" t="s">
        <v>6902</v>
      </c>
      <c r="AT514" s="3" t="s">
        <v>592</v>
      </c>
      <c r="AU514" s="3">
        <v>2024</v>
      </c>
      <c r="AV514" s="3">
        <v>2678</v>
      </c>
      <c r="AW514" s="3">
        <v>11</v>
      </c>
      <c r="AX514" s="3" t="s">
        <v>74</v>
      </c>
      <c r="AY514" s="3" t="s">
        <v>74</v>
      </c>
      <c r="AZ514" s="3" t="s">
        <v>74</v>
      </c>
      <c r="BA514" s="3" t="s">
        <v>74</v>
      </c>
      <c r="BB514" s="3">
        <v>1548</v>
      </c>
      <c r="BC514" s="3">
        <v>1561</v>
      </c>
      <c r="BD514" s="3" t="s">
        <v>74</v>
      </c>
      <c r="BE514" s="3" t="s">
        <v>10313</v>
      </c>
      <c r="BF514" s="3" t="str">
        <f>HYPERLINK("http://dx.doi.org/10.1177/03611981241245676","http://dx.doi.org/10.1177/03611981241245676")</f>
        <v>http://dx.doi.org/10.1177/03611981241245676</v>
      </c>
      <c r="BG514" s="3" t="s">
        <v>74</v>
      </c>
      <c r="BH514" s="3" t="s">
        <v>6865</v>
      </c>
      <c r="BI514" s="3">
        <v>14</v>
      </c>
      <c r="BJ514" s="3" t="s">
        <v>4880</v>
      </c>
      <c r="BK514" s="3" t="s">
        <v>179</v>
      </c>
      <c r="BL514" s="3" t="s">
        <v>411</v>
      </c>
      <c r="BM514" s="3" t="s">
        <v>6904</v>
      </c>
      <c r="BN514" s="3" t="s">
        <v>74</v>
      </c>
      <c r="BO514" s="3" t="s">
        <v>74</v>
      </c>
      <c r="BP514" s="3" t="s">
        <v>74</v>
      </c>
      <c r="BQ514" s="3" t="s">
        <v>74</v>
      </c>
      <c r="BR514" s="3" t="s">
        <v>101</v>
      </c>
      <c r="BS514" s="3" t="s">
        <v>10314</v>
      </c>
      <c r="BT514" s="3" t="str">
        <f>HYPERLINK("https%3A%2F%2Fwww.webofscience.com%2Fwos%2Fwoscc%2Ffull-record%2FWOS:001277837100001","View Full Record in Web of Science")</f>
        <v>View Full Record in Web of Science</v>
      </c>
      <c r="BU514" s="3"/>
      <c r="BV514" s="3"/>
      <c r="BW514" s="1"/>
    </row>
    <row r="515" spans="1:75" x14ac:dyDescent="0.25">
      <c r="A515" s="3" t="s">
        <v>103</v>
      </c>
      <c r="B515" s="3" t="s">
        <v>10315</v>
      </c>
      <c r="C515" s="3" t="s">
        <v>74</v>
      </c>
      <c r="D515" s="3" t="s">
        <v>10316</v>
      </c>
      <c r="E515" s="3" t="s">
        <v>74</v>
      </c>
      <c r="F515" s="3" t="s">
        <v>10317</v>
      </c>
      <c r="G515" s="3" t="s">
        <v>74</v>
      </c>
      <c r="H515" s="3" t="s">
        <v>74</v>
      </c>
      <c r="I515" s="3" t="s">
        <v>10318</v>
      </c>
      <c r="J515" s="3" t="s">
        <v>10319</v>
      </c>
      <c r="K515" s="3" t="s">
        <v>10320</v>
      </c>
      <c r="L515" s="3" t="s">
        <v>74</v>
      </c>
      <c r="M515" s="3" t="s">
        <v>110</v>
      </c>
      <c r="N515" s="3" t="s">
        <v>111</v>
      </c>
      <c r="O515" s="3" t="s">
        <v>10321</v>
      </c>
      <c r="P515" s="3" t="s">
        <v>10322</v>
      </c>
      <c r="Q515" s="3" t="s">
        <v>10323</v>
      </c>
      <c r="R515" s="3" t="s">
        <v>74</v>
      </c>
      <c r="S515" s="3" t="s">
        <v>10324</v>
      </c>
      <c r="T515" s="3" t="s">
        <v>10325</v>
      </c>
      <c r="U515" s="3" t="s">
        <v>8372</v>
      </c>
      <c r="V515" s="3" t="s">
        <v>10326</v>
      </c>
      <c r="W515" s="3" t="s">
        <v>10327</v>
      </c>
      <c r="X515" s="3" t="s">
        <v>10328</v>
      </c>
      <c r="Y515" s="3" t="s">
        <v>10329</v>
      </c>
      <c r="Z515" s="3" t="s">
        <v>10330</v>
      </c>
      <c r="AA515" s="3" t="s">
        <v>10331</v>
      </c>
      <c r="AB515" s="3" t="s">
        <v>10332</v>
      </c>
      <c r="AC515" s="3" t="s">
        <v>74</v>
      </c>
      <c r="AD515" s="3" t="s">
        <v>74</v>
      </c>
      <c r="AE515" s="3" t="s">
        <v>74</v>
      </c>
      <c r="AF515" s="3" t="s">
        <v>74</v>
      </c>
      <c r="AG515" s="3">
        <v>18</v>
      </c>
      <c r="AH515" s="3">
        <v>7</v>
      </c>
      <c r="AI515" s="3">
        <v>7</v>
      </c>
      <c r="AJ515" s="3">
        <v>1</v>
      </c>
      <c r="AK515" s="3">
        <v>12</v>
      </c>
      <c r="AL515" s="3" t="s">
        <v>374</v>
      </c>
      <c r="AM515" s="3" t="s">
        <v>375</v>
      </c>
      <c r="AN515" s="3" t="s">
        <v>376</v>
      </c>
      <c r="AO515" s="3" t="s">
        <v>10333</v>
      </c>
      <c r="AP515" s="3" t="s">
        <v>74</v>
      </c>
      <c r="AQ515" s="3" t="s">
        <v>10334</v>
      </c>
      <c r="AR515" s="3" t="s">
        <v>10335</v>
      </c>
      <c r="AS515" s="3" t="s">
        <v>74</v>
      </c>
      <c r="AT515" s="3" t="s">
        <v>74</v>
      </c>
      <c r="AU515" s="3">
        <v>2023</v>
      </c>
      <c r="AV515" s="3" t="s">
        <v>74</v>
      </c>
      <c r="AW515" s="3" t="s">
        <v>74</v>
      </c>
      <c r="AX515" s="3" t="s">
        <v>74</v>
      </c>
      <c r="AY515" s="3" t="s">
        <v>74</v>
      </c>
      <c r="AZ515" s="3" t="s">
        <v>74</v>
      </c>
      <c r="BA515" s="3" t="s">
        <v>74</v>
      </c>
      <c r="BB515" s="3">
        <v>293</v>
      </c>
      <c r="BC515" s="3">
        <v>305</v>
      </c>
      <c r="BD515" s="3" t="s">
        <v>74</v>
      </c>
      <c r="BE515" s="3" t="s">
        <v>10336</v>
      </c>
      <c r="BF515" s="3" t="str">
        <f>HYPERLINK("http://dx.doi.org/10.1007/978-3-031-28236-2_18","http://dx.doi.org/10.1007/978-3-031-28236-2_18")</f>
        <v>http://dx.doi.org/10.1007/978-3-031-28236-2_18</v>
      </c>
      <c r="BG515" s="3" t="s">
        <v>74</v>
      </c>
      <c r="BH515" s="3" t="s">
        <v>74</v>
      </c>
      <c r="BI515" s="3">
        <v>13</v>
      </c>
      <c r="BJ515" s="3" t="s">
        <v>10337</v>
      </c>
      <c r="BK515" s="3" t="s">
        <v>130</v>
      </c>
      <c r="BL515" s="3" t="s">
        <v>10338</v>
      </c>
      <c r="BM515" s="3" t="s">
        <v>10339</v>
      </c>
      <c r="BN515" s="3" t="s">
        <v>74</v>
      </c>
      <c r="BO515" s="3" t="s">
        <v>74</v>
      </c>
      <c r="BP515" s="3" t="s">
        <v>74</v>
      </c>
      <c r="BQ515" s="3" t="s">
        <v>74</v>
      </c>
      <c r="BR515" s="3" t="s">
        <v>101</v>
      </c>
      <c r="BS515" s="3" t="s">
        <v>10340</v>
      </c>
      <c r="BT515" s="3" t="str">
        <f>HYPERLINK("https%3A%2F%2Fwww.webofscience.com%2Fwos%2Fwoscc%2Ffull-record%2FWOS:001058876400018","View Full Record in Web of Science")</f>
        <v>View Full Record in Web of Science</v>
      </c>
      <c r="BU515" s="3"/>
      <c r="BV515" s="3"/>
      <c r="BW515" s="1"/>
    </row>
    <row r="516" spans="1:75" x14ac:dyDescent="0.25">
      <c r="A516" s="3" t="s">
        <v>72</v>
      </c>
      <c r="B516" s="3" t="s">
        <v>10341</v>
      </c>
      <c r="C516" s="3" t="s">
        <v>74</v>
      </c>
      <c r="D516" s="3" t="s">
        <v>74</v>
      </c>
      <c r="E516" s="3" t="s">
        <v>74</v>
      </c>
      <c r="F516" s="3" t="s">
        <v>10342</v>
      </c>
      <c r="G516" s="3" t="s">
        <v>74</v>
      </c>
      <c r="H516" s="3" t="s">
        <v>74</v>
      </c>
      <c r="I516" s="3" t="s">
        <v>10343</v>
      </c>
      <c r="J516" s="3" t="s">
        <v>661</v>
      </c>
      <c r="K516" s="3" t="s">
        <v>74</v>
      </c>
      <c r="L516" s="3" t="s">
        <v>74</v>
      </c>
      <c r="M516" s="3" t="s">
        <v>110</v>
      </c>
      <c r="N516" s="3" t="s">
        <v>79</v>
      </c>
      <c r="O516" s="3" t="s">
        <v>74</v>
      </c>
      <c r="P516" s="3" t="s">
        <v>74</v>
      </c>
      <c r="Q516" s="3" t="s">
        <v>74</v>
      </c>
      <c r="R516" s="3" t="s">
        <v>74</v>
      </c>
      <c r="S516" s="3" t="s">
        <v>74</v>
      </c>
      <c r="T516" s="3" t="s">
        <v>10344</v>
      </c>
      <c r="U516" s="3" t="s">
        <v>10345</v>
      </c>
      <c r="V516" s="3" t="s">
        <v>10346</v>
      </c>
      <c r="W516" s="3" t="s">
        <v>10347</v>
      </c>
      <c r="X516" s="3" t="s">
        <v>10348</v>
      </c>
      <c r="Y516" s="3" t="s">
        <v>10349</v>
      </c>
      <c r="Z516" s="3" t="s">
        <v>10350</v>
      </c>
      <c r="AA516" s="3" t="s">
        <v>10351</v>
      </c>
      <c r="AB516" s="3" t="s">
        <v>10352</v>
      </c>
      <c r="AC516" s="3" t="s">
        <v>10353</v>
      </c>
      <c r="AD516" s="3" t="s">
        <v>10354</v>
      </c>
      <c r="AE516" s="3" t="s">
        <v>10355</v>
      </c>
      <c r="AF516" s="3" t="s">
        <v>74</v>
      </c>
      <c r="AG516" s="3">
        <v>64</v>
      </c>
      <c r="AH516" s="3">
        <v>61</v>
      </c>
      <c r="AI516" s="3">
        <v>70</v>
      </c>
      <c r="AJ516" s="3">
        <v>6</v>
      </c>
      <c r="AK516" s="3">
        <v>55</v>
      </c>
      <c r="AL516" s="3" t="s">
        <v>671</v>
      </c>
      <c r="AM516" s="3" t="s">
        <v>124</v>
      </c>
      <c r="AN516" s="3" t="s">
        <v>672</v>
      </c>
      <c r="AO516" s="3" t="s">
        <v>673</v>
      </c>
      <c r="AP516" s="3" t="s">
        <v>674</v>
      </c>
      <c r="AQ516" s="3" t="s">
        <v>74</v>
      </c>
      <c r="AR516" s="3" t="s">
        <v>675</v>
      </c>
      <c r="AS516" s="3" t="s">
        <v>676</v>
      </c>
      <c r="AT516" s="3" t="s">
        <v>260</v>
      </c>
      <c r="AU516" s="3">
        <v>2020</v>
      </c>
      <c r="AV516" s="3">
        <v>52</v>
      </c>
      <c r="AW516" s="3" t="s">
        <v>74</v>
      </c>
      <c r="AX516" s="3" t="s">
        <v>74</v>
      </c>
      <c r="AY516" s="3" t="s">
        <v>74</v>
      </c>
      <c r="AZ516" s="3" t="s">
        <v>74</v>
      </c>
      <c r="BA516" s="3" t="s">
        <v>74</v>
      </c>
      <c r="BB516" s="3" t="s">
        <v>74</v>
      </c>
      <c r="BC516" s="3" t="s">
        <v>74</v>
      </c>
      <c r="BD516" s="3">
        <v>101844</v>
      </c>
      <c r="BE516" s="3" t="s">
        <v>10356</v>
      </c>
      <c r="BF516" s="3" t="str">
        <f>HYPERLINK("http://dx.doi.org/10.1016/j.scs.2019.101844","http://dx.doi.org/10.1016/j.scs.2019.101844")</f>
        <v>http://dx.doi.org/10.1016/j.scs.2019.101844</v>
      </c>
      <c r="BG516" s="3" t="s">
        <v>74</v>
      </c>
      <c r="BH516" s="3" t="s">
        <v>74</v>
      </c>
      <c r="BI516" s="3">
        <v>10</v>
      </c>
      <c r="BJ516" s="3" t="s">
        <v>680</v>
      </c>
      <c r="BK516" s="3" t="s">
        <v>154</v>
      </c>
      <c r="BL516" s="3" t="s">
        <v>681</v>
      </c>
      <c r="BM516" s="3" t="s">
        <v>10357</v>
      </c>
      <c r="BN516" s="3" t="s">
        <v>74</v>
      </c>
      <c r="BO516" s="3" t="s">
        <v>683</v>
      </c>
      <c r="BP516" s="3" t="s">
        <v>74</v>
      </c>
      <c r="BQ516" s="3" t="s">
        <v>74</v>
      </c>
      <c r="BR516" s="3" t="s">
        <v>101</v>
      </c>
      <c r="BS516" s="3" t="s">
        <v>10358</v>
      </c>
      <c r="BT516" s="3" t="str">
        <f>HYPERLINK("https%3A%2F%2Fwww.webofscience.com%2Fwos%2Fwoscc%2Ffull-record%2FWOS:000504058400051","View Full Record in Web of Science")</f>
        <v>View Full Record in Web of Science</v>
      </c>
      <c r="BU516" s="3"/>
      <c r="BV516" s="3"/>
      <c r="BW516" s="1"/>
    </row>
    <row r="517" spans="1:75" x14ac:dyDescent="0.25">
      <c r="A517" s="3" t="s">
        <v>72</v>
      </c>
      <c r="B517" s="3" t="s">
        <v>7584</v>
      </c>
      <c r="C517" s="3" t="s">
        <v>74</v>
      </c>
      <c r="D517" s="3" t="s">
        <v>74</v>
      </c>
      <c r="E517" s="3" t="s">
        <v>74</v>
      </c>
      <c r="F517" s="3" t="s">
        <v>7585</v>
      </c>
      <c r="G517" s="3" t="s">
        <v>74</v>
      </c>
      <c r="H517" s="3" t="s">
        <v>74</v>
      </c>
      <c r="I517" s="3" t="s">
        <v>10359</v>
      </c>
      <c r="J517" s="3" t="s">
        <v>138</v>
      </c>
      <c r="K517" s="3" t="s">
        <v>74</v>
      </c>
      <c r="L517" s="3" t="s">
        <v>74</v>
      </c>
      <c r="M517" s="3" t="s">
        <v>110</v>
      </c>
      <c r="N517" s="3" t="s">
        <v>79</v>
      </c>
      <c r="O517" s="3" t="s">
        <v>74</v>
      </c>
      <c r="P517" s="3" t="s">
        <v>74</v>
      </c>
      <c r="Q517" s="3" t="s">
        <v>74</v>
      </c>
      <c r="R517" s="3" t="s">
        <v>74</v>
      </c>
      <c r="S517" s="3" t="s">
        <v>74</v>
      </c>
      <c r="T517" s="3" t="s">
        <v>10360</v>
      </c>
      <c r="U517" s="3" t="s">
        <v>10361</v>
      </c>
      <c r="V517" s="3" t="s">
        <v>10362</v>
      </c>
      <c r="W517" s="3" t="s">
        <v>10363</v>
      </c>
      <c r="X517" s="3" t="s">
        <v>7592</v>
      </c>
      <c r="Y517" s="3" t="s">
        <v>10364</v>
      </c>
      <c r="Z517" s="3" t="s">
        <v>7594</v>
      </c>
      <c r="AA517" s="3" t="s">
        <v>10365</v>
      </c>
      <c r="AB517" s="3" t="s">
        <v>10366</v>
      </c>
      <c r="AC517" s="3" t="s">
        <v>74</v>
      </c>
      <c r="AD517" s="3" t="s">
        <v>74</v>
      </c>
      <c r="AE517" s="3" t="s">
        <v>74</v>
      </c>
      <c r="AF517" s="3" t="s">
        <v>74</v>
      </c>
      <c r="AG517" s="3">
        <v>41</v>
      </c>
      <c r="AH517" s="3">
        <v>32</v>
      </c>
      <c r="AI517" s="3">
        <v>46</v>
      </c>
      <c r="AJ517" s="3">
        <v>5</v>
      </c>
      <c r="AK517" s="3">
        <v>116</v>
      </c>
      <c r="AL517" s="3" t="s">
        <v>145</v>
      </c>
      <c r="AM517" s="3" t="s">
        <v>146</v>
      </c>
      <c r="AN517" s="3" t="s">
        <v>147</v>
      </c>
      <c r="AO517" s="3" t="s">
        <v>74</v>
      </c>
      <c r="AP517" s="3" t="s">
        <v>148</v>
      </c>
      <c r="AQ517" s="3" t="s">
        <v>74</v>
      </c>
      <c r="AR517" s="3" t="s">
        <v>149</v>
      </c>
      <c r="AS517" s="3" t="s">
        <v>150</v>
      </c>
      <c r="AT517" s="3" t="s">
        <v>608</v>
      </c>
      <c r="AU517" s="3">
        <v>2021</v>
      </c>
      <c r="AV517" s="3">
        <v>13</v>
      </c>
      <c r="AW517" s="3">
        <v>8</v>
      </c>
      <c r="AX517" s="3" t="s">
        <v>74</v>
      </c>
      <c r="AY517" s="3" t="s">
        <v>74</v>
      </c>
      <c r="AZ517" s="3" t="s">
        <v>74</v>
      </c>
      <c r="BA517" s="3" t="s">
        <v>74</v>
      </c>
      <c r="BB517" s="3" t="s">
        <v>74</v>
      </c>
      <c r="BC517" s="3" t="s">
        <v>74</v>
      </c>
      <c r="BD517" s="3">
        <v>4479</v>
      </c>
      <c r="BE517" s="3" t="s">
        <v>10367</v>
      </c>
      <c r="BF517" s="3" t="str">
        <f>HYPERLINK("http://dx.doi.org/10.3390/su13084479","http://dx.doi.org/10.3390/su13084479")</f>
        <v>http://dx.doi.org/10.3390/su13084479</v>
      </c>
      <c r="BG517" s="3" t="s">
        <v>74</v>
      </c>
      <c r="BH517" s="3" t="s">
        <v>74</v>
      </c>
      <c r="BI517" s="3">
        <v>20</v>
      </c>
      <c r="BJ517" s="3" t="s">
        <v>153</v>
      </c>
      <c r="BK517" s="3" t="s">
        <v>154</v>
      </c>
      <c r="BL517" s="3" t="s">
        <v>155</v>
      </c>
      <c r="BM517" s="3" t="s">
        <v>10368</v>
      </c>
      <c r="BN517" s="3" t="s">
        <v>74</v>
      </c>
      <c r="BO517" s="3" t="s">
        <v>133</v>
      </c>
      <c r="BP517" s="3" t="s">
        <v>74</v>
      </c>
      <c r="BQ517" s="3" t="s">
        <v>74</v>
      </c>
      <c r="BR517" s="3" t="s">
        <v>101</v>
      </c>
      <c r="BS517" s="3" t="s">
        <v>10369</v>
      </c>
      <c r="BT517" s="3" t="str">
        <f>HYPERLINK("https%3A%2F%2Fwww.webofscience.com%2Fwos%2Fwoscc%2Ffull-record%2FWOS:000645342300001","View Full Record in Web of Science")</f>
        <v>View Full Record in Web of Science</v>
      </c>
      <c r="BU517" s="3"/>
      <c r="BV517" s="3"/>
      <c r="BW517" s="1"/>
    </row>
    <row r="518" spans="1:75" x14ac:dyDescent="0.25">
      <c r="A518" s="3" t="s">
        <v>72</v>
      </c>
      <c r="B518" s="3" t="s">
        <v>10370</v>
      </c>
      <c r="C518" s="3" t="s">
        <v>74</v>
      </c>
      <c r="D518" s="3" t="s">
        <v>74</v>
      </c>
      <c r="E518" s="3" t="s">
        <v>74</v>
      </c>
      <c r="F518" s="3" t="s">
        <v>10371</v>
      </c>
      <c r="G518" s="3" t="s">
        <v>74</v>
      </c>
      <c r="H518" s="3" t="s">
        <v>74</v>
      </c>
      <c r="I518" s="3" t="s">
        <v>10372</v>
      </c>
      <c r="J518" s="3" t="s">
        <v>138</v>
      </c>
      <c r="K518" s="3" t="s">
        <v>74</v>
      </c>
      <c r="L518" s="3" t="s">
        <v>74</v>
      </c>
      <c r="M518" s="3" t="s">
        <v>110</v>
      </c>
      <c r="N518" s="3" t="s">
        <v>79</v>
      </c>
      <c r="O518" s="3" t="s">
        <v>74</v>
      </c>
      <c r="P518" s="3" t="s">
        <v>74</v>
      </c>
      <c r="Q518" s="3" t="s">
        <v>74</v>
      </c>
      <c r="R518" s="3" t="s">
        <v>74</v>
      </c>
      <c r="S518" s="3" t="s">
        <v>74</v>
      </c>
      <c r="T518" s="3" t="s">
        <v>10373</v>
      </c>
      <c r="U518" s="3" t="s">
        <v>10374</v>
      </c>
      <c r="V518" s="3" t="s">
        <v>10375</v>
      </c>
      <c r="W518" s="3" t="s">
        <v>10376</v>
      </c>
      <c r="X518" s="3" t="s">
        <v>10377</v>
      </c>
      <c r="Y518" s="3" t="s">
        <v>10378</v>
      </c>
      <c r="Z518" s="3" t="s">
        <v>10379</v>
      </c>
      <c r="AA518" s="3" t="s">
        <v>10380</v>
      </c>
      <c r="AB518" s="3" t="s">
        <v>74</v>
      </c>
      <c r="AC518" s="3" t="s">
        <v>10381</v>
      </c>
      <c r="AD518" s="3" t="s">
        <v>10382</v>
      </c>
      <c r="AE518" s="3" t="s">
        <v>10383</v>
      </c>
      <c r="AF518" s="3" t="s">
        <v>74</v>
      </c>
      <c r="AG518" s="3">
        <v>72</v>
      </c>
      <c r="AH518" s="3">
        <v>4</v>
      </c>
      <c r="AI518" s="3">
        <v>5</v>
      </c>
      <c r="AJ518" s="3">
        <v>9</v>
      </c>
      <c r="AK518" s="3">
        <v>77</v>
      </c>
      <c r="AL518" s="3" t="s">
        <v>145</v>
      </c>
      <c r="AM518" s="3" t="s">
        <v>146</v>
      </c>
      <c r="AN518" s="3" t="s">
        <v>147</v>
      </c>
      <c r="AO518" s="3" t="s">
        <v>74</v>
      </c>
      <c r="AP518" s="3" t="s">
        <v>148</v>
      </c>
      <c r="AQ518" s="3" t="s">
        <v>74</v>
      </c>
      <c r="AR518" s="3" t="s">
        <v>149</v>
      </c>
      <c r="AS518" s="3" t="s">
        <v>150</v>
      </c>
      <c r="AT518" s="3" t="s">
        <v>283</v>
      </c>
      <c r="AU518" s="3">
        <v>2022</v>
      </c>
      <c r="AV518" s="3">
        <v>14</v>
      </c>
      <c r="AW518" s="3">
        <v>15</v>
      </c>
      <c r="AX518" s="3" t="s">
        <v>74</v>
      </c>
      <c r="AY518" s="3" t="s">
        <v>74</v>
      </c>
      <c r="AZ518" s="3" t="s">
        <v>74</v>
      </c>
      <c r="BA518" s="3" t="s">
        <v>74</v>
      </c>
      <c r="BB518" s="3" t="s">
        <v>74</v>
      </c>
      <c r="BC518" s="3" t="s">
        <v>74</v>
      </c>
      <c r="BD518" s="3">
        <v>9268</v>
      </c>
      <c r="BE518" s="3" t="s">
        <v>10384</v>
      </c>
      <c r="BF518" s="3" t="str">
        <f>HYPERLINK("http://dx.doi.org/10.3390/su14159268","http://dx.doi.org/10.3390/su14159268")</f>
        <v>http://dx.doi.org/10.3390/su14159268</v>
      </c>
      <c r="BG518" s="3" t="s">
        <v>74</v>
      </c>
      <c r="BH518" s="3" t="s">
        <v>74</v>
      </c>
      <c r="BI518" s="3">
        <v>23</v>
      </c>
      <c r="BJ518" s="3" t="s">
        <v>153</v>
      </c>
      <c r="BK518" s="3" t="s">
        <v>154</v>
      </c>
      <c r="BL518" s="3" t="s">
        <v>155</v>
      </c>
      <c r="BM518" s="3" t="s">
        <v>10385</v>
      </c>
      <c r="BN518" s="3" t="s">
        <v>74</v>
      </c>
      <c r="BO518" s="3" t="s">
        <v>133</v>
      </c>
      <c r="BP518" s="3" t="s">
        <v>74</v>
      </c>
      <c r="BQ518" s="3" t="s">
        <v>74</v>
      </c>
      <c r="BR518" s="3" t="s">
        <v>101</v>
      </c>
      <c r="BS518" s="3" t="s">
        <v>10386</v>
      </c>
      <c r="BT518" s="3" t="str">
        <f>HYPERLINK("https%3A%2F%2Fwww.webofscience.com%2Fwos%2Fwoscc%2Ffull-record%2FWOS:000839146800001","View Full Record in Web of Science")</f>
        <v>View Full Record in Web of Science</v>
      </c>
      <c r="BU518" s="3"/>
      <c r="BV518" s="3"/>
      <c r="BW518" s="1"/>
    </row>
    <row r="519" spans="1:75" x14ac:dyDescent="0.25">
      <c r="A519" s="3" t="s">
        <v>72</v>
      </c>
      <c r="B519" s="3" t="s">
        <v>10387</v>
      </c>
      <c r="C519" s="3" t="s">
        <v>74</v>
      </c>
      <c r="D519" s="3" t="s">
        <v>74</v>
      </c>
      <c r="E519" s="3" t="s">
        <v>74</v>
      </c>
      <c r="F519" s="3" t="s">
        <v>10388</v>
      </c>
      <c r="G519" s="3" t="s">
        <v>74</v>
      </c>
      <c r="H519" s="3" t="s">
        <v>74</v>
      </c>
      <c r="I519" s="3" t="s">
        <v>10389</v>
      </c>
      <c r="J519" s="3" t="s">
        <v>5164</v>
      </c>
      <c r="K519" s="3" t="s">
        <v>74</v>
      </c>
      <c r="L519" s="3" t="s">
        <v>74</v>
      </c>
      <c r="M519" s="3" t="s">
        <v>110</v>
      </c>
      <c r="N519" s="3" t="s">
        <v>216</v>
      </c>
      <c r="O519" s="3" t="s">
        <v>74</v>
      </c>
      <c r="P519" s="3" t="s">
        <v>74</v>
      </c>
      <c r="Q519" s="3" t="s">
        <v>74</v>
      </c>
      <c r="R519" s="3" t="s">
        <v>74</v>
      </c>
      <c r="S519" s="3" t="s">
        <v>74</v>
      </c>
      <c r="T519" s="3" t="s">
        <v>10390</v>
      </c>
      <c r="U519" s="3" t="s">
        <v>10391</v>
      </c>
      <c r="V519" s="3" t="s">
        <v>10392</v>
      </c>
      <c r="W519" s="3" t="s">
        <v>10393</v>
      </c>
      <c r="X519" s="3" t="s">
        <v>10394</v>
      </c>
      <c r="Y519" s="3" t="s">
        <v>10395</v>
      </c>
      <c r="Z519" s="3" t="s">
        <v>10396</v>
      </c>
      <c r="AA519" s="3" t="s">
        <v>10397</v>
      </c>
      <c r="AB519" s="3" t="s">
        <v>10398</v>
      </c>
      <c r="AC519" s="3" t="s">
        <v>74</v>
      </c>
      <c r="AD519" s="3" t="s">
        <v>74</v>
      </c>
      <c r="AE519" s="3" t="s">
        <v>74</v>
      </c>
      <c r="AF519" s="3" t="s">
        <v>74</v>
      </c>
      <c r="AG519" s="3">
        <v>139</v>
      </c>
      <c r="AH519" s="3">
        <v>24</v>
      </c>
      <c r="AI519" s="3">
        <v>31</v>
      </c>
      <c r="AJ519" s="3">
        <v>2</v>
      </c>
      <c r="AK519" s="3">
        <v>26</v>
      </c>
      <c r="AL519" s="3" t="s">
        <v>1120</v>
      </c>
      <c r="AM519" s="3" t="s">
        <v>200</v>
      </c>
      <c r="AN519" s="3" t="s">
        <v>1559</v>
      </c>
      <c r="AO519" s="3" t="s">
        <v>5178</v>
      </c>
      <c r="AP519" s="3" t="s">
        <v>5179</v>
      </c>
      <c r="AQ519" s="3" t="s">
        <v>74</v>
      </c>
      <c r="AR519" s="3" t="s">
        <v>5180</v>
      </c>
      <c r="AS519" s="3" t="s">
        <v>5181</v>
      </c>
      <c r="AT519" s="3" t="s">
        <v>10399</v>
      </c>
      <c r="AU519" s="3">
        <v>2021</v>
      </c>
      <c r="AV519" s="3">
        <v>13</v>
      </c>
      <c r="AW519" s="3">
        <v>1</v>
      </c>
      <c r="AX519" s="3" t="s">
        <v>74</v>
      </c>
      <c r="AY519" s="3" t="s">
        <v>74</v>
      </c>
      <c r="AZ519" s="3" t="s">
        <v>74</v>
      </c>
      <c r="BA519" s="3" t="s">
        <v>74</v>
      </c>
      <c r="BB519" s="3" t="s">
        <v>74</v>
      </c>
      <c r="BC519" s="3" t="s">
        <v>74</v>
      </c>
      <c r="BD519" s="3">
        <v>28</v>
      </c>
      <c r="BE519" s="3" t="s">
        <v>10400</v>
      </c>
      <c r="BF519" s="3" t="str">
        <f>HYPERLINK("http://dx.doi.org/10.1186/s12544-021-00487-1","http://dx.doi.org/10.1186/s12544-021-00487-1")</f>
        <v>http://dx.doi.org/10.1186/s12544-021-00487-1</v>
      </c>
      <c r="BG519" s="3" t="s">
        <v>74</v>
      </c>
      <c r="BH519" s="3" t="s">
        <v>74</v>
      </c>
      <c r="BI519" s="3">
        <v>14</v>
      </c>
      <c r="BJ519" s="3" t="s">
        <v>129</v>
      </c>
      <c r="BK519" s="3" t="s">
        <v>154</v>
      </c>
      <c r="BL519" s="3" t="s">
        <v>131</v>
      </c>
      <c r="BM519" s="3" t="s">
        <v>10401</v>
      </c>
      <c r="BN519" s="3" t="s">
        <v>74</v>
      </c>
      <c r="BO519" s="3" t="s">
        <v>100</v>
      </c>
      <c r="BP519" s="3" t="s">
        <v>74</v>
      </c>
      <c r="BQ519" s="3" t="s">
        <v>74</v>
      </c>
      <c r="BR519" s="3" t="s">
        <v>101</v>
      </c>
      <c r="BS519" s="3" t="s">
        <v>10402</v>
      </c>
      <c r="BT519" s="3" t="str">
        <f>HYPERLINK("https%3A%2F%2Fwww.webofscience.com%2Fwos%2Fwoscc%2Ffull-record%2FWOS:000651451200002","View Full Record in Web of Science")</f>
        <v>View Full Record in Web of Science</v>
      </c>
      <c r="BU519" s="3"/>
      <c r="BV519" s="3"/>
      <c r="BW519" s="1"/>
    </row>
    <row r="520" spans="1:75" x14ac:dyDescent="0.25">
      <c r="A520" s="3" t="s">
        <v>103</v>
      </c>
      <c r="B520" s="3" t="s">
        <v>10403</v>
      </c>
      <c r="C520" s="3" t="s">
        <v>74</v>
      </c>
      <c r="D520" s="3" t="s">
        <v>7325</v>
      </c>
      <c r="E520" s="3" t="s">
        <v>74</v>
      </c>
      <c r="F520" s="3" t="s">
        <v>10404</v>
      </c>
      <c r="G520" s="3" t="s">
        <v>74</v>
      </c>
      <c r="H520" s="3" t="s">
        <v>74</v>
      </c>
      <c r="I520" s="3" t="s">
        <v>10405</v>
      </c>
      <c r="J520" s="3" t="s">
        <v>7328</v>
      </c>
      <c r="K520" s="3" t="s">
        <v>7329</v>
      </c>
      <c r="L520" s="3" t="s">
        <v>74</v>
      </c>
      <c r="M520" s="3" t="s">
        <v>110</v>
      </c>
      <c r="N520" s="3" t="s">
        <v>111</v>
      </c>
      <c r="O520" s="3" t="s">
        <v>7330</v>
      </c>
      <c r="P520" s="3" t="s">
        <v>7331</v>
      </c>
      <c r="Q520" s="3" t="s">
        <v>7332</v>
      </c>
      <c r="R520" s="3" t="s">
        <v>74</v>
      </c>
      <c r="S520" s="3" t="s">
        <v>74</v>
      </c>
      <c r="T520" s="3" t="s">
        <v>10406</v>
      </c>
      <c r="U520" s="3" t="s">
        <v>74</v>
      </c>
      <c r="V520" s="3" t="s">
        <v>10407</v>
      </c>
      <c r="W520" s="3" t="s">
        <v>10408</v>
      </c>
      <c r="X520" s="3" t="s">
        <v>74</v>
      </c>
      <c r="Y520" s="3" t="s">
        <v>10409</v>
      </c>
      <c r="Z520" s="3" t="s">
        <v>10410</v>
      </c>
      <c r="AA520" s="3" t="s">
        <v>74</v>
      </c>
      <c r="AB520" s="3" t="s">
        <v>74</v>
      </c>
      <c r="AC520" s="3" t="s">
        <v>10411</v>
      </c>
      <c r="AD520" s="3" t="s">
        <v>10411</v>
      </c>
      <c r="AE520" s="3" t="s">
        <v>10412</v>
      </c>
      <c r="AF520" s="3" t="s">
        <v>74</v>
      </c>
      <c r="AG520" s="3">
        <v>4</v>
      </c>
      <c r="AH520" s="3">
        <v>0</v>
      </c>
      <c r="AI520" s="3">
        <v>0</v>
      </c>
      <c r="AJ520" s="3">
        <v>0</v>
      </c>
      <c r="AK520" s="3">
        <v>0</v>
      </c>
      <c r="AL520" s="3" t="s">
        <v>374</v>
      </c>
      <c r="AM520" s="3" t="s">
        <v>375</v>
      </c>
      <c r="AN520" s="3" t="s">
        <v>376</v>
      </c>
      <c r="AO520" s="3" t="s">
        <v>7342</v>
      </c>
      <c r="AP520" s="3" t="s">
        <v>7343</v>
      </c>
      <c r="AQ520" s="3" t="s">
        <v>7344</v>
      </c>
      <c r="AR520" s="3" t="s">
        <v>7345</v>
      </c>
      <c r="AS520" s="3" t="s">
        <v>74</v>
      </c>
      <c r="AT520" s="3" t="s">
        <v>74</v>
      </c>
      <c r="AU520" s="3">
        <v>2025</v>
      </c>
      <c r="AV520" s="3" t="s">
        <v>74</v>
      </c>
      <c r="AW520" s="3" t="s">
        <v>74</v>
      </c>
      <c r="AX520" s="3" t="s">
        <v>74</v>
      </c>
      <c r="AY520" s="3" t="s">
        <v>74</v>
      </c>
      <c r="AZ520" s="3" t="s">
        <v>74</v>
      </c>
      <c r="BA520" s="3" t="s">
        <v>74</v>
      </c>
      <c r="BB520" s="3">
        <v>324</v>
      </c>
      <c r="BC520" s="3">
        <v>331</v>
      </c>
      <c r="BD520" s="3" t="s">
        <v>74</v>
      </c>
      <c r="BE520" s="3" t="s">
        <v>10413</v>
      </c>
      <c r="BF520" s="3" t="str">
        <f>HYPERLINK("http://dx.doi.org/10.1007/978-3-031-95284-5_46","http://dx.doi.org/10.1007/978-3-031-95284-5_46")</f>
        <v>http://dx.doi.org/10.1007/978-3-031-95284-5_46</v>
      </c>
      <c r="BG520" s="3" t="s">
        <v>74</v>
      </c>
      <c r="BH520" s="3" t="s">
        <v>74</v>
      </c>
      <c r="BI520" s="3">
        <v>8</v>
      </c>
      <c r="BJ520" s="3" t="s">
        <v>129</v>
      </c>
      <c r="BK520" s="3" t="s">
        <v>130</v>
      </c>
      <c r="BL520" s="3" t="s">
        <v>131</v>
      </c>
      <c r="BM520" s="3" t="s">
        <v>7347</v>
      </c>
      <c r="BN520" s="3" t="s">
        <v>74</v>
      </c>
      <c r="BO520" s="3" t="s">
        <v>884</v>
      </c>
      <c r="BP520" s="3" t="s">
        <v>74</v>
      </c>
      <c r="BQ520" s="3" t="s">
        <v>74</v>
      </c>
      <c r="BR520" s="3" t="s">
        <v>101</v>
      </c>
      <c r="BS520" s="3" t="s">
        <v>10414</v>
      </c>
      <c r="BT520" s="3" t="str">
        <f>HYPERLINK("https%3A%2F%2Fwww.webofscience.com%2Fwos%2Fwoscc%2Ffull-record%2FWOS:001576316800046","View Full Record in Web of Science")</f>
        <v>View Full Record in Web of Science</v>
      </c>
      <c r="BU520" s="3"/>
      <c r="BV520" s="3"/>
      <c r="BW520" s="1"/>
    </row>
    <row r="521" spans="1:75" x14ac:dyDescent="0.25">
      <c r="A521" s="3" t="s">
        <v>72</v>
      </c>
      <c r="B521" s="3" t="s">
        <v>10415</v>
      </c>
      <c r="C521" s="3" t="s">
        <v>74</v>
      </c>
      <c r="D521" s="3" t="s">
        <v>74</v>
      </c>
      <c r="E521" s="3" t="s">
        <v>74</v>
      </c>
      <c r="F521" s="3" t="s">
        <v>10416</v>
      </c>
      <c r="G521" s="3" t="s">
        <v>74</v>
      </c>
      <c r="H521" s="3" t="s">
        <v>74</v>
      </c>
      <c r="I521" s="3" t="s">
        <v>10417</v>
      </c>
      <c r="J521" s="3" t="s">
        <v>1261</v>
      </c>
      <c r="K521" s="3" t="s">
        <v>74</v>
      </c>
      <c r="L521" s="3" t="s">
        <v>74</v>
      </c>
      <c r="M521" s="3" t="s">
        <v>110</v>
      </c>
      <c r="N521" s="3" t="s">
        <v>79</v>
      </c>
      <c r="O521" s="3" t="s">
        <v>74</v>
      </c>
      <c r="P521" s="3" t="s">
        <v>74</v>
      </c>
      <c r="Q521" s="3" t="s">
        <v>74</v>
      </c>
      <c r="R521" s="3" t="s">
        <v>74</v>
      </c>
      <c r="S521" s="3" t="s">
        <v>74</v>
      </c>
      <c r="T521" s="3" t="s">
        <v>10418</v>
      </c>
      <c r="U521" s="3" t="s">
        <v>10419</v>
      </c>
      <c r="V521" s="3" t="s">
        <v>10420</v>
      </c>
      <c r="W521" s="3" t="s">
        <v>10421</v>
      </c>
      <c r="X521" s="3" t="s">
        <v>10422</v>
      </c>
      <c r="Y521" s="3" t="s">
        <v>10423</v>
      </c>
      <c r="Z521" s="3" t="s">
        <v>10424</v>
      </c>
      <c r="AA521" s="3" t="s">
        <v>10425</v>
      </c>
      <c r="AB521" s="3" t="s">
        <v>10426</v>
      </c>
      <c r="AC521" s="3" t="s">
        <v>10427</v>
      </c>
      <c r="AD521" s="3" t="s">
        <v>10428</v>
      </c>
      <c r="AE521" s="3" t="s">
        <v>10429</v>
      </c>
      <c r="AF521" s="3" t="s">
        <v>74</v>
      </c>
      <c r="AG521" s="3">
        <v>45</v>
      </c>
      <c r="AH521" s="3">
        <v>12</v>
      </c>
      <c r="AI521" s="3">
        <v>15</v>
      </c>
      <c r="AJ521" s="3">
        <v>5</v>
      </c>
      <c r="AK521" s="3">
        <v>8</v>
      </c>
      <c r="AL521" s="3" t="s">
        <v>145</v>
      </c>
      <c r="AM521" s="3" t="s">
        <v>146</v>
      </c>
      <c r="AN521" s="3" t="s">
        <v>279</v>
      </c>
      <c r="AO521" s="3" t="s">
        <v>74</v>
      </c>
      <c r="AP521" s="3" t="s">
        <v>1274</v>
      </c>
      <c r="AQ521" s="3" t="s">
        <v>74</v>
      </c>
      <c r="AR521" s="3" t="s">
        <v>1275</v>
      </c>
      <c r="AS521" s="3" t="s">
        <v>1276</v>
      </c>
      <c r="AT521" s="3" t="s">
        <v>151</v>
      </c>
      <c r="AU521" s="3">
        <v>2021</v>
      </c>
      <c r="AV521" s="3">
        <v>1</v>
      </c>
      <c r="AW521" s="3">
        <v>3</v>
      </c>
      <c r="AX521" s="3" t="s">
        <v>74</v>
      </c>
      <c r="AY521" s="3" t="s">
        <v>74</v>
      </c>
      <c r="AZ521" s="3" t="s">
        <v>74</v>
      </c>
      <c r="BA521" s="3" t="s">
        <v>74</v>
      </c>
      <c r="BB521" s="3">
        <v>639</v>
      </c>
      <c r="BC521" s="3">
        <v>656</v>
      </c>
      <c r="BD521" s="3" t="s">
        <v>74</v>
      </c>
      <c r="BE521" s="3" t="s">
        <v>10430</v>
      </c>
      <c r="BF521" s="3" t="str">
        <f>HYPERLINK("http://dx.doi.org/10.3390/futuretransp1030034","http://dx.doi.org/10.3390/futuretransp1030034")</f>
        <v>http://dx.doi.org/10.3390/futuretransp1030034</v>
      </c>
      <c r="BG521" s="3" t="s">
        <v>74</v>
      </c>
      <c r="BH521" s="3" t="s">
        <v>74</v>
      </c>
      <c r="BI521" s="3">
        <v>18</v>
      </c>
      <c r="BJ521" s="3" t="s">
        <v>129</v>
      </c>
      <c r="BK521" s="3" t="s">
        <v>97</v>
      </c>
      <c r="BL521" s="3" t="s">
        <v>131</v>
      </c>
      <c r="BM521" s="3" t="s">
        <v>10431</v>
      </c>
      <c r="BN521" s="3" t="s">
        <v>74</v>
      </c>
      <c r="BO521" s="3" t="s">
        <v>133</v>
      </c>
      <c r="BP521" s="3" t="s">
        <v>74</v>
      </c>
      <c r="BQ521" s="3" t="s">
        <v>74</v>
      </c>
      <c r="BR521" s="3" t="s">
        <v>101</v>
      </c>
      <c r="BS521" s="3" t="s">
        <v>10432</v>
      </c>
      <c r="BT521" s="3" t="str">
        <f>HYPERLINK("https%3A%2F%2Fwww.webofscience.com%2Fwos%2Fwoscc%2Ffull-record%2FWOS:001274264500001","View Full Record in Web of Science")</f>
        <v>View Full Record in Web of Science</v>
      </c>
      <c r="BU521" s="3"/>
      <c r="BV521" s="3"/>
      <c r="BW521" s="1"/>
    </row>
    <row r="522" spans="1:75" x14ac:dyDescent="0.25">
      <c r="A522" s="3" t="s">
        <v>72</v>
      </c>
      <c r="B522" s="3" t="s">
        <v>10433</v>
      </c>
      <c r="C522" s="3" t="s">
        <v>74</v>
      </c>
      <c r="D522" s="3" t="s">
        <v>74</v>
      </c>
      <c r="E522" s="3" t="s">
        <v>74</v>
      </c>
      <c r="F522" s="3" t="s">
        <v>10434</v>
      </c>
      <c r="G522" s="3" t="s">
        <v>74</v>
      </c>
      <c r="H522" s="3" t="s">
        <v>74</v>
      </c>
      <c r="I522" s="3" t="s">
        <v>10435</v>
      </c>
      <c r="J522" s="3" t="s">
        <v>138</v>
      </c>
      <c r="K522" s="3" t="s">
        <v>74</v>
      </c>
      <c r="L522" s="3" t="s">
        <v>74</v>
      </c>
      <c r="M522" s="3" t="s">
        <v>110</v>
      </c>
      <c r="N522" s="3" t="s">
        <v>216</v>
      </c>
      <c r="O522" s="3" t="s">
        <v>74</v>
      </c>
      <c r="P522" s="3" t="s">
        <v>74</v>
      </c>
      <c r="Q522" s="3" t="s">
        <v>74</v>
      </c>
      <c r="R522" s="3" t="s">
        <v>74</v>
      </c>
      <c r="S522" s="3" t="s">
        <v>74</v>
      </c>
      <c r="T522" s="3" t="s">
        <v>10436</v>
      </c>
      <c r="U522" s="3" t="s">
        <v>10437</v>
      </c>
      <c r="V522" s="3" t="s">
        <v>10438</v>
      </c>
      <c r="W522" s="3" t="s">
        <v>10439</v>
      </c>
      <c r="X522" s="3" t="s">
        <v>10440</v>
      </c>
      <c r="Y522" s="3" t="s">
        <v>10441</v>
      </c>
      <c r="Z522" s="3" t="s">
        <v>10442</v>
      </c>
      <c r="AA522" s="3" t="s">
        <v>10443</v>
      </c>
      <c r="AB522" s="3" t="s">
        <v>10444</v>
      </c>
      <c r="AC522" s="3" t="s">
        <v>10445</v>
      </c>
      <c r="AD522" s="3" t="s">
        <v>10446</v>
      </c>
      <c r="AE522" s="3" t="s">
        <v>10447</v>
      </c>
      <c r="AF522" s="3" t="s">
        <v>74</v>
      </c>
      <c r="AG522" s="3">
        <v>135</v>
      </c>
      <c r="AH522" s="3">
        <v>3</v>
      </c>
      <c r="AI522" s="3">
        <v>6</v>
      </c>
      <c r="AJ522" s="3">
        <v>2</v>
      </c>
      <c r="AK522" s="3">
        <v>27</v>
      </c>
      <c r="AL522" s="3" t="s">
        <v>145</v>
      </c>
      <c r="AM522" s="3" t="s">
        <v>146</v>
      </c>
      <c r="AN522" s="3" t="s">
        <v>147</v>
      </c>
      <c r="AO522" s="3" t="s">
        <v>74</v>
      </c>
      <c r="AP522" s="3" t="s">
        <v>148</v>
      </c>
      <c r="AQ522" s="3" t="s">
        <v>74</v>
      </c>
      <c r="AR522" s="3" t="s">
        <v>149</v>
      </c>
      <c r="AS522" s="3" t="s">
        <v>150</v>
      </c>
      <c r="AT522" s="3" t="s">
        <v>260</v>
      </c>
      <c r="AU522" s="3">
        <v>2022</v>
      </c>
      <c r="AV522" s="3">
        <v>14</v>
      </c>
      <c r="AW522" s="3">
        <v>1</v>
      </c>
      <c r="AX522" s="3" t="s">
        <v>74</v>
      </c>
      <c r="AY522" s="3" t="s">
        <v>74</v>
      </c>
      <c r="AZ522" s="3" t="s">
        <v>74</v>
      </c>
      <c r="BA522" s="3" t="s">
        <v>74</v>
      </c>
      <c r="BB522" s="3" t="s">
        <v>74</v>
      </c>
      <c r="BC522" s="3" t="s">
        <v>74</v>
      </c>
      <c r="BD522" s="3">
        <v>17</v>
      </c>
      <c r="BE522" s="3" t="s">
        <v>10448</v>
      </c>
      <c r="BF522" s="3" t="str">
        <f>HYPERLINK("http://dx.doi.org/10.3390/su14010017","http://dx.doi.org/10.3390/su14010017")</f>
        <v>http://dx.doi.org/10.3390/su14010017</v>
      </c>
      <c r="BG522" s="3" t="s">
        <v>74</v>
      </c>
      <c r="BH522" s="3" t="s">
        <v>74</v>
      </c>
      <c r="BI522" s="3">
        <v>21</v>
      </c>
      <c r="BJ522" s="3" t="s">
        <v>153</v>
      </c>
      <c r="BK522" s="3" t="s">
        <v>154</v>
      </c>
      <c r="BL522" s="3" t="s">
        <v>155</v>
      </c>
      <c r="BM522" s="3" t="s">
        <v>10449</v>
      </c>
      <c r="BN522" s="3" t="s">
        <v>74</v>
      </c>
      <c r="BO522" s="3" t="s">
        <v>133</v>
      </c>
      <c r="BP522" s="3" t="s">
        <v>74</v>
      </c>
      <c r="BQ522" s="3" t="s">
        <v>74</v>
      </c>
      <c r="BR522" s="3" t="s">
        <v>101</v>
      </c>
      <c r="BS522" s="3" t="s">
        <v>10450</v>
      </c>
      <c r="BT522" s="3" t="str">
        <f>HYPERLINK("https%3A%2F%2Fwww.webofscience.com%2Fwos%2Fwoscc%2Ffull-record%2FWOS:000751019200001","View Full Record in Web of Science")</f>
        <v>View Full Record in Web of Science</v>
      </c>
      <c r="BU522" s="3"/>
      <c r="BV522" s="3"/>
      <c r="BW522" s="1"/>
    </row>
    <row r="523" spans="1:75" x14ac:dyDescent="0.25">
      <c r="A523" s="3" t="s">
        <v>72</v>
      </c>
      <c r="B523" s="3" t="s">
        <v>10451</v>
      </c>
      <c r="C523" s="3" t="s">
        <v>74</v>
      </c>
      <c r="D523" s="3" t="s">
        <v>74</v>
      </c>
      <c r="E523" s="3" t="s">
        <v>74</v>
      </c>
      <c r="F523" s="3" t="s">
        <v>10452</v>
      </c>
      <c r="G523" s="3" t="s">
        <v>74</v>
      </c>
      <c r="H523" s="3" t="s">
        <v>74</v>
      </c>
      <c r="I523" s="3" t="s">
        <v>10453</v>
      </c>
      <c r="J523" s="3" t="s">
        <v>10454</v>
      </c>
      <c r="K523" s="3" t="s">
        <v>74</v>
      </c>
      <c r="L523" s="3" t="s">
        <v>74</v>
      </c>
      <c r="M523" s="3" t="s">
        <v>110</v>
      </c>
      <c r="N523" s="3" t="s">
        <v>216</v>
      </c>
      <c r="O523" s="3" t="s">
        <v>74</v>
      </c>
      <c r="P523" s="3" t="s">
        <v>74</v>
      </c>
      <c r="Q523" s="3" t="s">
        <v>74</v>
      </c>
      <c r="R523" s="3" t="s">
        <v>74</v>
      </c>
      <c r="S523" s="3" t="s">
        <v>74</v>
      </c>
      <c r="T523" s="3" t="s">
        <v>10455</v>
      </c>
      <c r="U523" s="3" t="s">
        <v>10456</v>
      </c>
      <c r="V523" s="3" t="s">
        <v>10457</v>
      </c>
      <c r="W523" s="3" t="s">
        <v>10458</v>
      </c>
      <c r="X523" s="3" t="s">
        <v>10459</v>
      </c>
      <c r="Y523" s="3" t="s">
        <v>10460</v>
      </c>
      <c r="Z523" s="3" t="s">
        <v>10461</v>
      </c>
      <c r="AA523" s="3" t="s">
        <v>74</v>
      </c>
      <c r="AB523" s="3" t="s">
        <v>10462</v>
      </c>
      <c r="AC523" s="3" t="s">
        <v>10463</v>
      </c>
      <c r="AD523" s="3" t="s">
        <v>10464</v>
      </c>
      <c r="AE523" s="3" t="s">
        <v>10465</v>
      </c>
      <c r="AF523" s="3" t="s">
        <v>74</v>
      </c>
      <c r="AG523" s="3">
        <v>75</v>
      </c>
      <c r="AH523" s="3">
        <v>2</v>
      </c>
      <c r="AI523" s="3">
        <v>2</v>
      </c>
      <c r="AJ523" s="3">
        <v>0</v>
      </c>
      <c r="AK523" s="3">
        <v>12</v>
      </c>
      <c r="AL523" s="3" t="s">
        <v>2834</v>
      </c>
      <c r="AM523" s="3" t="s">
        <v>2835</v>
      </c>
      <c r="AN523" s="3" t="s">
        <v>2836</v>
      </c>
      <c r="AO523" s="3" t="s">
        <v>74</v>
      </c>
      <c r="AP523" s="3" t="s">
        <v>10466</v>
      </c>
      <c r="AQ523" s="3" t="s">
        <v>74</v>
      </c>
      <c r="AR523" s="3" t="s">
        <v>10467</v>
      </c>
      <c r="AS523" s="3" t="s">
        <v>10468</v>
      </c>
      <c r="AT523" s="3" t="s">
        <v>10469</v>
      </c>
      <c r="AU523" s="3">
        <v>2023</v>
      </c>
      <c r="AV523" s="3">
        <v>9</v>
      </c>
      <c r="AW523" s="3" t="s">
        <v>74</v>
      </c>
      <c r="AX523" s="3" t="s">
        <v>74</v>
      </c>
      <c r="AY523" s="3" t="s">
        <v>74</v>
      </c>
      <c r="AZ523" s="3" t="s">
        <v>74</v>
      </c>
      <c r="BA523" s="3" t="s">
        <v>74</v>
      </c>
      <c r="BB523" s="3" t="s">
        <v>74</v>
      </c>
      <c r="BC523" s="3" t="s">
        <v>74</v>
      </c>
      <c r="BD523" s="3">
        <v>1202091</v>
      </c>
      <c r="BE523" s="3" t="s">
        <v>10470</v>
      </c>
      <c r="BF523" s="3" t="str">
        <f>HYPERLINK("http://dx.doi.org/10.3389/fbuil.2023.1202091","http://dx.doi.org/10.3389/fbuil.2023.1202091")</f>
        <v>http://dx.doi.org/10.3389/fbuil.2023.1202091</v>
      </c>
      <c r="BG523" s="3" t="s">
        <v>74</v>
      </c>
      <c r="BH523" s="3" t="s">
        <v>74</v>
      </c>
      <c r="BI523" s="3">
        <v>17</v>
      </c>
      <c r="BJ523" s="3" t="s">
        <v>1777</v>
      </c>
      <c r="BK523" s="3" t="s">
        <v>97</v>
      </c>
      <c r="BL523" s="3" t="s">
        <v>994</v>
      </c>
      <c r="BM523" s="3" t="s">
        <v>10471</v>
      </c>
      <c r="BN523" s="3" t="s">
        <v>74</v>
      </c>
      <c r="BO523" s="3" t="s">
        <v>100</v>
      </c>
      <c r="BP523" s="3" t="s">
        <v>74</v>
      </c>
      <c r="BQ523" s="3" t="s">
        <v>74</v>
      </c>
      <c r="BR523" s="3" t="s">
        <v>101</v>
      </c>
      <c r="BS523" s="3" t="s">
        <v>10472</v>
      </c>
      <c r="BT523" s="3" t="str">
        <f>HYPERLINK("https%3A%2F%2Fwww.webofscience.com%2Fwos%2Fwoscc%2Ffull-record%2FWOS:001089300100001","View Full Record in Web of Science")</f>
        <v>View Full Record in Web of Science</v>
      </c>
      <c r="BU523" s="3"/>
      <c r="BV523" s="3"/>
      <c r="BW523" s="1"/>
    </row>
    <row r="524" spans="1:75" x14ac:dyDescent="0.25">
      <c r="A524" s="3" t="s">
        <v>72</v>
      </c>
      <c r="B524" s="3" t="s">
        <v>10473</v>
      </c>
      <c r="C524" s="3" t="s">
        <v>74</v>
      </c>
      <c r="D524" s="3" t="s">
        <v>74</v>
      </c>
      <c r="E524" s="3" t="s">
        <v>74</v>
      </c>
      <c r="F524" s="3" t="s">
        <v>10474</v>
      </c>
      <c r="G524" s="3" t="s">
        <v>74</v>
      </c>
      <c r="H524" s="3" t="s">
        <v>74</v>
      </c>
      <c r="I524" s="3" t="s">
        <v>10475</v>
      </c>
      <c r="J524" s="3" t="s">
        <v>10476</v>
      </c>
      <c r="K524" s="3" t="s">
        <v>74</v>
      </c>
      <c r="L524" s="3" t="s">
        <v>74</v>
      </c>
      <c r="M524" s="3" t="s">
        <v>110</v>
      </c>
      <c r="N524" s="3" t="s">
        <v>216</v>
      </c>
      <c r="O524" s="3" t="s">
        <v>74</v>
      </c>
      <c r="P524" s="3" t="s">
        <v>74</v>
      </c>
      <c r="Q524" s="3" t="s">
        <v>74</v>
      </c>
      <c r="R524" s="3" t="s">
        <v>74</v>
      </c>
      <c r="S524" s="3" t="s">
        <v>74</v>
      </c>
      <c r="T524" s="3" t="s">
        <v>10477</v>
      </c>
      <c r="U524" s="3" t="s">
        <v>10478</v>
      </c>
      <c r="V524" s="3" t="s">
        <v>10479</v>
      </c>
      <c r="W524" s="3" t="s">
        <v>10480</v>
      </c>
      <c r="X524" s="3" t="s">
        <v>10481</v>
      </c>
      <c r="Y524" s="3" t="s">
        <v>10482</v>
      </c>
      <c r="Z524" s="3" t="s">
        <v>10483</v>
      </c>
      <c r="AA524" s="3" t="s">
        <v>10484</v>
      </c>
      <c r="AB524" s="3" t="s">
        <v>10485</v>
      </c>
      <c r="AC524" s="3" t="s">
        <v>74</v>
      </c>
      <c r="AD524" s="3" t="s">
        <v>74</v>
      </c>
      <c r="AE524" s="3" t="s">
        <v>74</v>
      </c>
      <c r="AF524" s="3" t="s">
        <v>74</v>
      </c>
      <c r="AG524" s="3">
        <v>85</v>
      </c>
      <c r="AH524" s="3">
        <v>184</v>
      </c>
      <c r="AI524" s="3">
        <v>206</v>
      </c>
      <c r="AJ524" s="3">
        <v>10</v>
      </c>
      <c r="AK524" s="3">
        <v>223</v>
      </c>
      <c r="AL524" s="3" t="s">
        <v>2239</v>
      </c>
      <c r="AM524" s="3" t="s">
        <v>2240</v>
      </c>
      <c r="AN524" s="3" t="s">
        <v>2241</v>
      </c>
      <c r="AO524" s="3" t="s">
        <v>10486</v>
      </c>
      <c r="AP524" s="3" t="s">
        <v>10487</v>
      </c>
      <c r="AQ524" s="3" t="s">
        <v>74</v>
      </c>
      <c r="AR524" s="3" t="s">
        <v>10488</v>
      </c>
      <c r="AS524" s="3" t="s">
        <v>10489</v>
      </c>
      <c r="AT524" s="3" t="s">
        <v>74</v>
      </c>
      <c r="AU524" s="3">
        <v>2016</v>
      </c>
      <c r="AV524" s="3">
        <v>46</v>
      </c>
      <c r="AW524" s="3">
        <v>10</v>
      </c>
      <c r="AX524" s="3" t="s">
        <v>74</v>
      </c>
      <c r="AY524" s="3" t="s">
        <v>74</v>
      </c>
      <c r="AZ524" s="3" t="s">
        <v>74</v>
      </c>
      <c r="BA524" s="3" t="s">
        <v>74</v>
      </c>
      <c r="BB524" s="3">
        <v>908</v>
      </c>
      <c r="BC524" s="3">
        <v>931</v>
      </c>
      <c r="BD524" s="3" t="s">
        <v>74</v>
      </c>
      <c r="BE524" s="3" t="s">
        <v>10490</v>
      </c>
      <c r="BF524" s="3" t="str">
        <f>HYPERLINK("http://dx.doi.org/10.1108/IJPDLM-01-2016-0008","http://dx.doi.org/10.1108/IJPDLM-01-2016-0008")</f>
        <v>http://dx.doi.org/10.1108/IJPDLM-01-2016-0008</v>
      </c>
      <c r="BG524" s="3" t="s">
        <v>74</v>
      </c>
      <c r="BH524" s="3" t="s">
        <v>74</v>
      </c>
      <c r="BI524" s="3">
        <v>24</v>
      </c>
      <c r="BJ524" s="3" t="s">
        <v>96</v>
      </c>
      <c r="BK524" s="3" t="s">
        <v>264</v>
      </c>
      <c r="BL524" s="3" t="s">
        <v>98</v>
      </c>
      <c r="BM524" s="3" t="s">
        <v>10491</v>
      </c>
      <c r="BN524" s="3" t="s">
        <v>74</v>
      </c>
      <c r="BO524" s="3" t="s">
        <v>683</v>
      </c>
      <c r="BP524" s="3" t="s">
        <v>74</v>
      </c>
      <c r="BQ524" s="3" t="s">
        <v>74</v>
      </c>
      <c r="BR524" s="3" t="s">
        <v>101</v>
      </c>
      <c r="BS524" s="3" t="s">
        <v>10492</v>
      </c>
      <c r="BT524" s="3" t="str">
        <f>HYPERLINK("https%3A%2F%2Fwww.webofscience.com%2Fwos%2Fwoscc%2Ffull-record%2FWOS:000392179200002","View Full Record in Web of Science")</f>
        <v>View Full Record in Web of Science</v>
      </c>
      <c r="BU524" s="3"/>
      <c r="BV524" s="3"/>
      <c r="BW524" s="1"/>
    </row>
    <row r="525" spans="1:75" x14ac:dyDescent="0.25">
      <c r="A525" s="3" t="s">
        <v>72</v>
      </c>
      <c r="B525" s="3" t="s">
        <v>10493</v>
      </c>
      <c r="C525" s="3" t="s">
        <v>74</v>
      </c>
      <c r="D525" s="3" t="s">
        <v>74</v>
      </c>
      <c r="E525" s="3" t="s">
        <v>74</v>
      </c>
      <c r="F525" s="3" t="s">
        <v>10494</v>
      </c>
      <c r="G525" s="3" t="s">
        <v>74</v>
      </c>
      <c r="H525" s="3" t="s">
        <v>74</v>
      </c>
      <c r="I525" s="3" t="s">
        <v>10495</v>
      </c>
      <c r="J525" s="3" t="s">
        <v>138</v>
      </c>
      <c r="K525" s="3" t="s">
        <v>74</v>
      </c>
      <c r="L525" s="3" t="s">
        <v>74</v>
      </c>
      <c r="M525" s="3" t="s">
        <v>110</v>
      </c>
      <c r="N525" s="3" t="s">
        <v>79</v>
      </c>
      <c r="O525" s="3" t="s">
        <v>74</v>
      </c>
      <c r="P525" s="3" t="s">
        <v>74</v>
      </c>
      <c r="Q525" s="3" t="s">
        <v>74</v>
      </c>
      <c r="R525" s="3" t="s">
        <v>74</v>
      </c>
      <c r="S525" s="3" t="s">
        <v>74</v>
      </c>
      <c r="T525" s="3" t="s">
        <v>10496</v>
      </c>
      <c r="U525" s="3" t="s">
        <v>10497</v>
      </c>
      <c r="V525" s="3" t="s">
        <v>10498</v>
      </c>
      <c r="W525" s="3" t="s">
        <v>10499</v>
      </c>
      <c r="X525" s="3" t="s">
        <v>3357</v>
      </c>
      <c r="Y525" s="3" t="s">
        <v>10500</v>
      </c>
      <c r="Z525" s="3" t="s">
        <v>10501</v>
      </c>
      <c r="AA525" s="3" t="s">
        <v>10502</v>
      </c>
      <c r="AB525" s="3" t="s">
        <v>10503</v>
      </c>
      <c r="AC525" s="3" t="s">
        <v>10504</v>
      </c>
      <c r="AD525" s="3" t="s">
        <v>10505</v>
      </c>
      <c r="AE525" s="3" t="s">
        <v>10506</v>
      </c>
      <c r="AF525" s="3" t="s">
        <v>74</v>
      </c>
      <c r="AG525" s="3">
        <v>47</v>
      </c>
      <c r="AH525" s="3">
        <v>11</v>
      </c>
      <c r="AI525" s="3">
        <v>14</v>
      </c>
      <c r="AJ525" s="3">
        <v>0</v>
      </c>
      <c r="AK525" s="3">
        <v>8</v>
      </c>
      <c r="AL525" s="3" t="s">
        <v>145</v>
      </c>
      <c r="AM525" s="3" t="s">
        <v>146</v>
      </c>
      <c r="AN525" s="3" t="s">
        <v>279</v>
      </c>
      <c r="AO525" s="3" t="s">
        <v>74</v>
      </c>
      <c r="AP525" s="3" t="s">
        <v>148</v>
      </c>
      <c r="AQ525" s="3" t="s">
        <v>74</v>
      </c>
      <c r="AR525" s="3" t="s">
        <v>149</v>
      </c>
      <c r="AS525" s="3" t="s">
        <v>150</v>
      </c>
      <c r="AT525" s="3" t="s">
        <v>1450</v>
      </c>
      <c r="AU525" s="3">
        <v>2018</v>
      </c>
      <c r="AV525" s="3">
        <v>10</v>
      </c>
      <c r="AW525" s="3">
        <v>7</v>
      </c>
      <c r="AX525" s="3" t="s">
        <v>74</v>
      </c>
      <c r="AY525" s="3" t="s">
        <v>74</v>
      </c>
      <c r="AZ525" s="3" t="s">
        <v>74</v>
      </c>
      <c r="BA525" s="3" t="s">
        <v>74</v>
      </c>
      <c r="BB525" s="3" t="s">
        <v>74</v>
      </c>
      <c r="BC525" s="3" t="s">
        <v>74</v>
      </c>
      <c r="BD525" s="3">
        <v>2226</v>
      </c>
      <c r="BE525" s="3" t="s">
        <v>10507</v>
      </c>
      <c r="BF525" s="3" t="str">
        <f>HYPERLINK("http://dx.doi.org/10.3390/su10072226","http://dx.doi.org/10.3390/su10072226")</f>
        <v>http://dx.doi.org/10.3390/su10072226</v>
      </c>
      <c r="BG525" s="3" t="s">
        <v>74</v>
      </c>
      <c r="BH525" s="3" t="s">
        <v>74</v>
      </c>
      <c r="BI525" s="3">
        <v>18</v>
      </c>
      <c r="BJ525" s="3" t="s">
        <v>153</v>
      </c>
      <c r="BK525" s="3" t="s">
        <v>154</v>
      </c>
      <c r="BL525" s="3" t="s">
        <v>155</v>
      </c>
      <c r="BM525" s="3" t="s">
        <v>10508</v>
      </c>
      <c r="BN525" s="3" t="s">
        <v>74</v>
      </c>
      <c r="BO525" s="3" t="s">
        <v>133</v>
      </c>
      <c r="BP525" s="3" t="s">
        <v>74</v>
      </c>
      <c r="BQ525" s="3" t="s">
        <v>74</v>
      </c>
      <c r="BR525" s="3" t="s">
        <v>101</v>
      </c>
      <c r="BS525" s="3" t="s">
        <v>10509</v>
      </c>
      <c r="BT525" s="3" t="str">
        <f>HYPERLINK("https%3A%2F%2Fwww.webofscience.com%2Fwos%2Fwoscc%2Ffull-record%2FWOS:000440947600117","View Full Record in Web of Science")</f>
        <v>View Full Record in Web of Science</v>
      </c>
      <c r="BU525" s="3"/>
      <c r="BV525" s="3"/>
      <c r="BW525" s="1"/>
    </row>
    <row r="526" spans="1:75" x14ac:dyDescent="0.25">
      <c r="A526" s="3" t="s">
        <v>72</v>
      </c>
      <c r="B526" s="3" t="s">
        <v>10510</v>
      </c>
      <c r="C526" s="3" t="s">
        <v>74</v>
      </c>
      <c r="D526" s="3" t="s">
        <v>74</v>
      </c>
      <c r="E526" s="3" t="s">
        <v>74</v>
      </c>
      <c r="F526" s="3" t="s">
        <v>10511</v>
      </c>
      <c r="G526" s="3" t="s">
        <v>74</v>
      </c>
      <c r="H526" s="3" t="s">
        <v>74</v>
      </c>
      <c r="I526" s="3" t="s">
        <v>10512</v>
      </c>
      <c r="J526" s="3" t="s">
        <v>5164</v>
      </c>
      <c r="K526" s="3" t="s">
        <v>74</v>
      </c>
      <c r="L526" s="3" t="s">
        <v>74</v>
      </c>
      <c r="M526" s="3" t="s">
        <v>110</v>
      </c>
      <c r="N526" s="3" t="s">
        <v>79</v>
      </c>
      <c r="O526" s="3" t="s">
        <v>74</v>
      </c>
      <c r="P526" s="3" t="s">
        <v>74</v>
      </c>
      <c r="Q526" s="3" t="s">
        <v>74</v>
      </c>
      <c r="R526" s="3" t="s">
        <v>74</v>
      </c>
      <c r="S526" s="3" t="s">
        <v>74</v>
      </c>
      <c r="T526" s="3" t="s">
        <v>10513</v>
      </c>
      <c r="U526" s="3" t="s">
        <v>7001</v>
      </c>
      <c r="V526" s="3" t="s">
        <v>10514</v>
      </c>
      <c r="W526" s="3" t="s">
        <v>10515</v>
      </c>
      <c r="X526" s="3" t="s">
        <v>10516</v>
      </c>
      <c r="Y526" s="3" t="s">
        <v>10517</v>
      </c>
      <c r="Z526" s="3" t="s">
        <v>10518</v>
      </c>
      <c r="AA526" s="3" t="s">
        <v>10519</v>
      </c>
      <c r="AB526" s="3" t="s">
        <v>10520</v>
      </c>
      <c r="AC526" s="3" t="s">
        <v>74</v>
      </c>
      <c r="AD526" s="3" t="s">
        <v>74</v>
      </c>
      <c r="AE526" s="3" t="s">
        <v>74</v>
      </c>
      <c r="AF526" s="3" t="s">
        <v>74</v>
      </c>
      <c r="AG526" s="3">
        <v>65</v>
      </c>
      <c r="AH526" s="3">
        <v>13</v>
      </c>
      <c r="AI526" s="3">
        <v>16</v>
      </c>
      <c r="AJ526" s="3">
        <v>0</v>
      </c>
      <c r="AK526" s="3">
        <v>24</v>
      </c>
      <c r="AL526" s="3" t="s">
        <v>1120</v>
      </c>
      <c r="AM526" s="3" t="s">
        <v>200</v>
      </c>
      <c r="AN526" s="3" t="s">
        <v>1559</v>
      </c>
      <c r="AO526" s="3" t="s">
        <v>5178</v>
      </c>
      <c r="AP526" s="3" t="s">
        <v>5179</v>
      </c>
      <c r="AQ526" s="3" t="s">
        <v>74</v>
      </c>
      <c r="AR526" s="3" t="s">
        <v>5180</v>
      </c>
      <c r="AS526" s="3" t="s">
        <v>5181</v>
      </c>
      <c r="AT526" s="3" t="s">
        <v>176</v>
      </c>
      <c r="AU526" s="3">
        <v>2018</v>
      </c>
      <c r="AV526" s="3">
        <v>10</v>
      </c>
      <c r="AW526" s="3">
        <v>2</v>
      </c>
      <c r="AX526" s="3" t="s">
        <v>74</v>
      </c>
      <c r="AY526" s="3" t="s">
        <v>74</v>
      </c>
      <c r="AZ526" s="3" t="s">
        <v>74</v>
      </c>
      <c r="BA526" s="3" t="s">
        <v>74</v>
      </c>
      <c r="BB526" s="3" t="s">
        <v>74</v>
      </c>
      <c r="BC526" s="3" t="s">
        <v>74</v>
      </c>
      <c r="BD526" s="3">
        <v>37</v>
      </c>
      <c r="BE526" s="3" t="s">
        <v>10521</v>
      </c>
      <c r="BF526" s="3" t="str">
        <f>HYPERLINK("http://dx.doi.org/10.1186/s12544-018-0306-8","http://dx.doi.org/10.1186/s12544-018-0306-8")</f>
        <v>http://dx.doi.org/10.1186/s12544-018-0306-8</v>
      </c>
      <c r="BG526" s="3" t="s">
        <v>74</v>
      </c>
      <c r="BH526" s="3" t="s">
        <v>74</v>
      </c>
      <c r="BI526" s="3">
        <v>20</v>
      </c>
      <c r="BJ526" s="3" t="s">
        <v>129</v>
      </c>
      <c r="BK526" s="3" t="s">
        <v>154</v>
      </c>
      <c r="BL526" s="3" t="s">
        <v>131</v>
      </c>
      <c r="BM526" s="3" t="s">
        <v>10522</v>
      </c>
      <c r="BN526" s="3" t="s">
        <v>74</v>
      </c>
      <c r="BO526" s="3" t="s">
        <v>100</v>
      </c>
      <c r="BP526" s="3" t="s">
        <v>74</v>
      </c>
      <c r="BQ526" s="3" t="s">
        <v>74</v>
      </c>
      <c r="BR526" s="3" t="s">
        <v>101</v>
      </c>
      <c r="BS526" s="3" t="s">
        <v>10523</v>
      </c>
      <c r="BT526" s="3" t="str">
        <f>HYPERLINK("https%3A%2F%2Fwww.webofscience.com%2Fwos%2Fwoscc%2Ffull-record%2FWOS:000441927800001","View Full Record in Web of Science")</f>
        <v>View Full Record in Web of Science</v>
      </c>
      <c r="BU526" s="3"/>
      <c r="BV526" s="3"/>
      <c r="BW526" s="1"/>
    </row>
    <row r="527" spans="1:75" x14ac:dyDescent="0.25">
      <c r="A527" s="3" t="s">
        <v>72</v>
      </c>
      <c r="B527" s="3" t="s">
        <v>10524</v>
      </c>
      <c r="C527" s="3" t="s">
        <v>74</v>
      </c>
      <c r="D527" s="3" t="s">
        <v>74</v>
      </c>
      <c r="E527" s="3" t="s">
        <v>74</v>
      </c>
      <c r="F527" s="3" t="s">
        <v>10525</v>
      </c>
      <c r="G527" s="3" t="s">
        <v>74</v>
      </c>
      <c r="H527" s="3" t="s">
        <v>74</v>
      </c>
      <c r="I527" s="3" t="s">
        <v>10526</v>
      </c>
      <c r="J527" s="3" t="s">
        <v>10476</v>
      </c>
      <c r="K527" s="3" t="s">
        <v>74</v>
      </c>
      <c r="L527" s="3" t="s">
        <v>74</v>
      </c>
      <c r="M527" s="3" t="s">
        <v>110</v>
      </c>
      <c r="N527" s="3" t="s">
        <v>216</v>
      </c>
      <c r="O527" s="3" t="s">
        <v>74</v>
      </c>
      <c r="P527" s="3" t="s">
        <v>74</v>
      </c>
      <c r="Q527" s="3" t="s">
        <v>74</v>
      </c>
      <c r="R527" s="3" t="s">
        <v>74</v>
      </c>
      <c r="S527" s="3" t="s">
        <v>74</v>
      </c>
      <c r="T527" s="3" t="s">
        <v>10527</v>
      </c>
      <c r="U527" s="3" t="s">
        <v>10528</v>
      </c>
      <c r="V527" s="3" t="s">
        <v>10529</v>
      </c>
      <c r="W527" s="3" t="s">
        <v>10530</v>
      </c>
      <c r="X527" s="3" t="s">
        <v>8163</v>
      </c>
      <c r="Y527" s="3" t="s">
        <v>10531</v>
      </c>
      <c r="Z527" s="3" t="s">
        <v>10532</v>
      </c>
      <c r="AA527" s="3" t="s">
        <v>8166</v>
      </c>
      <c r="AB527" s="3" t="s">
        <v>10533</v>
      </c>
      <c r="AC527" s="3" t="s">
        <v>74</v>
      </c>
      <c r="AD527" s="3" t="s">
        <v>74</v>
      </c>
      <c r="AE527" s="3" t="s">
        <v>74</v>
      </c>
      <c r="AF527" s="3" t="s">
        <v>74</v>
      </c>
      <c r="AG527" s="3">
        <v>184</v>
      </c>
      <c r="AH527" s="3">
        <v>39</v>
      </c>
      <c r="AI527" s="3">
        <v>42</v>
      </c>
      <c r="AJ527" s="3">
        <v>6</v>
      </c>
      <c r="AK527" s="3">
        <v>158</v>
      </c>
      <c r="AL527" s="3" t="s">
        <v>2239</v>
      </c>
      <c r="AM527" s="3" t="s">
        <v>7360</v>
      </c>
      <c r="AN527" s="3" t="s">
        <v>7361</v>
      </c>
      <c r="AO527" s="3" t="s">
        <v>10486</v>
      </c>
      <c r="AP527" s="3" t="s">
        <v>10487</v>
      </c>
      <c r="AQ527" s="3" t="s">
        <v>74</v>
      </c>
      <c r="AR527" s="3" t="s">
        <v>10488</v>
      </c>
      <c r="AS527" s="3" t="s">
        <v>10489</v>
      </c>
      <c r="AT527" s="3" t="s">
        <v>4364</v>
      </c>
      <c r="AU527" s="3">
        <v>2020</v>
      </c>
      <c r="AV527" s="3">
        <v>50</v>
      </c>
      <c r="AW527" s="3">
        <v>6</v>
      </c>
      <c r="AX527" s="3" t="s">
        <v>74</v>
      </c>
      <c r="AY527" s="3" t="s">
        <v>74</v>
      </c>
      <c r="AZ527" s="3" t="s">
        <v>74</v>
      </c>
      <c r="BA527" s="3" t="s">
        <v>74</v>
      </c>
      <c r="BB527" s="3">
        <v>601</v>
      </c>
      <c r="BC527" s="3">
        <v>640</v>
      </c>
      <c r="BD527" s="3" t="s">
        <v>74</v>
      </c>
      <c r="BE527" s="3" t="s">
        <v>10534</v>
      </c>
      <c r="BF527" s="3" t="str">
        <f>HYPERLINK("http://dx.doi.org/10.1108/IJPDLM-05-2019-0154","http://dx.doi.org/10.1108/IJPDLM-05-2019-0154")</f>
        <v>http://dx.doi.org/10.1108/IJPDLM-05-2019-0154</v>
      </c>
      <c r="BG527" s="3" t="s">
        <v>74</v>
      </c>
      <c r="BH527" s="3" t="s">
        <v>10535</v>
      </c>
      <c r="BI527" s="3">
        <v>40</v>
      </c>
      <c r="BJ527" s="3" t="s">
        <v>96</v>
      </c>
      <c r="BK527" s="3" t="s">
        <v>264</v>
      </c>
      <c r="BL527" s="3" t="s">
        <v>98</v>
      </c>
      <c r="BM527" s="3" t="s">
        <v>10536</v>
      </c>
      <c r="BN527" s="3" t="s">
        <v>74</v>
      </c>
      <c r="BO527" s="3" t="s">
        <v>74</v>
      </c>
      <c r="BP527" s="3" t="s">
        <v>74</v>
      </c>
      <c r="BQ527" s="3" t="s">
        <v>74</v>
      </c>
      <c r="BR527" s="3" t="s">
        <v>101</v>
      </c>
      <c r="BS527" s="3" t="s">
        <v>10537</v>
      </c>
      <c r="BT527" s="3" t="str">
        <f>HYPERLINK("https%3A%2F%2Fwww.webofscience.com%2Fwos%2Fwoscc%2Ffull-record%2FWOS:000541868100001","View Full Record in Web of Science")</f>
        <v>View Full Record in Web of Science</v>
      </c>
      <c r="BU527" s="3"/>
      <c r="BV527" s="3"/>
      <c r="BW527" s="1"/>
    </row>
    <row r="528" spans="1:75" x14ac:dyDescent="0.25">
      <c r="A528" s="3" t="s">
        <v>72</v>
      </c>
      <c r="B528" s="3" t="s">
        <v>10538</v>
      </c>
      <c r="C528" s="3" t="s">
        <v>74</v>
      </c>
      <c r="D528" s="3" t="s">
        <v>74</v>
      </c>
      <c r="E528" s="3" t="s">
        <v>74</v>
      </c>
      <c r="F528" s="3" t="s">
        <v>10539</v>
      </c>
      <c r="G528" s="3" t="s">
        <v>74</v>
      </c>
      <c r="H528" s="3" t="s">
        <v>74</v>
      </c>
      <c r="I528" s="3" t="s">
        <v>10540</v>
      </c>
      <c r="J528" s="3" t="s">
        <v>661</v>
      </c>
      <c r="K528" s="3" t="s">
        <v>74</v>
      </c>
      <c r="L528" s="3" t="s">
        <v>74</v>
      </c>
      <c r="M528" s="3" t="s">
        <v>110</v>
      </c>
      <c r="N528" s="3" t="s">
        <v>79</v>
      </c>
      <c r="O528" s="3" t="s">
        <v>74</v>
      </c>
      <c r="P528" s="3" t="s">
        <v>74</v>
      </c>
      <c r="Q528" s="3" t="s">
        <v>74</v>
      </c>
      <c r="R528" s="3" t="s">
        <v>74</v>
      </c>
      <c r="S528" s="3" t="s">
        <v>74</v>
      </c>
      <c r="T528" s="3" t="s">
        <v>10541</v>
      </c>
      <c r="U528" s="3" t="s">
        <v>74</v>
      </c>
      <c r="V528" s="3" t="s">
        <v>10542</v>
      </c>
      <c r="W528" s="3" t="s">
        <v>10543</v>
      </c>
      <c r="X528" s="3" t="s">
        <v>10544</v>
      </c>
      <c r="Y528" s="3" t="s">
        <v>10545</v>
      </c>
      <c r="Z528" s="3" t="s">
        <v>10546</v>
      </c>
      <c r="AA528" s="3" t="s">
        <v>10547</v>
      </c>
      <c r="AB528" s="3" t="s">
        <v>10548</v>
      </c>
      <c r="AC528" s="3" t="s">
        <v>74</v>
      </c>
      <c r="AD528" s="3" t="s">
        <v>74</v>
      </c>
      <c r="AE528" s="3" t="s">
        <v>74</v>
      </c>
      <c r="AF528" s="3" t="s">
        <v>74</v>
      </c>
      <c r="AG528" s="3">
        <v>132</v>
      </c>
      <c r="AH528" s="3">
        <v>33</v>
      </c>
      <c r="AI528" s="3">
        <v>36</v>
      </c>
      <c r="AJ528" s="3">
        <v>0</v>
      </c>
      <c r="AK528" s="3">
        <v>38</v>
      </c>
      <c r="AL528" s="3" t="s">
        <v>671</v>
      </c>
      <c r="AM528" s="3" t="s">
        <v>124</v>
      </c>
      <c r="AN528" s="3" t="s">
        <v>672</v>
      </c>
      <c r="AO528" s="3" t="s">
        <v>673</v>
      </c>
      <c r="AP528" s="3" t="s">
        <v>674</v>
      </c>
      <c r="AQ528" s="3" t="s">
        <v>74</v>
      </c>
      <c r="AR528" s="3" t="s">
        <v>675</v>
      </c>
      <c r="AS528" s="3" t="s">
        <v>676</v>
      </c>
      <c r="AT528" s="3" t="s">
        <v>608</v>
      </c>
      <c r="AU528" s="3">
        <v>2021</v>
      </c>
      <c r="AV528" s="3">
        <v>67</v>
      </c>
      <c r="AW528" s="3" t="s">
        <v>74</v>
      </c>
      <c r="AX528" s="3" t="s">
        <v>74</v>
      </c>
      <c r="AY528" s="3" t="s">
        <v>74</v>
      </c>
      <c r="AZ528" s="3" t="s">
        <v>74</v>
      </c>
      <c r="BA528" s="3" t="s">
        <v>74</v>
      </c>
      <c r="BB528" s="3" t="s">
        <v>74</v>
      </c>
      <c r="BC528" s="3" t="s">
        <v>74</v>
      </c>
      <c r="BD528" s="3">
        <v>102751</v>
      </c>
      <c r="BE528" s="3" t="s">
        <v>10549</v>
      </c>
      <c r="BF528" s="3" t="str">
        <f>HYPERLINK("http://dx.doi.org/10.1016/j.scs.2021.102751","http://dx.doi.org/10.1016/j.scs.2021.102751")</f>
        <v>http://dx.doi.org/10.1016/j.scs.2021.102751</v>
      </c>
      <c r="BG528" s="3" t="s">
        <v>74</v>
      </c>
      <c r="BH528" s="3" t="s">
        <v>10550</v>
      </c>
      <c r="BI528" s="3">
        <v>14</v>
      </c>
      <c r="BJ528" s="3" t="s">
        <v>680</v>
      </c>
      <c r="BK528" s="3" t="s">
        <v>154</v>
      </c>
      <c r="BL528" s="3" t="s">
        <v>681</v>
      </c>
      <c r="BM528" s="3" t="s">
        <v>10551</v>
      </c>
      <c r="BN528" s="3" t="s">
        <v>74</v>
      </c>
      <c r="BO528" s="3" t="s">
        <v>74</v>
      </c>
      <c r="BP528" s="3" t="s">
        <v>74</v>
      </c>
      <c r="BQ528" s="3" t="s">
        <v>74</v>
      </c>
      <c r="BR528" s="3" t="s">
        <v>101</v>
      </c>
      <c r="BS528" s="3" t="s">
        <v>10552</v>
      </c>
      <c r="BT528" s="3" t="str">
        <f>HYPERLINK("https%3A%2F%2Fwww.webofscience.com%2Fwos%2Fwoscc%2Ffull-record%2FWOS:000638133000008","View Full Record in Web of Science")</f>
        <v>View Full Record in Web of Science</v>
      </c>
      <c r="BU528" s="3"/>
      <c r="BV528" s="3"/>
      <c r="BW528" s="1"/>
    </row>
    <row r="529" spans="1:75" x14ac:dyDescent="0.25">
      <c r="A529" s="3" t="s">
        <v>72</v>
      </c>
      <c r="B529" s="3" t="s">
        <v>10553</v>
      </c>
      <c r="C529" s="3" t="s">
        <v>74</v>
      </c>
      <c r="D529" s="3" t="s">
        <v>74</v>
      </c>
      <c r="E529" s="3" t="s">
        <v>74</v>
      </c>
      <c r="F529" s="3" t="s">
        <v>10554</v>
      </c>
      <c r="G529" s="3" t="s">
        <v>74</v>
      </c>
      <c r="H529" s="3" t="s">
        <v>74</v>
      </c>
      <c r="I529" s="3" t="s">
        <v>10555</v>
      </c>
      <c r="J529" s="3" t="s">
        <v>1783</v>
      </c>
      <c r="K529" s="3" t="s">
        <v>74</v>
      </c>
      <c r="L529" s="3" t="s">
        <v>74</v>
      </c>
      <c r="M529" s="3" t="s">
        <v>110</v>
      </c>
      <c r="N529" s="3" t="s">
        <v>79</v>
      </c>
      <c r="O529" s="3" t="s">
        <v>74</v>
      </c>
      <c r="P529" s="3" t="s">
        <v>74</v>
      </c>
      <c r="Q529" s="3" t="s">
        <v>74</v>
      </c>
      <c r="R529" s="3" t="s">
        <v>74</v>
      </c>
      <c r="S529" s="3" t="s">
        <v>74</v>
      </c>
      <c r="T529" s="3" t="s">
        <v>10556</v>
      </c>
      <c r="U529" s="3" t="s">
        <v>10557</v>
      </c>
      <c r="V529" s="3" t="s">
        <v>10558</v>
      </c>
      <c r="W529" s="3" t="s">
        <v>10559</v>
      </c>
      <c r="X529" s="3" t="s">
        <v>10560</v>
      </c>
      <c r="Y529" s="3" t="s">
        <v>10561</v>
      </c>
      <c r="Z529" s="3" t="s">
        <v>10562</v>
      </c>
      <c r="AA529" s="3" t="s">
        <v>10563</v>
      </c>
      <c r="AB529" s="3" t="s">
        <v>10564</v>
      </c>
      <c r="AC529" s="3" t="s">
        <v>10565</v>
      </c>
      <c r="AD529" s="3" t="s">
        <v>10566</v>
      </c>
      <c r="AE529" s="3" t="s">
        <v>10567</v>
      </c>
      <c r="AF529" s="3" t="s">
        <v>74</v>
      </c>
      <c r="AG529" s="3">
        <v>51</v>
      </c>
      <c r="AH529" s="3">
        <v>7</v>
      </c>
      <c r="AI529" s="3">
        <v>7</v>
      </c>
      <c r="AJ529" s="3">
        <v>17</v>
      </c>
      <c r="AK529" s="3">
        <v>37</v>
      </c>
      <c r="AL529" s="3" t="s">
        <v>304</v>
      </c>
      <c r="AM529" s="3" t="s">
        <v>305</v>
      </c>
      <c r="AN529" s="3" t="s">
        <v>306</v>
      </c>
      <c r="AO529" s="3" t="s">
        <v>1798</v>
      </c>
      <c r="AP529" s="3" t="s">
        <v>5899</v>
      </c>
      <c r="AQ529" s="3" t="s">
        <v>74</v>
      </c>
      <c r="AR529" s="3" t="s">
        <v>1799</v>
      </c>
      <c r="AS529" s="3" t="s">
        <v>1800</v>
      </c>
      <c r="AT529" s="3" t="s">
        <v>949</v>
      </c>
      <c r="AU529" s="3">
        <v>2025</v>
      </c>
      <c r="AV529" s="3">
        <v>140</v>
      </c>
      <c r="AW529" s="3" t="s">
        <v>74</v>
      </c>
      <c r="AX529" s="3" t="s">
        <v>74</v>
      </c>
      <c r="AY529" s="3" t="s">
        <v>74</v>
      </c>
      <c r="AZ529" s="3" t="s">
        <v>74</v>
      </c>
      <c r="BA529" s="3" t="s">
        <v>74</v>
      </c>
      <c r="BB529" s="3" t="s">
        <v>74</v>
      </c>
      <c r="BC529" s="3" t="s">
        <v>74</v>
      </c>
      <c r="BD529" s="3">
        <v>104609</v>
      </c>
      <c r="BE529" s="3" t="s">
        <v>10568</v>
      </c>
      <c r="BF529" s="3" t="str">
        <f>HYPERLINK("http://dx.doi.org/10.1016/j.trd.2025.104609","http://dx.doi.org/10.1016/j.trd.2025.104609")</f>
        <v>http://dx.doi.org/10.1016/j.trd.2025.104609</v>
      </c>
      <c r="BG529" s="3" t="s">
        <v>74</v>
      </c>
      <c r="BH529" s="3" t="s">
        <v>2712</v>
      </c>
      <c r="BI529" s="3">
        <v>12</v>
      </c>
      <c r="BJ529" s="3" t="s">
        <v>1802</v>
      </c>
      <c r="BK529" s="3" t="s">
        <v>154</v>
      </c>
      <c r="BL529" s="3" t="s">
        <v>1804</v>
      </c>
      <c r="BM529" s="3" t="s">
        <v>10569</v>
      </c>
      <c r="BN529" s="3" t="s">
        <v>74</v>
      </c>
      <c r="BO529" s="3" t="s">
        <v>884</v>
      </c>
      <c r="BP529" s="3" t="s">
        <v>74</v>
      </c>
      <c r="BQ529" s="3" t="s">
        <v>74</v>
      </c>
      <c r="BR529" s="3" t="s">
        <v>101</v>
      </c>
      <c r="BS529" s="3" t="s">
        <v>10570</v>
      </c>
      <c r="BT529" s="3" t="str">
        <f>HYPERLINK("https%3A%2F%2Fwww.webofscience.com%2Fwos%2Fwoscc%2Ffull-record%2FWOS:001413769100001","View Full Record in Web of Science")</f>
        <v>View Full Record in Web of Science</v>
      </c>
      <c r="BU529" s="3"/>
      <c r="BV529" s="3"/>
      <c r="BW529" s="1"/>
    </row>
    <row r="530" spans="1:75" x14ac:dyDescent="0.25">
      <c r="A530" s="3" t="s">
        <v>72</v>
      </c>
      <c r="B530" s="3" t="s">
        <v>10571</v>
      </c>
      <c r="C530" s="3" t="s">
        <v>74</v>
      </c>
      <c r="D530" s="3" t="s">
        <v>74</v>
      </c>
      <c r="E530" s="3" t="s">
        <v>74</v>
      </c>
      <c r="F530" s="3" t="s">
        <v>10572</v>
      </c>
      <c r="G530" s="3" t="s">
        <v>74</v>
      </c>
      <c r="H530" s="3" t="s">
        <v>74</v>
      </c>
      <c r="I530" s="3" t="s">
        <v>10573</v>
      </c>
      <c r="J530" s="3" t="s">
        <v>1783</v>
      </c>
      <c r="K530" s="3" t="s">
        <v>74</v>
      </c>
      <c r="L530" s="3" t="s">
        <v>74</v>
      </c>
      <c r="M530" s="3" t="s">
        <v>110</v>
      </c>
      <c r="N530" s="3" t="s">
        <v>79</v>
      </c>
      <c r="O530" s="3" t="s">
        <v>74</v>
      </c>
      <c r="P530" s="3" t="s">
        <v>74</v>
      </c>
      <c r="Q530" s="3" t="s">
        <v>74</v>
      </c>
      <c r="R530" s="3" t="s">
        <v>74</v>
      </c>
      <c r="S530" s="3" t="s">
        <v>74</v>
      </c>
      <c r="T530" s="3" t="s">
        <v>10574</v>
      </c>
      <c r="U530" s="3" t="s">
        <v>10575</v>
      </c>
      <c r="V530" s="3" t="s">
        <v>10576</v>
      </c>
      <c r="W530" s="3" t="s">
        <v>10577</v>
      </c>
      <c r="X530" s="3" t="s">
        <v>10578</v>
      </c>
      <c r="Y530" s="3" t="s">
        <v>10579</v>
      </c>
      <c r="Z530" s="3" t="s">
        <v>10580</v>
      </c>
      <c r="AA530" s="3" t="s">
        <v>10581</v>
      </c>
      <c r="AB530" s="3" t="s">
        <v>10582</v>
      </c>
      <c r="AC530" s="3" t="s">
        <v>10583</v>
      </c>
      <c r="AD530" s="3" t="s">
        <v>10584</v>
      </c>
      <c r="AE530" s="3" t="s">
        <v>10585</v>
      </c>
      <c r="AF530" s="3" t="s">
        <v>74</v>
      </c>
      <c r="AG530" s="3">
        <v>50</v>
      </c>
      <c r="AH530" s="3">
        <v>94</v>
      </c>
      <c r="AI530" s="3">
        <v>104</v>
      </c>
      <c r="AJ530" s="3">
        <v>3</v>
      </c>
      <c r="AK530" s="3">
        <v>121</v>
      </c>
      <c r="AL530" s="3" t="s">
        <v>304</v>
      </c>
      <c r="AM530" s="3" t="s">
        <v>305</v>
      </c>
      <c r="AN530" s="3" t="s">
        <v>306</v>
      </c>
      <c r="AO530" s="3" t="s">
        <v>1798</v>
      </c>
      <c r="AP530" s="3" t="s">
        <v>74</v>
      </c>
      <c r="AQ530" s="3" t="s">
        <v>74</v>
      </c>
      <c r="AR530" s="3" t="s">
        <v>1799</v>
      </c>
      <c r="AS530" s="3" t="s">
        <v>1800</v>
      </c>
      <c r="AT530" s="3" t="s">
        <v>260</v>
      </c>
      <c r="AU530" s="3">
        <v>2017</v>
      </c>
      <c r="AV530" s="3">
        <v>50</v>
      </c>
      <c r="AW530" s="3" t="s">
        <v>74</v>
      </c>
      <c r="AX530" s="3" t="s">
        <v>74</v>
      </c>
      <c r="AY530" s="3" t="s">
        <v>74</v>
      </c>
      <c r="AZ530" s="3" t="s">
        <v>74</v>
      </c>
      <c r="BA530" s="3" t="s">
        <v>74</v>
      </c>
      <c r="BB530" s="3">
        <v>40</v>
      </c>
      <c r="BC530" s="3">
        <v>54</v>
      </c>
      <c r="BD530" s="3" t="s">
        <v>74</v>
      </c>
      <c r="BE530" s="3" t="s">
        <v>10586</v>
      </c>
      <c r="BF530" s="3" t="str">
        <f>HYPERLINK("http://dx.doi.org/10.1016/j.trd.2016.10.018","http://dx.doi.org/10.1016/j.trd.2016.10.018")</f>
        <v>http://dx.doi.org/10.1016/j.trd.2016.10.018</v>
      </c>
      <c r="BG530" s="3" t="s">
        <v>74</v>
      </c>
      <c r="BH530" s="3" t="s">
        <v>74</v>
      </c>
      <c r="BI530" s="3">
        <v>15</v>
      </c>
      <c r="BJ530" s="3" t="s">
        <v>1802</v>
      </c>
      <c r="BK530" s="3" t="s">
        <v>154</v>
      </c>
      <c r="BL530" s="3" t="s">
        <v>1804</v>
      </c>
      <c r="BM530" s="3" t="s">
        <v>10587</v>
      </c>
      <c r="BN530" s="3" t="s">
        <v>74</v>
      </c>
      <c r="BO530" s="3" t="s">
        <v>74</v>
      </c>
      <c r="BP530" s="3" t="s">
        <v>74</v>
      </c>
      <c r="BQ530" s="3" t="s">
        <v>74</v>
      </c>
      <c r="BR530" s="3" t="s">
        <v>101</v>
      </c>
      <c r="BS530" s="3" t="s">
        <v>10588</v>
      </c>
      <c r="BT530" s="3" t="str">
        <f>HYPERLINK("https%3A%2F%2Fwww.webofscience.com%2Fwos%2Fwoscc%2Ffull-record%2FWOS:000392162700004","View Full Record in Web of Science")</f>
        <v>View Full Record in Web of Science</v>
      </c>
      <c r="BU530" s="3"/>
      <c r="BV530" s="3"/>
      <c r="BW530" s="1"/>
    </row>
    <row r="531" spans="1:75" x14ac:dyDescent="0.25">
      <c r="A531" s="3" t="s">
        <v>72</v>
      </c>
      <c r="B531" s="3" t="s">
        <v>10589</v>
      </c>
      <c r="C531" s="3" t="s">
        <v>74</v>
      </c>
      <c r="D531" s="3" t="s">
        <v>74</v>
      </c>
      <c r="E531" s="3" t="s">
        <v>74</v>
      </c>
      <c r="F531" s="3" t="s">
        <v>10590</v>
      </c>
      <c r="G531" s="3" t="s">
        <v>74</v>
      </c>
      <c r="H531" s="3" t="s">
        <v>74</v>
      </c>
      <c r="I531" s="3" t="s">
        <v>10591</v>
      </c>
      <c r="J531" s="3" t="s">
        <v>138</v>
      </c>
      <c r="K531" s="3" t="s">
        <v>74</v>
      </c>
      <c r="L531" s="3" t="s">
        <v>74</v>
      </c>
      <c r="M531" s="3" t="s">
        <v>110</v>
      </c>
      <c r="N531" s="3" t="s">
        <v>216</v>
      </c>
      <c r="O531" s="3" t="s">
        <v>74</v>
      </c>
      <c r="P531" s="3" t="s">
        <v>74</v>
      </c>
      <c r="Q531" s="3" t="s">
        <v>74</v>
      </c>
      <c r="R531" s="3" t="s">
        <v>74</v>
      </c>
      <c r="S531" s="3" t="s">
        <v>74</v>
      </c>
      <c r="T531" s="3" t="s">
        <v>10592</v>
      </c>
      <c r="U531" s="3" t="s">
        <v>10593</v>
      </c>
      <c r="V531" s="3" t="s">
        <v>10594</v>
      </c>
      <c r="W531" s="3" t="s">
        <v>10595</v>
      </c>
      <c r="X531" s="3" t="s">
        <v>5969</v>
      </c>
      <c r="Y531" s="3" t="s">
        <v>10596</v>
      </c>
      <c r="Z531" s="3" t="s">
        <v>10597</v>
      </c>
      <c r="AA531" s="3" t="s">
        <v>10598</v>
      </c>
      <c r="AB531" s="3" t="s">
        <v>10599</v>
      </c>
      <c r="AC531" s="3" t="s">
        <v>10600</v>
      </c>
      <c r="AD531" s="3" t="s">
        <v>10601</v>
      </c>
      <c r="AE531" s="3" t="s">
        <v>10602</v>
      </c>
      <c r="AF531" s="3" t="s">
        <v>74</v>
      </c>
      <c r="AG531" s="3">
        <v>73</v>
      </c>
      <c r="AH531" s="3">
        <v>7</v>
      </c>
      <c r="AI531" s="3">
        <v>7</v>
      </c>
      <c r="AJ531" s="3">
        <v>17</v>
      </c>
      <c r="AK531" s="3">
        <v>77</v>
      </c>
      <c r="AL531" s="3" t="s">
        <v>145</v>
      </c>
      <c r="AM531" s="3" t="s">
        <v>146</v>
      </c>
      <c r="AN531" s="3" t="s">
        <v>279</v>
      </c>
      <c r="AO531" s="3" t="s">
        <v>74</v>
      </c>
      <c r="AP531" s="3" t="s">
        <v>148</v>
      </c>
      <c r="AQ531" s="3" t="s">
        <v>74</v>
      </c>
      <c r="AR531" s="3" t="s">
        <v>149</v>
      </c>
      <c r="AS531" s="3" t="s">
        <v>150</v>
      </c>
      <c r="AT531" s="3" t="s">
        <v>1450</v>
      </c>
      <c r="AU531" s="3">
        <v>2024</v>
      </c>
      <c r="AV531" s="3">
        <v>16</v>
      </c>
      <c r="AW531" s="3">
        <v>13</v>
      </c>
      <c r="AX531" s="3" t="s">
        <v>74</v>
      </c>
      <c r="AY531" s="3" t="s">
        <v>74</v>
      </c>
      <c r="AZ531" s="3" t="s">
        <v>74</v>
      </c>
      <c r="BA531" s="3" t="s">
        <v>74</v>
      </c>
      <c r="BB531" s="3" t="s">
        <v>74</v>
      </c>
      <c r="BC531" s="3" t="s">
        <v>74</v>
      </c>
      <c r="BD531" s="3">
        <v>5286</v>
      </c>
      <c r="BE531" s="3" t="s">
        <v>10603</v>
      </c>
      <c r="BF531" s="3" t="str">
        <f>HYPERLINK("http://dx.doi.org/10.3390/su16135286","http://dx.doi.org/10.3390/su16135286")</f>
        <v>http://dx.doi.org/10.3390/su16135286</v>
      </c>
      <c r="BG531" s="3" t="s">
        <v>74</v>
      </c>
      <c r="BH531" s="3" t="s">
        <v>74</v>
      </c>
      <c r="BI531" s="3">
        <v>31</v>
      </c>
      <c r="BJ531" s="3" t="s">
        <v>153</v>
      </c>
      <c r="BK531" s="3" t="s">
        <v>154</v>
      </c>
      <c r="BL531" s="3" t="s">
        <v>155</v>
      </c>
      <c r="BM531" s="3" t="s">
        <v>10604</v>
      </c>
      <c r="BN531" s="3" t="s">
        <v>74</v>
      </c>
      <c r="BO531" s="3" t="s">
        <v>100</v>
      </c>
      <c r="BP531" s="3" t="s">
        <v>74</v>
      </c>
      <c r="BQ531" s="3" t="s">
        <v>74</v>
      </c>
      <c r="BR531" s="3" t="s">
        <v>101</v>
      </c>
      <c r="BS531" s="3" t="s">
        <v>10605</v>
      </c>
      <c r="BT531" s="3" t="str">
        <f>HYPERLINK("https%3A%2F%2Fwww.webofscience.com%2Fwos%2Fwoscc%2Ffull-record%2FWOS:001270066900001","View Full Record in Web of Science")</f>
        <v>View Full Record in Web of Science</v>
      </c>
      <c r="BU531" s="3"/>
      <c r="BV531" s="3"/>
      <c r="BW531" s="1"/>
    </row>
    <row r="532" spans="1:75" x14ac:dyDescent="0.25">
      <c r="A532" s="3" t="s">
        <v>72</v>
      </c>
      <c r="B532" s="3" t="s">
        <v>10606</v>
      </c>
      <c r="C532" s="3" t="s">
        <v>74</v>
      </c>
      <c r="D532" s="3" t="s">
        <v>74</v>
      </c>
      <c r="E532" s="3" t="s">
        <v>74</v>
      </c>
      <c r="F532" s="3" t="s">
        <v>10607</v>
      </c>
      <c r="G532" s="3" t="s">
        <v>74</v>
      </c>
      <c r="H532" s="3" t="s">
        <v>74</v>
      </c>
      <c r="I532" s="3" t="s">
        <v>10608</v>
      </c>
      <c r="J532" s="3" t="s">
        <v>661</v>
      </c>
      <c r="K532" s="3" t="s">
        <v>74</v>
      </c>
      <c r="L532" s="3" t="s">
        <v>74</v>
      </c>
      <c r="M532" s="3" t="s">
        <v>110</v>
      </c>
      <c r="N532" s="3" t="s">
        <v>216</v>
      </c>
      <c r="O532" s="3" t="s">
        <v>74</v>
      </c>
      <c r="P532" s="3" t="s">
        <v>74</v>
      </c>
      <c r="Q532" s="3" t="s">
        <v>74</v>
      </c>
      <c r="R532" s="3" t="s">
        <v>74</v>
      </c>
      <c r="S532" s="3" t="s">
        <v>74</v>
      </c>
      <c r="T532" s="3" t="s">
        <v>10609</v>
      </c>
      <c r="U532" s="3" t="s">
        <v>10610</v>
      </c>
      <c r="V532" s="3" t="s">
        <v>10611</v>
      </c>
      <c r="W532" s="3" t="s">
        <v>10612</v>
      </c>
      <c r="X532" s="3" t="s">
        <v>475</v>
      </c>
      <c r="Y532" s="3" t="s">
        <v>10613</v>
      </c>
      <c r="Z532" s="3" t="s">
        <v>10614</v>
      </c>
      <c r="AA532" s="3" t="s">
        <v>10615</v>
      </c>
      <c r="AB532" s="3" t="s">
        <v>10616</v>
      </c>
      <c r="AC532" s="3" t="s">
        <v>10617</v>
      </c>
      <c r="AD532" s="3" t="s">
        <v>10618</v>
      </c>
      <c r="AE532" s="3" t="s">
        <v>10619</v>
      </c>
      <c r="AF532" s="3" t="s">
        <v>74</v>
      </c>
      <c r="AG532" s="3">
        <v>117</v>
      </c>
      <c r="AH532" s="3">
        <v>101</v>
      </c>
      <c r="AI532" s="3">
        <v>124</v>
      </c>
      <c r="AJ532" s="3">
        <v>13</v>
      </c>
      <c r="AK532" s="3">
        <v>242</v>
      </c>
      <c r="AL532" s="3" t="s">
        <v>671</v>
      </c>
      <c r="AM532" s="3" t="s">
        <v>124</v>
      </c>
      <c r="AN532" s="3" t="s">
        <v>672</v>
      </c>
      <c r="AO532" s="3" t="s">
        <v>673</v>
      </c>
      <c r="AP532" s="3" t="s">
        <v>674</v>
      </c>
      <c r="AQ532" s="3" t="s">
        <v>74</v>
      </c>
      <c r="AR532" s="3" t="s">
        <v>675</v>
      </c>
      <c r="AS532" s="3" t="s">
        <v>676</v>
      </c>
      <c r="AT532" s="3" t="s">
        <v>283</v>
      </c>
      <c r="AU532" s="3">
        <v>2021</v>
      </c>
      <c r="AV532" s="3">
        <v>71</v>
      </c>
      <c r="AW532" s="3" t="s">
        <v>74</v>
      </c>
      <c r="AX532" s="3" t="s">
        <v>74</v>
      </c>
      <c r="AY532" s="3" t="s">
        <v>74</v>
      </c>
      <c r="AZ532" s="3" t="s">
        <v>74</v>
      </c>
      <c r="BA532" s="3" t="s">
        <v>74</v>
      </c>
      <c r="BB532" s="3" t="s">
        <v>74</v>
      </c>
      <c r="BC532" s="3" t="s">
        <v>74</v>
      </c>
      <c r="BD532" s="3">
        <v>102984</v>
      </c>
      <c r="BE532" s="3" t="s">
        <v>10620</v>
      </c>
      <c r="BF532" s="3" t="str">
        <f>HYPERLINK("http://dx.doi.org/10.1016/j.scs.2021.102984","http://dx.doi.org/10.1016/j.scs.2021.102984")</f>
        <v>http://dx.doi.org/10.1016/j.scs.2021.102984</v>
      </c>
      <c r="BG532" s="3" t="s">
        <v>74</v>
      </c>
      <c r="BH532" s="3" t="s">
        <v>10621</v>
      </c>
      <c r="BI532" s="3">
        <v>11</v>
      </c>
      <c r="BJ532" s="3" t="s">
        <v>680</v>
      </c>
      <c r="BK532" s="3" t="s">
        <v>179</v>
      </c>
      <c r="BL532" s="3" t="s">
        <v>681</v>
      </c>
      <c r="BM532" s="3" t="s">
        <v>10622</v>
      </c>
      <c r="BN532" s="3" t="s">
        <v>74</v>
      </c>
      <c r="BO532" s="3" t="s">
        <v>74</v>
      </c>
      <c r="BP532" s="3" t="s">
        <v>74</v>
      </c>
      <c r="BQ532" s="3" t="s">
        <v>74</v>
      </c>
      <c r="BR532" s="3" t="s">
        <v>101</v>
      </c>
      <c r="BS532" s="3" t="s">
        <v>10623</v>
      </c>
      <c r="BT532" s="3" t="str">
        <f>HYPERLINK("https%3A%2F%2Fwww.webofscience.com%2Fwos%2Fwoscc%2Ffull-record%2FWOS:000660249900001","View Full Record in Web of Science")</f>
        <v>View Full Record in Web of Science</v>
      </c>
      <c r="BU532" s="3"/>
      <c r="BV532" s="3"/>
      <c r="BW532" s="1"/>
    </row>
    <row r="533" spans="1:75" x14ac:dyDescent="0.25">
      <c r="A533" s="3" t="s">
        <v>72</v>
      </c>
      <c r="B533" s="3" t="s">
        <v>10624</v>
      </c>
      <c r="C533" s="3" t="s">
        <v>74</v>
      </c>
      <c r="D533" s="3" t="s">
        <v>74</v>
      </c>
      <c r="E533" s="3" t="s">
        <v>74</v>
      </c>
      <c r="F533" s="3" t="s">
        <v>10625</v>
      </c>
      <c r="G533" s="3" t="s">
        <v>74</v>
      </c>
      <c r="H533" s="3" t="s">
        <v>74</v>
      </c>
      <c r="I533" s="3" t="s">
        <v>10626</v>
      </c>
      <c r="J533" s="3" t="s">
        <v>10476</v>
      </c>
      <c r="K533" s="3" t="s">
        <v>74</v>
      </c>
      <c r="L533" s="3" t="s">
        <v>74</v>
      </c>
      <c r="M533" s="3" t="s">
        <v>110</v>
      </c>
      <c r="N533" s="3" t="s">
        <v>79</v>
      </c>
      <c r="O533" s="3" t="s">
        <v>74</v>
      </c>
      <c r="P533" s="3" t="s">
        <v>74</v>
      </c>
      <c r="Q533" s="3" t="s">
        <v>74</v>
      </c>
      <c r="R533" s="3" t="s">
        <v>74</v>
      </c>
      <c r="S533" s="3" t="s">
        <v>74</v>
      </c>
      <c r="T533" s="3" t="s">
        <v>10627</v>
      </c>
      <c r="U533" s="3" t="s">
        <v>10628</v>
      </c>
      <c r="V533" s="3" t="s">
        <v>10629</v>
      </c>
      <c r="W533" s="3" t="s">
        <v>10630</v>
      </c>
      <c r="X533" s="3" t="s">
        <v>4895</v>
      </c>
      <c r="Y533" s="3" t="s">
        <v>10631</v>
      </c>
      <c r="Z533" s="3" t="s">
        <v>10632</v>
      </c>
      <c r="AA533" s="3" t="s">
        <v>10633</v>
      </c>
      <c r="AB533" s="3" t="s">
        <v>10634</v>
      </c>
      <c r="AC533" s="3" t="s">
        <v>74</v>
      </c>
      <c r="AD533" s="3" t="s">
        <v>74</v>
      </c>
      <c r="AE533" s="3" t="s">
        <v>74</v>
      </c>
      <c r="AF533" s="3" t="s">
        <v>74</v>
      </c>
      <c r="AG533" s="3">
        <v>59</v>
      </c>
      <c r="AH533" s="3">
        <v>6</v>
      </c>
      <c r="AI533" s="3">
        <v>6</v>
      </c>
      <c r="AJ533" s="3">
        <v>1</v>
      </c>
      <c r="AK533" s="3">
        <v>31</v>
      </c>
      <c r="AL533" s="3" t="s">
        <v>2239</v>
      </c>
      <c r="AM533" s="3" t="s">
        <v>2240</v>
      </c>
      <c r="AN533" s="3" t="s">
        <v>2241</v>
      </c>
      <c r="AO533" s="3" t="s">
        <v>10486</v>
      </c>
      <c r="AP533" s="3" t="s">
        <v>10487</v>
      </c>
      <c r="AQ533" s="3" t="s">
        <v>74</v>
      </c>
      <c r="AR533" s="3" t="s">
        <v>10488</v>
      </c>
      <c r="AS533" s="3" t="s">
        <v>10489</v>
      </c>
      <c r="AT533" s="3" t="s">
        <v>74</v>
      </c>
      <c r="AU533" s="3">
        <v>2018</v>
      </c>
      <c r="AV533" s="3">
        <v>48</v>
      </c>
      <c r="AW533" s="3">
        <v>9</v>
      </c>
      <c r="AX533" s="3" t="s">
        <v>74</v>
      </c>
      <c r="AY533" s="3" t="s">
        <v>74</v>
      </c>
      <c r="AZ533" s="3" t="s">
        <v>74</v>
      </c>
      <c r="BA533" s="3" t="s">
        <v>74</v>
      </c>
      <c r="BB533" s="3">
        <v>952</v>
      </c>
      <c r="BC533" s="3">
        <v>972</v>
      </c>
      <c r="BD533" s="3" t="s">
        <v>74</v>
      </c>
      <c r="BE533" s="3" t="s">
        <v>10635</v>
      </c>
      <c r="BF533" s="3" t="str">
        <f>HYPERLINK("http://dx.doi.org/10.1108/IJPDLM-09-2017-0286","http://dx.doi.org/10.1108/IJPDLM-09-2017-0286")</f>
        <v>http://dx.doi.org/10.1108/IJPDLM-09-2017-0286</v>
      </c>
      <c r="BG533" s="3" t="s">
        <v>74</v>
      </c>
      <c r="BH533" s="3" t="s">
        <v>74</v>
      </c>
      <c r="BI533" s="3">
        <v>21</v>
      </c>
      <c r="BJ533" s="3" t="s">
        <v>96</v>
      </c>
      <c r="BK533" s="3" t="s">
        <v>264</v>
      </c>
      <c r="BL533" s="3" t="s">
        <v>98</v>
      </c>
      <c r="BM533" s="3" t="s">
        <v>10636</v>
      </c>
      <c r="BN533" s="3" t="s">
        <v>74</v>
      </c>
      <c r="BO533" s="3" t="s">
        <v>74</v>
      </c>
      <c r="BP533" s="3" t="s">
        <v>74</v>
      </c>
      <c r="BQ533" s="3" t="s">
        <v>74</v>
      </c>
      <c r="BR533" s="3" t="s">
        <v>101</v>
      </c>
      <c r="BS533" s="3" t="s">
        <v>10637</v>
      </c>
      <c r="BT533" s="3" t="str">
        <f>HYPERLINK("https%3A%2F%2Fwww.webofscience.com%2Fwos%2Fwoscc%2Ffull-record%2FWOS:000446474600004","View Full Record in Web of Science")</f>
        <v>View Full Record in Web of Science</v>
      </c>
      <c r="BU533" s="3"/>
      <c r="BV533" s="3"/>
      <c r="BW533" s="1"/>
    </row>
    <row r="534" spans="1:75" x14ac:dyDescent="0.25">
      <c r="A534" s="3" t="s">
        <v>72</v>
      </c>
      <c r="B534" s="3" t="s">
        <v>10638</v>
      </c>
      <c r="C534" s="3" t="s">
        <v>74</v>
      </c>
      <c r="D534" s="3" t="s">
        <v>74</v>
      </c>
      <c r="E534" s="3" t="s">
        <v>74</v>
      </c>
      <c r="F534" s="3" t="s">
        <v>10639</v>
      </c>
      <c r="G534" s="3" t="s">
        <v>74</v>
      </c>
      <c r="H534" s="3" t="s">
        <v>74</v>
      </c>
      <c r="I534" s="3" t="s">
        <v>10640</v>
      </c>
      <c r="J534" s="3" t="s">
        <v>9520</v>
      </c>
      <c r="K534" s="3" t="s">
        <v>74</v>
      </c>
      <c r="L534" s="3" t="s">
        <v>74</v>
      </c>
      <c r="M534" s="3" t="s">
        <v>110</v>
      </c>
      <c r="N534" s="3" t="s">
        <v>79</v>
      </c>
      <c r="O534" s="3" t="s">
        <v>74</v>
      </c>
      <c r="P534" s="3" t="s">
        <v>74</v>
      </c>
      <c r="Q534" s="3" t="s">
        <v>74</v>
      </c>
      <c r="R534" s="3" t="s">
        <v>74</v>
      </c>
      <c r="S534" s="3" t="s">
        <v>74</v>
      </c>
      <c r="T534" s="3" t="s">
        <v>10641</v>
      </c>
      <c r="U534" s="3" t="s">
        <v>10642</v>
      </c>
      <c r="V534" s="3" t="s">
        <v>10643</v>
      </c>
      <c r="W534" s="3" t="s">
        <v>10644</v>
      </c>
      <c r="X534" s="3" t="s">
        <v>10645</v>
      </c>
      <c r="Y534" s="3" t="s">
        <v>10646</v>
      </c>
      <c r="Z534" s="3" t="s">
        <v>10647</v>
      </c>
      <c r="AA534" s="3" t="s">
        <v>10648</v>
      </c>
      <c r="AB534" s="3" t="s">
        <v>10649</v>
      </c>
      <c r="AC534" s="3" t="s">
        <v>10650</v>
      </c>
      <c r="AD534" s="3" t="s">
        <v>10651</v>
      </c>
      <c r="AE534" s="3" t="s">
        <v>10652</v>
      </c>
      <c r="AF534" s="3" t="s">
        <v>74</v>
      </c>
      <c r="AG534" s="3">
        <v>61</v>
      </c>
      <c r="AH534" s="3">
        <v>12</v>
      </c>
      <c r="AI534" s="3">
        <v>14</v>
      </c>
      <c r="AJ534" s="3">
        <v>20</v>
      </c>
      <c r="AK534" s="3">
        <v>106</v>
      </c>
      <c r="AL534" s="3" t="s">
        <v>304</v>
      </c>
      <c r="AM534" s="3" t="s">
        <v>305</v>
      </c>
      <c r="AN534" s="3" t="s">
        <v>306</v>
      </c>
      <c r="AO534" s="3" t="s">
        <v>9532</v>
      </c>
      <c r="AP534" s="3" t="s">
        <v>10653</v>
      </c>
      <c r="AQ534" s="3" t="s">
        <v>74</v>
      </c>
      <c r="AR534" s="3" t="s">
        <v>9533</v>
      </c>
      <c r="AS534" s="3" t="s">
        <v>9534</v>
      </c>
      <c r="AT534" s="3" t="s">
        <v>1240</v>
      </c>
      <c r="AU534" s="3">
        <v>2024</v>
      </c>
      <c r="AV534" s="3">
        <v>147</v>
      </c>
      <c r="AW534" s="3" t="s">
        <v>74</v>
      </c>
      <c r="AX534" s="3" t="s">
        <v>74</v>
      </c>
      <c r="AY534" s="3" t="s">
        <v>74</v>
      </c>
      <c r="AZ534" s="3" t="s">
        <v>74</v>
      </c>
      <c r="BA534" s="3" t="s">
        <v>74</v>
      </c>
      <c r="BB534" s="3" t="s">
        <v>74</v>
      </c>
      <c r="BC534" s="3" t="s">
        <v>74</v>
      </c>
      <c r="BD534" s="3">
        <v>105678</v>
      </c>
      <c r="BE534" s="3" t="s">
        <v>10654</v>
      </c>
      <c r="BF534" s="3" t="str">
        <f>HYPERLINK("http://dx.doi.org/10.1016/j.tust.2024.105678","http://dx.doi.org/10.1016/j.tust.2024.105678")</f>
        <v>http://dx.doi.org/10.1016/j.tust.2024.105678</v>
      </c>
      <c r="BG534" s="3" t="s">
        <v>74</v>
      </c>
      <c r="BH534" s="3" t="s">
        <v>2733</v>
      </c>
      <c r="BI534" s="3">
        <v>15</v>
      </c>
      <c r="BJ534" s="3" t="s">
        <v>1777</v>
      </c>
      <c r="BK534" s="3" t="s">
        <v>179</v>
      </c>
      <c r="BL534" s="3" t="s">
        <v>994</v>
      </c>
      <c r="BM534" s="3" t="s">
        <v>10655</v>
      </c>
      <c r="BN534" s="3" t="s">
        <v>74</v>
      </c>
      <c r="BO534" s="3" t="s">
        <v>74</v>
      </c>
      <c r="BP534" s="3" t="s">
        <v>74</v>
      </c>
      <c r="BQ534" s="3" t="s">
        <v>74</v>
      </c>
      <c r="BR534" s="3" t="s">
        <v>101</v>
      </c>
      <c r="BS534" s="3" t="s">
        <v>10656</v>
      </c>
      <c r="BT534" s="3" t="str">
        <f>HYPERLINK("https%3A%2F%2Fwww.webofscience.com%2Fwos%2Fwoscc%2Ffull-record%2FWOS:001204479200001","View Full Record in Web of Science")</f>
        <v>View Full Record in Web of Science</v>
      </c>
      <c r="BU534" s="3"/>
      <c r="BV534" s="3"/>
      <c r="BW534" s="1"/>
    </row>
    <row r="535" spans="1:75" x14ac:dyDescent="0.25">
      <c r="A535" s="3" t="s">
        <v>72</v>
      </c>
      <c r="B535" s="3" t="s">
        <v>10657</v>
      </c>
      <c r="C535" s="3" t="s">
        <v>74</v>
      </c>
      <c r="D535" s="3" t="s">
        <v>74</v>
      </c>
      <c r="E535" s="3" t="s">
        <v>74</v>
      </c>
      <c r="F535" s="3" t="s">
        <v>10658</v>
      </c>
      <c r="G535" s="3" t="s">
        <v>74</v>
      </c>
      <c r="H535" s="3" t="s">
        <v>74</v>
      </c>
      <c r="I535" s="3" t="s">
        <v>10659</v>
      </c>
      <c r="J535" s="3" t="s">
        <v>10660</v>
      </c>
      <c r="K535" s="3" t="s">
        <v>74</v>
      </c>
      <c r="L535" s="3" t="s">
        <v>74</v>
      </c>
      <c r="M535" s="3" t="s">
        <v>110</v>
      </c>
      <c r="N535" s="3" t="s">
        <v>79</v>
      </c>
      <c r="O535" s="3" t="s">
        <v>74</v>
      </c>
      <c r="P535" s="3" t="s">
        <v>74</v>
      </c>
      <c r="Q535" s="3" t="s">
        <v>74</v>
      </c>
      <c r="R535" s="3" t="s">
        <v>74</v>
      </c>
      <c r="S535" s="3" t="s">
        <v>74</v>
      </c>
      <c r="T535" s="3" t="s">
        <v>10661</v>
      </c>
      <c r="U535" s="3" t="s">
        <v>10662</v>
      </c>
      <c r="V535" s="3" t="s">
        <v>10663</v>
      </c>
      <c r="W535" s="3" t="s">
        <v>10664</v>
      </c>
      <c r="X535" s="3" t="s">
        <v>10665</v>
      </c>
      <c r="Y535" s="3" t="s">
        <v>10666</v>
      </c>
      <c r="Z535" s="3" t="s">
        <v>10667</v>
      </c>
      <c r="AA535" s="3" t="s">
        <v>10668</v>
      </c>
      <c r="AB535" s="3" t="s">
        <v>10669</v>
      </c>
      <c r="AC535" s="3" t="s">
        <v>10670</v>
      </c>
      <c r="AD535" s="3" t="s">
        <v>10670</v>
      </c>
      <c r="AE535" s="3" t="s">
        <v>10671</v>
      </c>
      <c r="AF535" s="3" t="s">
        <v>74</v>
      </c>
      <c r="AG535" s="3">
        <v>60</v>
      </c>
      <c r="AH535" s="3">
        <v>24</v>
      </c>
      <c r="AI535" s="3">
        <v>30</v>
      </c>
      <c r="AJ535" s="3">
        <v>1</v>
      </c>
      <c r="AK535" s="3">
        <v>24</v>
      </c>
      <c r="AL535" s="3" t="s">
        <v>304</v>
      </c>
      <c r="AM535" s="3" t="s">
        <v>305</v>
      </c>
      <c r="AN535" s="3" t="s">
        <v>306</v>
      </c>
      <c r="AO535" s="3" t="s">
        <v>10672</v>
      </c>
      <c r="AP535" s="3" t="s">
        <v>74</v>
      </c>
      <c r="AQ535" s="3" t="s">
        <v>74</v>
      </c>
      <c r="AR535" s="3" t="s">
        <v>10673</v>
      </c>
      <c r="AS535" s="3" t="s">
        <v>10674</v>
      </c>
      <c r="AT535" s="3" t="s">
        <v>151</v>
      </c>
      <c r="AU535" s="3">
        <v>2019</v>
      </c>
      <c r="AV535" s="3">
        <v>89</v>
      </c>
      <c r="AW535" s="3" t="s">
        <v>74</v>
      </c>
      <c r="AX535" s="3" t="s">
        <v>74</v>
      </c>
      <c r="AY535" s="3" t="s">
        <v>74</v>
      </c>
      <c r="AZ535" s="3" t="s">
        <v>74</v>
      </c>
      <c r="BA535" s="3" t="s">
        <v>74</v>
      </c>
      <c r="BB535" s="3">
        <v>193</v>
      </c>
      <c r="BC535" s="3">
        <v>211</v>
      </c>
      <c r="BD535" s="3" t="s">
        <v>74</v>
      </c>
      <c r="BE535" s="3" t="s">
        <v>10675</v>
      </c>
      <c r="BF535" s="3" t="str">
        <f>HYPERLINK("http://dx.doi.org/10.1016/j.omega.2018.10.005","http://dx.doi.org/10.1016/j.omega.2018.10.005")</f>
        <v>http://dx.doi.org/10.1016/j.omega.2018.10.005</v>
      </c>
      <c r="BG535" s="3" t="s">
        <v>74</v>
      </c>
      <c r="BH535" s="3" t="s">
        <v>74</v>
      </c>
      <c r="BI535" s="3">
        <v>19</v>
      </c>
      <c r="BJ535" s="3" t="s">
        <v>3346</v>
      </c>
      <c r="BK535" s="3" t="s">
        <v>154</v>
      </c>
      <c r="BL535" s="3" t="s">
        <v>3347</v>
      </c>
      <c r="BM535" s="3" t="s">
        <v>10676</v>
      </c>
      <c r="BN535" s="3" t="s">
        <v>74</v>
      </c>
      <c r="BO535" s="3" t="s">
        <v>683</v>
      </c>
      <c r="BP535" s="3" t="s">
        <v>74</v>
      </c>
      <c r="BQ535" s="3" t="s">
        <v>74</v>
      </c>
      <c r="BR535" s="3" t="s">
        <v>101</v>
      </c>
      <c r="BS535" s="3" t="s">
        <v>10677</v>
      </c>
      <c r="BT535" s="3" t="str">
        <f>HYPERLINK("https%3A%2F%2Fwww.webofscience.com%2Fwos%2Fwoscc%2Ffull-record%2FWOS:000488142100013","View Full Record in Web of Science")</f>
        <v>View Full Record in Web of Science</v>
      </c>
      <c r="BU535" s="3"/>
      <c r="BV535" s="3"/>
      <c r="BW535" s="1"/>
    </row>
    <row r="536" spans="1:75" x14ac:dyDescent="0.25">
      <c r="A536" s="3" t="s">
        <v>72</v>
      </c>
      <c r="B536" s="3" t="s">
        <v>10678</v>
      </c>
      <c r="C536" s="3" t="s">
        <v>74</v>
      </c>
      <c r="D536" s="3" t="s">
        <v>74</v>
      </c>
      <c r="E536" s="3" t="s">
        <v>74</v>
      </c>
      <c r="F536" s="3" t="s">
        <v>10679</v>
      </c>
      <c r="G536" s="3" t="s">
        <v>74</v>
      </c>
      <c r="H536" s="3" t="s">
        <v>74</v>
      </c>
      <c r="I536" s="3" t="s">
        <v>10680</v>
      </c>
      <c r="J536" s="3" t="s">
        <v>10476</v>
      </c>
      <c r="K536" s="3" t="s">
        <v>74</v>
      </c>
      <c r="L536" s="3" t="s">
        <v>74</v>
      </c>
      <c r="M536" s="3" t="s">
        <v>110</v>
      </c>
      <c r="N536" s="3" t="s">
        <v>216</v>
      </c>
      <c r="O536" s="3" t="s">
        <v>74</v>
      </c>
      <c r="P536" s="3" t="s">
        <v>74</v>
      </c>
      <c r="Q536" s="3" t="s">
        <v>74</v>
      </c>
      <c r="R536" s="3" t="s">
        <v>74</v>
      </c>
      <c r="S536" s="3" t="s">
        <v>74</v>
      </c>
      <c r="T536" s="3" t="s">
        <v>10681</v>
      </c>
      <c r="U536" s="3" t="s">
        <v>10682</v>
      </c>
      <c r="V536" s="3" t="s">
        <v>10683</v>
      </c>
      <c r="W536" s="3" t="s">
        <v>10684</v>
      </c>
      <c r="X536" s="3" t="s">
        <v>10685</v>
      </c>
      <c r="Y536" s="3" t="s">
        <v>10686</v>
      </c>
      <c r="Z536" s="3" t="s">
        <v>10687</v>
      </c>
      <c r="AA536" s="3" t="s">
        <v>10688</v>
      </c>
      <c r="AB536" s="3" t="s">
        <v>10689</v>
      </c>
      <c r="AC536" s="3" t="s">
        <v>10690</v>
      </c>
      <c r="AD536" s="3" t="s">
        <v>10691</v>
      </c>
      <c r="AE536" s="3" t="s">
        <v>10692</v>
      </c>
      <c r="AF536" s="3" t="s">
        <v>74</v>
      </c>
      <c r="AG536" s="3">
        <v>86</v>
      </c>
      <c r="AH536" s="3">
        <v>240</v>
      </c>
      <c r="AI536" s="3">
        <v>291</v>
      </c>
      <c r="AJ536" s="3">
        <v>13</v>
      </c>
      <c r="AK536" s="3">
        <v>370</v>
      </c>
      <c r="AL536" s="3" t="s">
        <v>2239</v>
      </c>
      <c r="AM536" s="3" t="s">
        <v>2240</v>
      </c>
      <c r="AN536" s="3" t="s">
        <v>2241</v>
      </c>
      <c r="AO536" s="3" t="s">
        <v>10486</v>
      </c>
      <c r="AP536" s="3" t="s">
        <v>10487</v>
      </c>
      <c r="AQ536" s="3" t="s">
        <v>74</v>
      </c>
      <c r="AR536" s="3" t="s">
        <v>10488</v>
      </c>
      <c r="AS536" s="3" t="s">
        <v>10489</v>
      </c>
      <c r="AT536" s="3" t="s">
        <v>74</v>
      </c>
      <c r="AU536" s="3">
        <v>2018</v>
      </c>
      <c r="AV536" s="3">
        <v>48</v>
      </c>
      <c r="AW536" s="3">
        <v>3</v>
      </c>
      <c r="AX536" s="3" t="s">
        <v>74</v>
      </c>
      <c r="AY536" s="3" t="s">
        <v>74</v>
      </c>
      <c r="AZ536" s="3" t="s">
        <v>880</v>
      </c>
      <c r="BA536" s="3" t="s">
        <v>74</v>
      </c>
      <c r="BB536" s="3">
        <v>308</v>
      </c>
      <c r="BC536" s="3">
        <v>332</v>
      </c>
      <c r="BD536" s="3" t="s">
        <v>74</v>
      </c>
      <c r="BE536" s="3" t="s">
        <v>10693</v>
      </c>
      <c r="BF536" s="3" t="str">
        <f>HYPERLINK("http://dx.doi.org/10.1108/IJPDLM-02-2017-0081","http://dx.doi.org/10.1108/IJPDLM-02-2017-0081")</f>
        <v>http://dx.doi.org/10.1108/IJPDLM-02-2017-0081</v>
      </c>
      <c r="BG536" s="3" t="s">
        <v>74</v>
      </c>
      <c r="BH536" s="3" t="s">
        <v>74</v>
      </c>
      <c r="BI536" s="3">
        <v>25</v>
      </c>
      <c r="BJ536" s="3" t="s">
        <v>96</v>
      </c>
      <c r="BK536" s="3" t="s">
        <v>264</v>
      </c>
      <c r="BL536" s="3" t="s">
        <v>98</v>
      </c>
      <c r="BM536" s="3" t="s">
        <v>10694</v>
      </c>
      <c r="BN536" s="3" t="s">
        <v>74</v>
      </c>
      <c r="BO536" s="3" t="s">
        <v>884</v>
      </c>
      <c r="BP536" s="3" t="s">
        <v>74</v>
      </c>
      <c r="BQ536" s="3" t="s">
        <v>74</v>
      </c>
      <c r="BR536" s="3" t="s">
        <v>101</v>
      </c>
      <c r="BS536" s="3" t="s">
        <v>10695</v>
      </c>
      <c r="BT536" s="3" t="str">
        <f>HYPERLINK("https%3A%2F%2Fwww.webofscience.com%2Fwos%2Fwoscc%2Ffull-record%2FWOS:000428168900006","View Full Record in Web of Science")</f>
        <v>View Full Record in Web of Science</v>
      </c>
      <c r="BU536" s="3"/>
      <c r="BV536" s="3"/>
      <c r="BW536" s="1"/>
    </row>
    <row r="537" spans="1:75" x14ac:dyDescent="0.25">
      <c r="A537" s="3" t="s">
        <v>72</v>
      </c>
      <c r="B537" s="3" t="s">
        <v>10696</v>
      </c>
      <c r="C537" s="3" t="s">
        <v>74</v>
      </c>
      <c r="D537" s="3" t="s">
        <v>74</v>
      </c>
      <c r="E537" s="3" t="s">
        <v>74</v>
      </c>
      <c r="F537" s="3" t="s">
        <v>10697</v>
      </c>
      <c r="G537" s="3" t="s">
        <v>74</v>
      </c>
      <c r="H537" s="3" t="s">
        <v>74</v>
      </c>
      <c r="I537" s="3" t="s">
        <v>10698</v>
      </c>
      <c r="J537" s="3" t="s">
        <v>10699</v>
      </c>
      <c r="K537" s="3" t="s">
        <v>74</v>
      </c>
      <c r="L537" s="3" t="s">
        <v>74</v>
      </c>
      <c r="M537" s="3" t="s">
        <v>110</v>
      </c>
      <c r="N537" s="3" t="s">
        <v>79</v>
      </c>
      <c r="O537" s="3" t="s">
        <v>74</v>
      </c>
      <c r="P537" s="3" t="s">
        <v>74</v>
      </c>
      <c r="Q537" s="3" t="s">
        <v>74</v>
      </c>
      <c r="R537" s="3" t="s">
        <v>74</v>
      </c>
      <c r="S537" s="3" t="s">
        <v>74</v>
      </c>
      <c r="T537" s="3" t="s">
        <v>10700</v>
      </c>
      <c r="U537" s="3" t="s">
        <v>10701</v>
      </c>
      <c r="V537" s="3" t="s">
        <v>10702</v>
      </c>
      <c r="W537" s="3" t="s">
        <v>10703</v>
      </c>
      <c r="X537" s="3" t="s">
        <v>10704</v>
      </c>
      <c r="Y537" s="3" t="s">
        <v>10705</v>
      </c>
      <c r="Z537" s="3" t="s">
        <v>10706</v>
      </c>
      <c r="AA537" s="3" t="s">
        <v>10707</v>
      </c>
      <c r="AB537" s="3" t="s">
        <v>10708</v>
      </c>
      <c r="AC537" s="3" t="s">
        <v>10709</v>
      </c>
      <c r="AD537" s="3" t="s">
        <v>10710</v>
      </c>
      <c r="AE537" s="3" t="s">
        <v>10711</v>
      </c>
      <c r="AF537" s="3" t="s">
        <v>74</v>
      </c>
      <c r="AG537" s="3">
        <v>53</v>
      </c>
      <c r="AH537" s="3">
        <v>3</v>
      </c>
      <c r="AI537" s="3">
        <v>3</v>
      </c>
      <c r="AJ537" s="3">
        <v>1</v>
      </c>
      <c r="AK537" s="3">
        <v>6</v>
      </c>
      <c r="AL537" s="3" t="s">
        <v>671</v>
      </c>
      <c r="AM537" s="3" t="s">
        <v>124</v>
      </c>
      <c r="AN537" s="3" t="s">
        <v>672</v>
      </c>
      <c r="AO537" s="3" t="s">
        <v>10712</v>
      </c>
      <c r="AP537" s="3" t="s">
        <v>74</v>
      </c>
      <c r="AQ537" s="3" t="s">
        <v>74</v>
      </c>
      <c r="AR537" s="3" t="s">
        <v>10713</v>
      </c>
      <c r="AS537" s="3" t="s">
        <v>10714</v>
      </c>
      <c r="AT537" s="3" t="s">
        <v>151</v>
      </c>
      <c r="AU537" s="3">
        <v>2024</v>
      </c>
      <c r="AV537" s="3">
        <v>13</v>
      </c>
      <c r="AW537" s="3" t="s">
        <v>74</v>
      </c>
      <c r="AX537" s="3" t="s">
        <v>74</v>
      </c>
      <c r="AY537" s="3" t="s">
        <v>74</v>
      </c>
      <c r="AZ537" s="3" t="s">
        <v>74</v>
      </c>
      <c r="BA537" s="3" t="s">
        <v>74</v>
      </c>
      <c r="BB537" s="3" t="s">
        <v>74</v>
      </c>
      <c r="BC537" s="3" t="s">
        <v>74</v>
      </c>
      <c r="BD537" s="3">
        <v>100175</v>
      </c>
      <c r="BE537" s="3" t="s">
        <v>10715</v>
      </c>
      <c r="BF537" s="3" t="str">
        <f>HYPERLINK("http://dx.doi.org/10.1016/j.clscn.2024.100175","http://dx.doi.org/10.1016/j.clscn.2024.100175")</f>
        <v>http://dx.doi.org/10.1016/j.clscn.2024.100175</v>
      </c>
      <c r="BG537" s="3" t="s">
        <v>74</v>
      </c>
      <c r="BH537" s="3" t="s">
        <v>262</v>
      </c>
      <c r="BI537" s="3">
        <v>12</v>
      </c>
      <c r="BJ537" s="3" t="s">
        <v>1060</v>
      </c>
      <c r="BK537" s="3" t="s">
        <v>97</v>
      </c>
      <c r="BL537" s="3" t="s">
        <v>1060</v>
      </c>
      <c r="BM537" s="3" t="s">
        <v>10716</v>
      </c>
      <c r="BN537" s="3" t="s">
        <v>74</v>
      </c>
      <c r="BO537" s="3" t="s">
        <v>100</v>
      </c>
      <c r="BP537" s="3" t="s">
        <v>74</v>
      </c>
      <c r="BQ537" s="3" t="s">
        <v>74</v>
      </c>
      <c r="BR537" s="3" t="s">
        <v>101</v>
      </c>
      <c r="BS537" s="3" t="s">
        <v>10717</v>
      </c>
      <c r="BT537" s="3" t="str">
        <f>HYPERLINK("https%3A%2F%2Fwww.webofscience.com%2Fwos%2Fwoscc%2Ffull-record%2FWOS:001333196600001","View Full Record in Web of Science")</f>
        <v>View Full Record in Web of Science</v>
      </c>
      <c r="BU537" s="3"/>
      <c r="BV537" s="3"/>
      <c r="BW537" s="1"/>
    </row>
  </sheetData>
  <pageMargins left="0.75" right="0.75" top="1" bottom="1" header="0.5" footer="0.5"/>
  <pageSetup orientation="portrait" horizontalDpi="300" verticalDpi="300"/>
  <headerFooter alignWithMargins="0"/>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E459C664CE0CE409FD28E86A9F1FE55" ma:contentTypeVersion="9" ma:contentTypeDescription="Create a new document." ma:contentTypeScope="" ma:versionID="c7f75cbff8db7a574c293a56b2e8f4bb">
  <xsd:schema xmlns:xsd="http://www.w3.org/2001/XMLSchema" xmlns:xs="http://www.w3.org/2001/XMLSchema" xmlns:p="http://schemas.microsoft.com/office/2006/metadata/properties" xmlns:ns3="4e5953ec-9d50-4985-9eed-2768e52c77a2" targetNamespace="http://schemas.microsoft.com/office/2006/metadata/properties" ma:root="true" ma:fieldsID="43d08cc8e7cad07c05dc97d18bf39717" ns3:_="">
    <xsd:import namespace="4e5953ec-9d50-4985-9eed-2768e52c77a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5953ec-9d50-4985-9eed-2768e52c77a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AA008B-B504-4015-A39F-3038CF6928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5953ec-9d50-4985-9eed-2768e52c77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566FA8F-231A-4632-8A70-4729A15D45A8}">
  <ds:schemaRefs>
    <ds:schemaRef ds:uri="http://schemas.openxmlformats.org/package/2006/metadata/core-properties"/>
    <ds:schemaRef ds:uri="http://schemas.microsoft.com/office/infopath/2007/PartnerControls"/>
    <ds:schemaRef ds:uri="http://purl.org/dc/terms/"/>
    <ds:schemaRef ds:uri="http://schemas.microsoft.com/office/2006/metadata/properties"/>
    <ds:schemaRef ds:uri="http://purl.org/dc/elements/1.1/"/>
    <ds:schemaRef ds:uri="http://purl.org/dc/dcmitype/"/>
    <ds:schemaRef ds:uri="4e5953ec-9d50-4985-9eed-2768e52c77a2"/>
    <ds:schemaRef ds:uri="http://schemas.microsoft.com/office/2006/documentManagement/types"/>
    <ds:schemaRef ds:uri="http://www.w3.org/XML/1998/namespace"/>
  </ds:schemaRefs>
</ds:datastoreItem>
</file>

<file path=customXml/itemProps3.xml><?xml version="1.0" encoding="utf-8"?>
<ds:datastoreItem xmlns:ds="http://schemas.openxmlformats.org/officeDocument/2006/customXml" ds:itemID="{0492E744-EB2C-4FD2-A28C-2FEC7DCCF1B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vt:i4>
      </vt:variant>
      <vt:variant>
        <vt:lpstr>Intervalos com Nome</vt:lpstr>
      </vt:variant>
      <vt:variant>
        <vt:i4>1</vt:i4>
      </vt:variant>
    </vt:vector>
  </HeadingPairs>
  <TitlesOfParts>
    <vt:vector size="2" baseType="lpstr">
      <vt:lpstr>savedrecs</vt:lpstr>
      <vt:lpstr>H3xBW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Miguel Moreira Junqueira</dc:creator>
  <cp:lastModifiedBy>Eduardo Miguel Moreira Junqueira</cp:lastModifiedBy>
  <dcterms:created xsi:type="dcterms:W3CDTF">2025-12-02T19:08:22Z</dcterms:created>
  <dcterms:modified xsi:type="dcterms:W3CDTF">2025-12-16T18:45:34Z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0x0101000E459C664CE0CE409FD28E86A9F1FE55</vt:lpwstr>
  </property>
</Properties>
</file>