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doMiguelMoreira\Documents\Urban-Logistics-in-Smart-Cities-Data-Base\"/>
    </mc:Choice>
  </mc:AlternateContent>
  <xr:revisionPtr revIDLastSave="0" documentId="13_ncr:1_{0D5C9F6D-85CE-4BF0-83C6-9909B26EC1AA}" xr6:coauthVersionLast="47" xr6:coauthVersionMax="47" xr10:uidLastSave="{00000000-0000-0000-0000-000000000000}"/>
  <bookViews>
    <workbookView xWindow="-108" yWindow="-108" windowWidth="23256" windowHeight="14616" xr2:uid="{C7991221-8614-426D-8515-0C1A08C5B575}"/>
  </bookViews>
  <sheets>
    <sheet name="Articles" sheetId="1" r:id="rId1"/>
    <sheet name="Source" sheetId="2" r:id="rId2"/>
    <sheet name="Autho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3" i="1"/>
  <c r="I8" i="1"/>
  <c r="I7" i="1"/>
  <c r="I2" i="1"/>
  <c r="I4" i="1"/>
  <c r="I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António Amaral</author>
    <author>tc={E9ED3076-A276-41E7-825F-DC313DF3E78E}</author>
    <author>tc={79F3CCE4-2ABC-4E30-90B7-3D7D9C6C4F86}</author>
    <author>tc={A20F6885-D315-46F7-803A-65AB266DCA87}</author>
    <author>tc={CA8DD1A6-6F9E-46B4-9180-2DD65AA4A051}</author>
    <author>tc={DF70AFCA-E1EA-4CB6-A733-F063B031F6AF}</author>
    <author>tc={5FE4F9DF-4A73-49E7-8123-21BDEC3B9E01}</author>
    <author>tc={8C398A6F-38A1-4A2F-B42D-BC664868361F}</author>
  </authors>
  <commentList>
    <comment ref="H1" authorId="0" shapeId="0" xr:uid="{CFCCBC2B-A093-460E-977F-8DAF70F36CC1}">
      <text>
        <r>
          <rPr>
            <b/>
            <sz val="9"/>
            <color indexed="81"/>
            <rFont val="Tahoma"/>
            <family val="2"/>
          </rPr>
          <t>António Amaral:</t>
        </r>
        <r>
          <rPr>
            <sz val="9"/>
            <color indexed="81"/>
            <rFont val="Tahoma"/>
            <family val="2"/>
          </rPr>
          <t xml:space="preserve">
In Web of Science Core Collection</t>
        </r>
      </text>
    </comment>
    <comment ref="D2" authorId="1" shapeId="0" xr:uid="{E9ED3076-A276-41E7-825F-DC313DF3E78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1</t>
      </text>
    </comment>
    <comment ref="D3" authorId="2" shapeId="0" xr:uid="{79F3CCE4-2ABC-4E30-90B7-3D7D9C6C4F8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2</t>
      </text>
    </comment>
    <comment ref="D4" authorId="3" shapeId="0" xr:uid="{A20F6885-D315-46F7-803A-65AB266DCA8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3</t>
      </text>
    </comment>
    <comment ref="D5" authorId="4" shapeId="0" xr:uid="{CA8DD1A6-6F9E-46B4-9180-2DD65AA4A05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4</t>
      </text>
    </comment>
    <comment ref="D6" authorId="5" shapeId="0" xr:uid="{DF70AFCA-E1EA-4CB6-A733-F063B031F6A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5</t>
      </text>
    </comment>
    <comment ref="D7" authorId="6" shapeId="0" xr:uid="{5FE4F9DF-4A73-49E7-8123-21BDEC3B9E0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6</t>
      </text>
    </comment>
    <comment ref="D8" authorId="7" shapeId="0" xr:uid="{8C398A6F-38A1-4A2F-B42D-BC664868361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7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António Amaral</author>
  </authors>
  <commentList>
    <comment ref="E1" authorId="0" shapeId="0" xr:uid="{5AFEE0C3-F00B-411A-AF7C-E2FDAE394CEB}">
      <text>
        <r>
          <rPr>
            <b/>
            <sz val="9"/>
            <color indexed="81"/>
            <rFont val="Tahoma"/>
            <family val="2"/>
          </rPr>
          <t>António Amaral:</t>
        </r>
        <r>
          <rPr>
            <sz val="9"/>
            <color indexed="81"/>
            <rFont val="Tahoma"/>
            <family val="2"/>
          </rPr>
          <t xml:space="preserve">
Without self-citations</t>
        </r>
      </text>
    </comment>
  </commentList>
</comments>
</file>

<file path=xl/sharedStrings.xml><?xml version="1.0" encoding="utf-8"?>
<sst xmlns="http://schemas.openxmlformats.org/spreadsheetml/2006/main" count="102" uniqueCount="84">
  <si>
    <t>Authors</t>
  </si>
  <si>
    <t>Year</t>
  </si>
  <si>
    <t>Title</t>
  </si>
  <si>
    <t>DOI</t>
  </si>
  <si>
    <t>Publication Source</t>
  </si>
  <si>
    <t>References</t>
  </si>
  <si>
    <t>Journal Impact Factor (5 years)</t>
  </si>
  <si>
    <t>Category Quartile</t>
  </si>
  <si>
    <t>Q1</t>
  </si>
  <si>
    <t>Category Rank</t>
  </si>
  <si>
    <t>Citations</t>
  </si>
  <si>
    <t>Lead Author Publicaton Name</t>
  </si>
  <si>
    <t>Nr. Publications</t>
  </si>
  <si>
    <t>Times Cited</t>
  </si>
  <si>
    <t>H-index</t>
  </si>
  <si>
    <t>Average Citations/year</t>
  </si>
  <si>
    <t>Designing new models for energy efficiency in urban freight transport for smart cities and its application to the Spanish case</t>
  </si>
  <si>
    <t>Navarro, C; Roca-Riu, M; Furió, S; Estrada, M</t>
  </si>
  <si>
    <t>10.1016/j.trpro.2016.02.068</t>
  </si>
  <si>
    <t>10.3390/su162411265</t>
  </si>
  <si>
    <t>10.3390/en15114103</t>
  </si>
  <si>
    <t>Mohsen, BM</t>
  </si>
  <si>
    <t>Dohn, K; Kramarz, M; Przybylska, E</t>
  </si>
  <si>
    <t>AI-Driven Optimization of Urban Logistics in Smart Cities: Integrating Autonomous Vehicles and IoT for Efficient Delivery Systems</t>
  </si>
  <si>
    <t>Interaction with City Logistics Stakeholders as a Factor of the Development of Polish Cities on the Way to Becoming Smart Cities</t>
  </si>
  <si>
    <t>Leyerer, M; Sonneberg, MO; Heumann, M; Breitner, MH</t>
  </si>
  <si>
    <t>Correia, D; Vagos, C; Marques, JL; Teixeira, L</t>
  </si>
  <si>
    <t>Shortening the Last Mile in Urban Areas: Optimizing a Smart Logistics Concept for E-Grocery Operations</t>
  </si>
  <si>
    <t>Fulfilment of last-mile urban logistics for sustainable and inclusive smart cities: a case study conducted in Portugal</t>
  </si>
  <si>
    <t>A Review of Technical Standards for Smart Cities</t>
  </si>
  <si>
    <t>Collaborative urban transportation: Recent advances in theory and practice</t>
  </si>
  <si>
    <t>10.3390/smartcities3030031</t>
  </si>
  <si>
    <t>10.1080/13675567.2022.2130211</t>
  </si>
  <si>
    <t>10.3390/cleantechnol2030019</t>
  </si>
  <si>
    <t>10.1016/j.ejor.2018.04.037</t>
  </si>
  <si>
    <t>Transportation Research Procedia</t>
  </si>
  <si>
    <t>Sustainability</t>
  </si>
  <si>
    <t>Energies</t>
  </si>
  <si>
    <t>Smart Cities</t>
  </si>
  <si>
    <t>International Journal of Logistics Research and Applications</t>
  </si>
  <si>
    <t>Clean Technologies</t>
  </si>
  <si>
    <t>European Journal of Operational Research (EJOR)</t>
  </si>
  <si>
    <t>Cleophas,C; Cottrill,C;Ehmke,J,F; Tierney,K</t>
  </si>
  <si>
    <t>Lai,C,S; Jia,Y; Dong,Z; Wang,D; Tao,Y; Lai,Q,H; Wong,R,T,K; Zobaa,A,F; Wu,R; Lai,L,L</t>
  </si>
  <si>
    <t>Q3</t>
  </si>
  <si>
    <t>67/103</t>
  </si>
  <si>
    <t>97/420</t>
  </si>
  <si>
    <t>112/182</t>
  </si>
  <si>
    <t>67/368</t>
  </si>
  <si>
    <t>nd</t>
  </si>
  <si>
    <t>52/103</t>
  </si>
  <si>
    <t>14/106</t>
  </si>
  <si>
    <t>Relevant Authors</t>
  </si>
  <si>
    <t xml:space="preserve"> Teixeira, L</t>
  </si>
  <si>
    <t>Kramarz, M</t>
  </si>
  <si>
    <t>Tierney,K</t>
  </si>
  <si>
    <t>Estrada, M</t>
  </si>
  <si>
    <t>Breitner, MH</t>
  </si>
  <si>
    <t>References in Article</t>
  </si>
  <si>
    <t>Lai,L,L</t>
  </si>
  <si>
    <r>
      <t xml:space="preserve">Lai,C,S; Jia,Y; Dong,Z; Wang,D; Tao,Y; Lai,Q,H; Wong,R,T,K; Zobaa,A,F; Wu,R; </t>
    </r>
    <r>
      <rPr>
        <b/>
        <sz val="12"/>
        <rFont val="Times New Roman"/>
        <family val="1"/>
      </rPr>
      <t>Lai,L,L</t>
    </r>
  </si>
  <si>
    <r>
      <t xml:space="preserve">Cleophas,C; Cottrill,C;Ehmke,J,F; </t>
    </r>
    <r>
      <rPr>
        <b/>
        <sz val="12"/>
        <color theme="1"/>
        <rFont val="Times New Roman"/>
        <family val="1"/>
      </rPr>
      <t>Tierney,K</t>
    </r>
  </si>
  <si>
    <r>
      <t xml:space="preserve">Leyerer, M; Sonneberg, MO; Heumann, M; </t>
    </r>
    <r>
      <rPr>
        <b/>
        <sz val="12"/>
        <rFont val="Times New Roman"/>
        <family val="1"/>
      </rPr>
      <t>Breitner, MH</t>
    </r>
  </si>
  <si>
    <r>
      <t>Navarro, C; Roca-Riu, M; Furió, S;</t>
    </r>
    <r>
      <rPr>
        <b/>
        <sz val="12"/>
        <color theme="1"/>
        <rFont val="Times New Roman"/>
        <family val="1"/>
      </rPr>
      <t xml:space="preserve"> Estrada, M</t>
    </r>
  </si>
  <si>
    <r>
      <t xml:space="preserve">Correia, D; Vagos, C; Marques, JL; </t>
    </r>
    <r>
      <rPr>
        <b/>
        <sz val="12"/>
        <color theme="1"/>
        <rFont val="Times New Roman"/>
        <family val="1"/>
      </rPr>
      <t>Teixeira, L</t>
    </r>
  </si>
  <si>
    <r>
      <t xml:space="preserve">Dohn, K; </t>
    </r>
    <r>
      <rPr>
        <b/>
        <sz val="12"/>
        <color theme="1"/>
        <rFont val="Times New Roman"/>
        <family val="1"/>
      </rPr>
      <t>Kramarz, M</t>
    </r>
    <r>
      <rPr>
        <sz val="12"/>
        <color theme="1"/>
        <rFont val="Times New Roman"/>
        <family val="1"/>
      </rPr>
      <t>; Przybylska, E</t>
    </r>
  </si>
  <si>
    <r>
      <t>195;91;43;36;14;15;9;199;26;</t>
    </r>
    <r>
      <rPr>
        <b/>
        <sz val="12"/>
        <color theme="1"/>
        <rFont val="Times New Roman"/>
        <family val="1"/>
      </rPr>
      <t>303</t>
    </r>
  </si>
  <si>
    <r>
      <t>3759;3836;900;790;344;371;205;3157;279;</t>
    </r>
    <r>
      <rPr>
        <b/>
        <sz val="12"/>
        <color theme="1"/>
        <rFont val="Times New Roman"/>
        <family val="1"/>
      </rPr>
      <t>4957</t>
    </r>
  </si>
  <si>
    <r>
      <t>36;27;17;15;7;10;4;30;7;</t>
    </r>
    <r>
      <rPr>
        <b/>
        <sz val="12"/>
        <color theme="1"/>
        <rFont val="Times New Roman"/>
        <family val="1"/>
      </rPr>
      <t>41</t>
    </r>
  </si>
  <si>
    <r>
      <t>40;46;</t>
    </r>
    <r>
      <rPr>
        <b/>
        <sz val="12"/>
        <color theme="1"/>
        <rFont val="Times New Roman"/>
        <family val="1"/>
      </rPr>
      <t>71;71</t>
    </r>
  </si>
  <si>
    <r>
      <t>443;1488;1220;</t>
    </r>
    <r>
      <rPr>
        <b/>
        <sz val="12"/>
        <color theme="1"/>
        <rFont val="Times New Roman"/>
        <family val="1"/>
      </rPr>
      <t>1261</t>
    </r>
  </si>
  <si>
    <r>
      <t>9;18;19;</t>
    </r>
    <r>
      <rPr>
        <b/>
        <sz val="12"/>
        <color theme="1"/>
        <rFont val="Times New Roman"/>
        <family val="1"/>
      </rPr>
      <t>20</t>
    </r>
  </si>
  <si>
    <r>
      <t>6;6;14;</t>
    </r>
    <r>
      <rPr>
        <b/>
        <sz val="12"/>
        <color theme="1"/>
        <rFont val="Times New Roman"/>
        <family val="1"/>
      </rPr>
      <t>162</t>
    </r>
  </si>
  <si>
    <r>
      <t>98;98;154;</t>
    </r>
    <r>
      <rPr>
        <b/>
        <sz val="12"/>
        <color theme="1"/>
        <rFont val="Times New Roman"/>
        <family val="1"/>
      </rPr>
      <t>1604</t>
    </r>
  </si>
  <si>
    <r>
      <t>4;4;7;</t>
    </r>
    <r>
      <rPr>
        <b/>
        <sz val="12"/>
        <color theme="1"/>
        <rFont val="Times New Roman"/>
        <family val="1"/>
      </rPr>
      <t>21</t>
    </r>
  </si>
  <si>
    <r>
      <t>1;4;10;</t>
    </r>
    <r>
      <rPr>
        <b/>
        <sz val="12"/>
        <color theme="1"/>
        <rFont val="Times New Roman"/>
        <family val="1"/>
      </rPr>
      <t>39</t>
    </r>
  </si>
  <si>
    <r>
      <t>62;175;176;</t>
    </r>
    <r>
      <rPr>
        <b/>
        <sz val="12"/>
        <color theme="1"/>
        <rFont val="Times New Roman"/>
        <family val="1"/>
      </rPr>
      <t>887</t>
    </r>
  </si>
  <si>
    <r>
      <t>1;4;6;</t>
    </r>
    <r>
      <rPr>
        <b/>
        <sz val="12"/>
        <color theme="1"/>
        <rFont val="Times New Roman"/>
        <family val="1"/>
      </rPr>
      <t>20</t>
    </r>
  </si>
  <si>
    <r>
      <t>13;1;35;</t>
    </r>
    <r>
      <rPr>
        <b/>
        <sz val="12"/>
        <color theme="1"/>
        <rFont val="Times New Roman"/>
        <family val="1"/>
      </rPr>
      <t>144</t>
    </r>
  </si>
  <si>
    <r>
      <t>83;19;231;</t>
    </r>
    <r>
      <rPr>
        <b/>
        <sz val="12"/>
        <color theme="1"/>
        <rFont val="Times New Roman"/>
        <family val="1"/>
      </rPr>
      <t>794</t>
    </r>
  </si>
  <si>
    <r>
      <t>6;1;9;</t>
    </r>
    <r>
      <rPr>
        <b/>
        <sz val="12"/>
        <color theme="1"/>
        <rFont val="Times New Roman"/>
        <family val="1"/>
      </rPr>
      <t>16</t>
    </r>
  </si>
  <si>
    <r>
      <t>18;</t>
    </r>
    <r>
      <rPr>
        <b/>
        <sz val="12"/>
        <color theme="1"/>
        <rFont val="Times New Roman"/>
        <family val="1"/>
      </rPr>
      <t>31</t>
    </r>
    <r>
      <rPr>
        <sz val="12"/>
        <color theme="1"/>
        <rFont val="Times New Roman"/>
        <family val="1"/>
      </rPr>
      <t>;9</t>
    </r>
  </si>
  <si>
    <r>
      <t>65;</t>
    </r>
    <r>
      <rPr>
        <b/>
        <sz val="12"/>
        <color theme="1"/>
        <rFont val="Times New Roman"/>
        <family val="1"/>
      </rPr>
      <t>106</t>
    </r>
    <r>
      <rPr>
        <sz val="12"/>
        <color theme="1"/>
        <rFont val="Times New Roman"/>
        <family val="1"/>
      </rPr>
      <t>;75</t>
    </r>
  </si>
  <si>
    <r>
      <t>7;</t>
    </r>
    <r>
      <rPr>
        <b/>
        <sz val="12"/>
        <color theme="1"/>
        <rFont val="Times New Roman"/>
        <family val="1"/>
      </rPr>
      <t>7</t>
    </r>
    <r>
      <rPr>
        <sz val="12"/>
        <color theme="1"/>
        <rFont val="Times New Roman"/>
        <family val="1"/>
      </rPr>
      <t>;7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</si>
</sst>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2" fontId="4" fillId="2" borderId="1" xfId="0" applyNumberFormat="1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102236</xdr:rowOff>
    </xdr:to>
    <xdr:sp macro="" textlink="">
      <xdr:nvSpPr>
        <xdr:cNvPr id="3073" name="pendo-image-badge-31334179">
          <a:extLst>
            <a:ext uri="{FF2B5EF4-FFF2-40B4-BE49-F238E27FC236}">
              <a16:creationId xmlns:a16="http://schemas.microsoft.com/office/drawing/2014/main" id="{981B09BD-B401-2808-6455-C9718365353E}"/>
            </a:ext>
          </a:extLst>
        </xdr:cNvPr>
        <xdr:cNvSpPr>
          <a:spLocks noChangeAspect="1" noChangeArrowheads="1"/>
        </xdr:cNvSpPr>
      </xdr:nvSpPr>
      <xdr:spPr bwMode="auto">
        <a:xfrm>
          <a:off x="1533525" y="131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5</xdr:row>
      <xdr:rowOff>0</xdr:rowOff>
    </xdr:from>
    <xdr:ext cx="304800" cy="306333"/>
    <xdr:sp macro="" textlink="">
      <xdr:nvSpPr>
        <xdr:cNvPr id="2" name="pendo-image-badge-31334179">
          <a:extLst>
            <a:ext uri="{FF2B5EF4-FFF2-40B4-BE49-F238E27FC236}">
              <a16:creationId xmlns:a16="http://schemas.microsoft.com/office/drawing/2014/main" id="{1364BFFA-2127-4358-8722-3098242539B3}"/>
            </a:ext>
          </a:extLst>
        </xdr:cNvPr>
        <xdr:cNvSpPr>
          <a:spLocks noChangeAspect="1" noChangeArrowheads="1"/>
        </xdr:cNvSpPr>
      </xdr:nvSpPr>
      <xdr:spPr bwMode="auto">
        <a:xfrm>
          <a:off x="0" y="1322004"/>
          <a:ext cx="304800" cy="306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</xdr:row>
      <xdr:rowOff>0</xdr:rowOff>
    </xdr:from>
    <xdr:ext cx="304800" cy="306333"/>
    <xdr:sp macro="" textlink="">
      <xdr:nvSpPr>
        <xdr:cNvPr id="3" name="pendo-image-badge-31334179">
          <a:extLst>
            <a:ext uri="{FF2B5EF4-FFF2-40B4-BE49-F238E27FC236}">
              <a16:creationId xmlns:a16="http://schemas.microsoft.com/office/drawing/2014/main" id="{2ACCEEFA-8661-4EF0-A04B-A2953D72E0AC}"/>
            </a:ext>
          </a:extLst>
        </xdr:cNvPr>
        <xdr:cNvSpPr>
          <a:spLocks noChangeAspect="1" noChangeArrowheads="1"/>
        </xdr:cNvSpPr>
      </xdr:nvSpPr>
      <xdr:spPr bwMode="auto">
        <a:xfrm>
          <a:off x="0" y="1322004"/>
          <a:ext cx="304800" cy="306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304800" cy="306333"/>
    <xdr:sp macro="" textlink="">
      <xdr:nvSpPr>
        <xdr:cNvPr id="4" name="pendo-image-badge-31334179">
          <a:extLst>
            <a:ext uri="{FF2B5EF4-FFF2-40B4-BE49-F238E27FC236}">
              <a16:creationId xmlns:a16="http://schemas.microsoft.com/office/drawing/2014/main" id="{792DECD2-11EA-497B-805B-53DC97D96026}"/>
            </a:ext>
          </a:extLst>
        </xdr:cNvPr>
        <xdr:cNvSpPr>
          <a:spLocks noChangeAspect="1" noChangeArrowheads="1"/>
        </xdr:cNvSpPr>
      </xdr:nvSpPr>
      <xdr:spPr bwMode="auto">
        <a:xfrm>
          <a:off x="0" y="1623060"/>
          <a:ext cx="304800" cy="306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304800" cy="306333"/>
    <xdr:sp macro="" textlink="">
      <xdr:nvSpPr>
        <xdr:cNvPr id="5" name="pendo-image-badge-31334179">
          <a:extLst>
            <a:ext uri="{FF2B5EF4-FFF2-40B4-BE49-F238E27FC236}">
              <a16:creationId xmlns:a16="http://schemas.microsoft.com/office/drawing/2014/main" id="{55F67D97-539D-44F4-A1E9-DBFAAE7AEFBA}"/>
            </a:ext>
          </a:extLst>
        </xdr:cNvPr>
        <xdr:cNvSpPr>
          <a:spLocks noChangeAspect="1" noChangeArrowheads="1"/>
        </xdr:cNvSpPr>
      </xdr:nvSpPr>
      <xdr:spPr bwMode="auto">
        <a:xfrm>
          <a:off x="0" y="1322004"/>
          <a:ext cx="304800" cy="306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304800" cy="306333"/>
    <xdr:sp macro="" textlink="">
      <xdr:nvSpPr>
        <xdr:cNvPr id="6" name="pendo-image-badge-31334179">
          <a:extLst>
            <a:ext uri="{FF2B5EF4-FFF2-40B4-BE49-F238E27FC236}">
              <a16:creationId xmlns:a16="http://schemas.microsoft.com/office/drawing/2014/main" id="{6B5F5668-9AE0-4E5D-BC70-BF416ACB9004}"/>
            </a:ext>
          </a:extLst>
        </xdr:cNvPr>
        <xdr:cNvSpPr>
          <a:spLocks noChangeAspect="1" noChangeArrowheads="1"/>
        </xdr:cNvSpPr>
      </xdr:nvSpPr>
      <xdr:spPr bwMode="auto">
        <a:xfrm>
          <a:off x="0" y="1322004"/>
          <a:ext cx="304800" cy="306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304800" cy="306333"/>
    <xdr:sp macro="" textlink="">
      <xdr:nvSpPr>
        <xdr:cNvPr id="7" name="pendo-image-badge-31334179">
          <a:extLst>
            <a:ext uri="{FF2B5EF4-FFF2-40B4-BE49-F238E27FC236}">
              <a16:creationId xmlns:a16="http://schemas.microsoft.com/office/drawing/2014/main" id="{AB8436F0-5853-4D3A-80A4-3328CF8EFE91}"/>
            </a:ext>
          </a:extLst>
        </xdr:cNvPr>
        <xdr:cNvSpPr>
          <a:spLocks noChangeAspect="1" noChangeArrowheads="1"/>
        </xdr:cNvSpPr>
      </xdr:nvSpPr>
      <xdr:spPr bwMode="auto">
        <a:xfrm>
          <a:off x="0" y="1322004"/>
          <a:ext cx="304800" cy="306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304800" cy="306333"/>
    <xdr:sp macro="" textlink="">
      <xdr:nvSpPr>
        <xdr:cNvPr id="8" name="pendo-image-badge-31334179">
          <a:extLst>
            <a:ext uri="{FF2B5EF4-FFF2-40B4-BE49-F238E27FC236}">
              <a16:creationId xmlns:a16="http://schemas.microsoft.com/office/drawing/2014/main" id="{84A54507-30C7-452A-8FBF-A99597C01BD6}"/>
            </a:ext>
          </a:extLst>
        </xdr:cNvPr>
        <xdr:cNvSpPr>
          <a:spLocks noChangeAspect="1" noChangeArrowheads="1"/>
        </xdr:cNvSpPr>
      </xdr:nvSpPr>
      <xdr:spPr bwMode="auto">
        <a:xfrm>
          <a:off x="0" y="1322004"/>
          <a:ext cx="304800" cy="306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304800" cy="306333"/>
    <xdr:sp macro="" textlink="">
      <xdr:nvSpPr>
        <xdr:cNvPr id="9" name="pendo-image-badge-31334179">
          <a:extLst>
            <a:ext uri="{FF2B5EF4-FFF2-40B4-BE49-F238E27FC236}">
              <a16:creationId xmlns:a16="http://schemas.microsoft.com/office/drawing/2014/main" id="{3C599E15-6664-4A23-AC44-3E98C8A6F0FE}"/>
            </a:ext>
          </a:extLst>
        </xdr:cNvPr>
        <xdr:cNvSpPr>
          <a:spLocks noChangeAspect="1" noChangeArrowheads="1"/>
        </xdr:cNvSpPr>
      </xdr:nvSpPr>
      <xdr:spPr bwMode="auto">
        <a:xfrm>
          <a:off x="0" y="1322004"/>
          <a:ext cx="304800" cy="306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2364828</xdr:colOff>
      <xdr:row>8</xdr:row>
      <xdr:rowOff>0</xdr:rowOff>
    </xdr:from>
    <xdr:ext cx="304800" cy="306333"/>
    <xdr:sp macro="" textlink="">
      <xdr:nvSpPr>
        <xdr:cNvPr id="10" name="pendo-image-badge-31334179">
          <a:extLst>
            <a:ext uri="{FF2B5EF4-FFF2-40B4-BE49-F238E27FC236}">
              <a16:creationId xmlns:a16="http://schemas.microsoft.com/office/drawing/2014/main" id="{B24E9AEA-BC59-4156-AC30-177F048FA374}"/>
            </a:ext>
          </a:extLst>
        </xdr:cNvPr>
        <xdr:cNvSpPr>
          <a:spLocks noChangeAspect="1" noChangeArrowheads="1"/>
        </xdr:cNvSpPr>
      </xdr:nvSpPr>
      <xdr:spPr bwMode="auto">
        <a:xfrm>
          <a:off x="4951358" y="4729655"/>
          <a:ext cx="304800" cy="306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304800" cy="306333"/>
    <xdr:sp macro="" textlink="">
      <xdr:nvSpPr>
        <xdr:cNvPr id="11" name="pendo-image-badge-31334179">
          <a:extLst>
            <a:ext uri="{FF2B5EF4-FFF2-40B4-BE49-F238E27FC236}">
              <a16:creationId xmlns:a16="http://schemas.microsoft.com/office/drawing/2014/main" id="{72558FC9-879E-4BE9-825C-4FD3442012DD}"/>
            </a:ext>
          </a:extLst>
        </xdr:cNvPr>
        <xdr:cNvSpPr>
          <a:spLocks noChangeAspect="1" noChangeArrowheads="1"/>
        </xdr:cNvSpPr>
      </xdr:nvSpPr>
      <xdr:spPr bwMode="auto">
        <a:xfrm>
          <a:off x="0" y="1280160"/>
          <a:ext cx="304800" cy="306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duardo Miguel Moreira Junqueira" id="{8D031F27-8D97-413A-97FE-237E7FCC230B}" userId="S::1251561@isep.ipp.pt::2963e3f5-f3b3-4ba4-938f-6d3776a09e2c" providerId="AD"/>
</personList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5-12-16T19:54:01.39" personId="{8D031F27-8D97-413A-97FE-237E7FCC230B}" id="{E9ED3076-A276-41E7-825F-DC313DF3E78E}">
    <text>1</text>
  </threadedComment>
  <threadedComment ref="D3" dT="2025-12-16T19:50:59.56" personId="{8D031F27-8D97-413A-97FE-237E7FCC230B}" id="{79F3CCE4-2ABC-4E30-90B7-3D7D9C6C4F86}">
    <text>2</text>
  </threadedComment>
  <threadedComment ref="D4" dT="2025-12-16T19:54:04.87" personId="{8D031F27-8D97-413A-97FE-237E7FCC230B}" id="{A20F6885-D315-46F7-803A-65AB266DCA87}">
    <text>3</text>
  </threadedComment>
  <threadedComment ref="D5" dT="2025-12-16T19:51:39.92" personId="{8D031F27-8D97-413A-97FE-237E7FCC230B}" id="{CA8DD1A6-6F9E-46B4-9180-2DD65AA4A051}">
    <text>4</text>
  </threadedComment>
  <threadedComment ref="D6" dT="2025-12-16T19:50:54.22" personId="{8D031F27-8D97-413A-97FE-237E7FCC230B}" id="{DF70AFCA-E1EA-4CB6-A733-F063B031F6AF}">
    <text>5</text>
  </threadedComment>
  <threadedComment ref="D7" dT="2025-12-16T19:53:56.89" personId="{8D031F27-8D97-413A-97FE-237E7FCC230B}" id="{5FE4F9DF-4A73-49E7-8123-21BDEC3B9E01}">
    <text>6</text>
  </threadedComment>
  <threadedComment ref="D8" dT="2025-12-16T19:51:03.84" personId="{8D031F27-8D97-413A-97FE-237E7FCC230B}" id="{8C398A6F-38A1-4A2F-B42D-BC664868361F}">
    <text>7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C746D-63C9-45C4-8140-871D90D492DF}">
  <dimension ref="A1:I11"/>
  <sheetViews>
    <sheetView tabSelected="1" topLeftCell="C1" zoomScale="92" zoomScaleNormal="120" workbookViewId="0">
      <selection activeCell="C14" sqref="C14"/>
    </sheetView>
  </sheetViews>
  <sheetFormatPr defaultColWidth="8.6640625" defaultRowHeight="14.4" x14ac:dyDescent="0.3"/>
  <cols>
    <col min="1" max="1" width="10.109375" style="1" bestFit="1" customWidth="1"/>
    <col min="2" max="2" width="18.21875" style="2" bestFit="1" customWidth="1"/>
    <col min="3" max="3" width="75.33203125" style="2" bestFit="1" customWidth="1"/>
    <col min="4" max="4" width="111.6640625" style="3" bestFit="1" customWidth="1"/>
    <col min="5" max="5" width="118" style="5" bestFit="1" customWidth="1"/>
    <col min="6" max="6" width="54.6640625" style="1" bestFit="1" customWidth="1"/>
    <col min="7" max="7" width="31" style="1" bestFit="1" customWidth="1"/>
    <col min="8" max="8" width="29.21875" style="4" bestFit="1" customWidth="1"/>
    <col min="9" max="9" width="20.5546875" style="1" bestFit="1" customWidth="1"/>
    <col min="10" max="10" width="21.6640625" style="1" bestFit="1" customWidth="1"/>
    <col min="11" max="16384" width="8.6640625" style="1"/>
  </cols>
  <sheetData>
    <row r="1" spans="1:9" s="17" customFormat="1" ht="15.6" x14ac:dyDescent="0.3">
      <c r="A1" s="9" t="s">
        <v>5</v>
      </c>
      <c r="B1" s="10" t="s">
        <v>58</v>
      </c>
      <c r="C1" s="10" t="s">
        <v>0</v>
      </c>
      <c r="D1" s="10" t="s">
        <v>2</v>
      </c>
      <c r="E1" s="13" t="s">
        <v>4</v>
      </c>
      <c r="F1" s="13" t="s">
        <v>1</v>
      </c>
      <c r="G1" s="16" t="s">
        <v>3</v>
      </c>
      <c r="H1" s="13" t="s">
        <v>10</v>
      </c>
      <c r="I1" s="13" t="s">
        <v>15</v>
      </c>
    </row>
    <row r="2" spans="1:9" s="17" customFormat="1" ht="15.6" x14ac:dyDescent="0.3">
      <c r="A2" s="9">
        <v>1</v>
      </c>
      <c r="B2" s="10">
        <v>42</v>
      </c>
      <c r="C2" s="11" t="s">
        <v>43</v>
      </c>
      <c r="D2" s="18" t="s">
        <v>29</v>
      </c>
      <c r="E2" s="13" t="s">
        <v>40</v>
      </c>
      <c r="F2" s="19">
        <v>2020</v>
      </c>
      <c r="G2" s="20" t="s">
        <v>33</v>
      </c>
      <c r="H2" s="19">
        <v>162</v>
      </c>
      <c r="I2" s="21">
        <f t="shared" ref="I2:I8" si="0">H2/(2025-F2)</f>
        <v>32.4</v>
      </c>
    </row>
    <row r="3" spans="1:9" s="17" customFormat="1" ht="15.6" x14ac:dyDescent="0.3">
      <c r="A3" s="9">
        <v>2</v>
      </c>
      <c r="B3" s="10">
        <v>32</v>
      </c>
      <c r="C3" s="10" t="s">
        <v>21</v>
      </c>
      <c r="D3" s="18" t="s">
        <v>23</v>
      </c>
      <c r="E3" s="13" t="s">
        <v>36</v>
      </c>
      <c r="F3" s="19">
        <v>2024</v>
      </c>
      <c r="G3" s="20" t="s">
        <v>19</v>
      </c>
      <c r="H3" s="19">
        <v>22</v>
      </c>
      <c r="I3" s="21">
        <f t="shared" si="0"/>
        <v>22</v>
      </c>
    </row>
    <row r="4" spans="1:9" s="17" customFormat="1" ht="15.6" x14ac:dyDescent="0.3">
      <c r="A4" s="9">
        <v>3</v>
      </c>
      <c r="B4" s="10">
        <v>155</v>
      </c>
      <c r="C4" s="10" t="s">
        <v>42</v>
      </c>
      <c r="D4" s="18" t="s">
        <v>30</v>
      </c>
      <c r="E4" s="13" t="s">
        <v>41</v>
      </c>
      <c r="F4" s="19">
        <v>2019</v>
      </c>
      <c r="G4" s="20" t="s">
        <v>34</v>
      </c>
      <c r="H4" s="19">
        <v>234</v>
      </c>
      <c r="I4" s="21">
        <f t="shared" si="0"/>
        <v>39</v>
      </c>
    </row>
    <row r="5" spans="1:9" s="17" customFormat="1" ht="15.6" x14ac:dyDescent="0.3">
      <c r="A5" s="9">
        <v>4</v>
      </c>
      <c r="B5" s="10">
        <v>41</v>
      </c>
      <c r="C5" s="11" t="s">
        <v>25</v>
      </c>
      <c r="D5" s="18" t="s">
        <v>27</v>
      </c>
      <c r="E5" s="13" t="s">
        <v>38</v>
      </c>
      <c r="F5" s="19">
        <v>2020</v>
      </c>
      <c r="G5" s="20" t="s">
        <v>31</v>
      </c>
      <c r="H5" s="19">
        <v>36</v>
      </c>
      <c r="I5" s="21">
        <f t="shared" ref="I5" si="1">H5/(2025-F5)</f>
        <v>7.2</v>
      </c>
    </row>
    <row r="6" spans="1:9" s="17" customFormat="1" ht="15.6" x14ac:dyDescent="0.3">
      <c r="A6" s="9">
        <v>5</v>
      </c>
      <c r="B6" s="10">
        <v>6</v>
      </c>
      <c r="C6" s="10" t="s">
        <v>17</v>
      </c>
      <c r="D6" s="22" t="s">
        <v>16</v>
      </c>
      <c r="E6" s="13" t="s">
        <v>35</v>
      </c>
      <c r="F6" s="19">
        <v>2016</v>
      </c>
      <c r="G6" s="20" t="s">
        <v>18</v>
      </c>
      <c r="H6" s="19">
        <v>62</v>
      </c>
      <c r="I6" s="21">
        <f t="shared" si="0"/>
        <v>6.8888888888888893</v>
      </c>
    </row>
    <row r="7" spans="1:9" s="17" customFormat="1" ht="15.6" x14ac:dyDescent="0.3">
      <c r="A7" s="9">
        <v>6</v>
      </c>
      <c r="B7" s="10">
        <v>109</v>
      </c>
      <c r="C7" s="10" t="s">
        <v>26</v>
      </c>
      <c r="D7" s="18" t="s">
        <v>28</v>
      </c>
      <c r="E7" s="13" t="s">
        <v>39</v>
      </c>
      <c r="F7" s="19">
        <v>2024</v>
      </c>
      <c r="G7" s="20" t="s">
        <v>32</v>
      </c>
      <c r="H7" s="19">
        <v>17</v>
      </c>
      <c r="I7" s="21">
        <f t="shared" si="0"/>
        <v>17</v>
      </c>
    </row>
    <row r="8" spans="1:9" s="17" customFormat="1" ht="15.6" x14ac:dyDescent="0.3">
      <c r="A8" s="9">
        <v>7</v>
      </c>
      <c r="B8" s="10">
        <v>81</v>
      </c>
      <c r="C8" s="10" t="s">
        <v>22</v>
      </c>
      <c r="D8" s="18" t="s">
        <v>24</v>
      </c>
      <c r="E8" s="13" t="s">
        <v>37</v>
      </c>
      <c r="F8" s="19">
        <v>2022</v>
      </c>
      <c r="G8" s="20" t="s">
        <v>20</v>
      </c>
      <c r="H8" s="19">
        <v>14</v>
      </c>
      <c r="I8" s="21">
        <f t="shared" si="0"/>
        <v>4.666666666666667</v>
      </c>
    </row>
    <row r="10" spans="1:9" x14ac:dyDescent="0.3">
      <c r="B10" s="7"/>
    </row>
    <row r="11" spans="1:9" x14ac:dyDescent="0.3">
      <c r="D11" s="6"/>
    </row>
  </sheetData>
  <sortState xmlns:xlrd2="http://schemas.microsoft.com/office/spreadsheetml/2017/richdata2" ref="B2:I8">
    <sortCondition ref="D2:D8"/>
  </sortState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1188-0E99-469C-8AA3-3C8982050FDE}">
  <dimension ref="A1:E8"/>
  <sheetViews>
    <sheetView workbookViewId="0">
      <selection activeCell="B9" sqref="B9"/>
    </sheetView>
  </sheetViews>
  <sheetFormatPr defaultColWidth="8.6640625" defaultRowHeight="14.4" x14ac:dyDescent="0.3"/>
  <cols>
    <col min="1" max="1" width="11" style="1" bestFit="1" customWidth="1"/>
    <col min="2" max="2" width="54.6640625" style="1" bestFit="1" customWidth="1"/>
    <col min="3" max="3" width="87.109375" style="1" bestFit="1" customWidth="1"/>
    <col min="4" max="4" width="16.6640625" style="1" bestFit="1" customWidth="1"/>
    <col min="5" max="5" width="13.6640625" style="1" bestFit="1" customWidth="1"/>
    <col min="6" max="7" width="15.109375" style="1" bestFit="1" customWidth="1"/>
    <col min="8" max="16384" width="8.6640625" style="1"/>
  </cols>
  <sheetData>
    <row r="1" spans="1:5" ht="15.6" x14ac:dyDescent="0.3">
      <c r="A1" s="9" t="s">
        <v>5</v>
      </c>
      <c r="B1" s="9" t="s">
        <v>4</v>
      </c>
      <c r="C1" s="9" t="s">
        <v>6</v>
      </c>
      <c r="D1" s="9" t="s">
        <v>7</v>
      </c>
      <c r="E1" s="9" t="s">
        <v>9</v>
      </c>
    </row>
    <row r="2" spans="1:5" ht="15.6" x14ac:dyDescent="0.3">
      <c r="A2" s="12">
        <v>1</v>
      </c>
      <c r="B2" s="13" t="s">
        <v>40</v>
      </c>
      <c r="C2" s="14">
        <v>4.7</v>
      </c>
      <c r="D2" s="12" t="s">
        <v>44</v>
      </c>
      <c r="E2" s="12" t="s">
        <v>50</v>
      </c>
    </row>
    <row r="3" spans="1:5" ht="15.6" x14ac:dyDescent="0.3">
      <c r="A3" s="9">
        <v>2</v>
      </c>
      <c r="B3" s="13" t="s">
        <v>36</v>
      </c>
      <c r="C3" s="15">
        <v>3.6</v>
      </c>
      <c r="D3" s="9" t="s">
        <v>44</v>
      </c>
      <c r="E3" s="9" t="s">
        <v>45</v>
      </c>
    </row>
    <row r="4" spans="1:5" ht="15.6" x14ac:dyDescent="0.3">
      <c r="A4" s="9">
        <v>3</v>
      </c>
      <c r="B4" s="13" t="s">
        <v>41</v>
      </c>
      <c r="C4" s="15">
        <v>6.2</v>
      </c>
      <c r="D4" s="9" t="s">
        <v>8</v>
      </c>
      <c r="E4" s="9" t="s">
        <v>51</v>
      </c>
    </row>
    <row r="5" spans="1:5" ht="15.6" x14ac:dyDescent="0.3">
      <c r="A5" s="9">
        <v>4</v>
      </c>
      <c r="B5" s="13" t="s">
        <v>38</v>
      </c>
      <c r="C5" s="15">
        <v>6.4</v>
      </c>
      <c r="D5" s="9" t="s">
        <v>8</v>
      </c>
      <c r="E5" s="9" t="s">
        <v>48</v>
      </c>
    </row>
    <row r="6" spans="1:5" ht="15.6" x14ac:dyDescent="0.3">
      <c r="A6" s="9">
        <v>5</v>
      </c>
      <c r="B6" s="13" t="s">
        <v>35</v>
      </c>
      <c r="C6" s="15" t="s">
        <v>49</v>
      </c>
      <c r="D6" s="9" t="s">
        <v>49</v>
      </c>
      <c r="E6" s="9" t="s">
        <v>49</v>
      </c>
    </row>
    <row r="7" spans="1:5" ht="15.6" x14ac:dyDescent="0.3">
      <c r="A7" s="9">
        <v>6</v>
      </c>
      <c r="B7" s="13" t="s">
        <v>39</v>
      </c>
      <c r="C7" s="15">
        <v>6.2</v>
      </c>
      <c r="D7" s="9" t="s">
        <v>8</v>
      </c>
      <c r="E7" s="9" t="s">
        <v>46</v>
      </c>
    </row>
    <row r="8" spans="1:5" ht="15.6" x14ac:dyDescent="0.3">
      <c r="A8" s="9">
        <v>7</v>
      </c>
      <c r="B8" s="13" t="s">
        <v>37</v>
      </c>
      <c r="C8" s="15">
        <v>3.1</v>
      </c>
      <c r="D8" s="9" t="s">
        <v>44</v>
      </c>
      <c r="E8" s="9" t="s">
        <v>47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5E51-900F-4A71-9F1A-B66181369084}">
  <dimension ref="A1:F22"/>
  <sheetViews>
    <sheetView topLeftCell="C1" zoomScaleNormal="130" workbookViewId="0">
      <selection activeCell="C12" sqref="C12"/>
    </sheetView>
  </sheetViews>
  <sheetFormatPr defaultColWidth="8.6640625" defaultRowHeight="14.4" x14ac:dyDescent="0.3"/>
  <cols>
    <col min="1" max="1" width="10.77734375" style="1" bestFit="1" customWidth="1"/>
    <col min="2" max="2" width="16.33203125" style="1" bestFit="1" customWidth="1"/>
    <col min="3" max="3" width="83.109375" style="1" bestFit="1" customWidth="1"/>
    <col min="4" max="4" width="31" style="1" bestFit="1" customWidth="1"/>
    <col min="5" max="5" width="44.6640625" style="1" bestFit="1" customWidth="1"/>
    <col min="6" max="6" width="25.21875" style="1" bestFit="1" customWidth="1"/>
    <col min="7" max="7" width="25.6640625" style="1" bestFit="1" customWidth="1"/>
    <col min="8" max="9" width="15.109375" style="1" bestFit="1" customWidth="1"/>
    <col min="10" max="16384" width="8.6640625" style="1"/>
  </cols>
  <sheetData>
    <row r="1" spans="1:6" ht="15.6" x14ac:dyDescent="0.3">
      <c r="A1" s="9" t="s">
        <v>5</v>
      </c>
      <c r="B1" s="10" t="s">
        <v>52</v>
      </c>
      <c r="C1" s="9" t="s">
        <v>11</v>
      </c>
      <c r="D1" s="9" t="s">
        <v>12</v>
      </c>
      <c r="E1" s="9" t="s">
        <v>13</v>
      </c>
      <c r="F1" s="9" t="s">
        <v>14</v>
      </c>
    </row>
    <row r="2" spans="1:6" ht="15.6" x14ac:dyDescent="0.3">
      <c r="A2" s="9">
        <v>1</v>
      </c>
      <c r="B2" s="10" t="s">
        <v>59</v>
      </c>
      <c r="C2" s="11" t="s">
        <v>60</v>
      </c>
      <c r="D2" s="9" t="s">
        <v>66</v>
      </c>
      <c r="E2" s="9" t="s">
        <v>67</v>
      </c>
      <c r="F2" s="9" t="s">
        <v>68</v>
      </c>
    </row>
    <row r="3" spans="1:6" ht="15.6" x14ac:dyDescent="0.3">
      <c r="A3" s="9">
        <v>2</v>
      </c>
      <c r="B3" s="10" t="s">
        <v>21</v>
      </c>
      <c r="C3" s="10" t="s">
        <v>21</v>
      </c>
      <c r="D3" s="9">
        <v>3</v>
      </c>
      <c r="E3" s="9">
        <v>25</v>
      </c>
      <c r="F3" s="9">
        <v>1</v>
      </c>
    </row>
    <row r="4" spans="1:6" ht="15.6" x14ac:dyDescent="0.3">
      <c r="A4" s="9">
        <v>3</v>
      </c>
      <c r="B4" s="10" t="s">
        <v>55</v>
      </c>
      <c r="C4" s="10" t="s">
        <v>61</v>
      </c>
      <c r="D4" s="9" t="s">
        <v>69</v>
      </c>
      <c r="E4" s="9" t="s">
        <v>70</v>
      </c>
      <c r="F4" s="9" t="s">
        <v>71</v>
      </c>
    </row>
    <row r="5" spans="1:6" ht="15.6" x14ac:dyDescent="0.3">
      <c r="A5" s="9">
        <v>4</v>
      </c>
      <c r="B5" s="10" t="s">
        <v>57</v>
      </c>
      <c r="C5" s="11" t="s">
        <v>62</v>
      </c>
      <c r="D5" s="9" t="s">
        <v>72</v>
      </c>
      <c r="E5" s="9" t="s">
        <v>73</v>
      </c>
      <c r="F5" s="9" t="s">
        <v>74</v>
      </c>
    </row>
    <row r="6" spans="1:6" ht="15.6" x14ac:dyDescent="0.3">
      <c r="A6" s="9">
        <v>5</v>
      </c>
      <c r="B6" s="10" t="s">
        <v>56</v>
      </c>
      <c r="C6" s="10" t="s">
        <v>63</v>
      </c>
      <c r="D6" s="9" t="s">
        <v>75</v>
      </c>
      <c r="E6" s="9" t="s">
        <v>76</v>
      </c>
      <c r="F6" s="9" t="s">
        <v>77</v>
      </c>
    </row>
    <row r="7" spans="1:6" ht="15.6" x14ac:dyDescent="0.3">
      <c r="A7" s="9">
        <v>6</v>
      </c>
      <c r="B7" s="10" t="s">
        <v>53</v>
      </c>
      <c r="C7" s="10" t="s">
        <v>64</v>
      </c>
      <c r="D7" s="9" t="s">
        <v>78</v>
      </c>
      <c r="E7" s="9" t="s">
        <v>79</v>
      </c>
      <c r="F7" s="9" t="s">
        <v>80</v>
      </c>
    </row>
    <row r="8" spans="1:6" ht="15.6" x14ac:dyDescent="0.3">
      <c r="A8" s="9">
        <v>7</v>
      </c>
      <c r="B8" s="10" t="s">
        <v>54</v>
      </c>
      <c r="C8" s="10" t="s">
        <v>65</v>
      </c>
      <c r="D8" s="9" t="s">
        <v>81</v>
      </c>
      <c r="E8" s="9" t="s">
        <v>82</v>
      </c>
      <c r="F8" s="9" t="s">
        <v>83</v>
      </c>
    </row>
    <row r="15" spans="1:6" x14ac:dyDescent="0.3">
      <c r="C15" s="8"/>
    </row>
    <row r="22" spans="3:3" x14ac:dyDescent="0.3">
      <c r="C22" s="8"/>
    </row>
  </sheetData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459C664CE0CE409FD28E86A9F1FE55" ma:contentTypeVersion="10" ma:contentTypeDescription="Create a new document." ma:contentTypeScope="" ma:versionID="b781c9b137cc3c333858fd811faf3d49">
  <xsd:schema xmlns:xsd="http://www.w3.org/2001/XMLSchema" xmlns:xs="http://www.w3.org/2001/XMLSchema" xmlns:p="http://schemas.microsoft.com/office/2006/metadata/properties" xmlns:ns3="4e5953ec-9d50-4985-9eed-2768e52c77a2" targetNamespace="http://schemas.microsoft.com/office/2006/metadata/properties" ma:root="true" ma:fieldsID="a91eb94db6f2ba37e534e075e130e233" ns3:_="">
    <xsd:import namespace="4e5953ec-9d50-4985-9eed-2768e52c77a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953ec-9d50-4985-9eed-2768e52c77a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e5953ec-9d50-4985-9eed-2768e52c77a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8090C1-2172-41FF-9C0D-A6BDC0FC34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5953ec-9d50-4985-9eed-2768e52c77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F9A75A-0878-4240-A6EA-B92EF4D1EFAB}">
  <ds:schemaRefs>
    <ds:schemaRef ds:uri="http://purl.org/dc/terms/"/>
    <ds:schemaRef ds:uri="http://purl.org/dc/elements/1.1/"/>
    <ds:schemaRef ds:uri="4e5953ec-9d50-4985-9eed-2768e52c77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55B7E1D-DEED-4747-98AE-A911AF8917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Articles</vt:lpstr>
      <vt:lpstr>Source</vt:lpstr>
      <vt:lpstr>Authors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António Manuel Pereira Da Silva Amaral</dc:creator>
  <cp:lastModifiedBy>Eduardo Miguel Moreira Junqueira</cp:lastModifiedBy>
  <dcterms:created xsi:type="dcterms:W3CDTF">2023-10-20T14:35:54Z</dcterms:created>
  <dcterms:modified xsi:type="dcterms:W3CDTF">2026-01-12T16:33:42Z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0x0101000E459C664CE0CE409FD28E86A9F1FE55</vt:lpwstr>
  </property>
</Properties>
</file>