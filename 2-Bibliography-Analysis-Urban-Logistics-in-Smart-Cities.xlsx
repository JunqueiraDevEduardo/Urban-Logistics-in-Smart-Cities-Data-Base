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EduardoMiguelMoreira\Documents\Urban-Logistics-in-Smart-Cities-Data-Base\"/>
    </mc:Choice>
  </mc:AlternateContent>
  <xr:revisionPtr revIDLastSave="0" documentId="8_{17EE6EC2-EE65-4B5E-9016-48E452F4E078}" xr6:coauthVersionLast="47" xr6:coauthVersionMax="47" xr10:uidLastSave="{00000000-0000-0000-0000-000000000000}"/>
  <bookViews>
    <workbookView xWindow="-108" yWindow="-108" windowWidth="23256" windowHeight="14616" xr2:uid="{00000000-000D-0000-FFFF-FFFF00000000}"/>
  </bookViews>
  <sheets>
    <sheet name="Biblliography DataSet" sheetId="3" r:id="rId1"/>
  </sheets>
  <definedNames>
    <definedName name="_xlnm._FilterDatabase" localSheetId="0" hidden="1">'Biblliography DataSet'!$A$1:$Q$1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3" l="1"/>
  <c r="A3" i="3"/>
  <c r="A4" i="3" s="1"/>
  <c r="A7" i="3" s="1"/>
  <c r="A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Miguel Moreira Junqueira</author>
    <author>tc={84F1BB6D-6B52-413E-8C97-93030E6E0A02}</author>
    <author>tc={6B6AF0B5-E8CC-4BED-91E8-EC25D68605F3}</author>
    <author>tc={DA385A3D-0A03-45B2-ACEA-516A0793B327}</author>
    <author>tc={056DA876-8A90-4C14-90A4-458BF015A9CB}</author>
    <author>tc={75E7449E-B7A6-479D-8FD9-9AD27364D4A2}</author>
    <author>tc={FC83D0CE-0BD3-4AD1-8A4B-CC7DECF8704C}</author>
    <author>tc={83ED9082-2310-4BBA-91D6-FF7AC3F83404}</author>
  </authors>
  <commentList>
    <comment ref="Q1" authorId="0" shapeId="0" xr:uid="{A73B2985-F225-4BA4-9F40-90830787F785}">
      <text>
        <r>
          <rPr>
            <b/>
            <sz val="9"/>
            <color indexed="81"/>
            <rFont val="Tahoma"/>
            <charset val="1"/>
          </rPr>
          <t>Eduardo Miguel Moreira Junqueira:</t>
        </r>
        <r>
          <rPr>
            <sz val="9"/>
            <color indexed="81"/>
            <rFont val="Tahoma"/>
            <charset val="1"/>
          </rPr>
          <t xml:space="preserve">
Como os Links do WoS podem ou não incluir os artgos porque podem não aparecer que é o caso, inseri Hyperlinks diretos para o o respetivo artigo em comcreto.</t>
        </r>
      </text>
    </comment>
    <comment ref="A2" authorId="1" shapeId="0" xr:uid="{84F1BB6D-6B52-413E-8C97-93030E6E0A0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1
A Review of Technical Standards for Smart Cities</t>
      </text>
    </comment>
    <comment ref="A3" authorId="2" shapeId="0" xr:uid="{6B6AF0B5-E8CC-4BED-91E8-EC25D68605F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2
AI-Driven Optimization of Urban Logistics in Smart Cities </t>
      </text>
    </comment>
    <comment ref="A4" authorId="3" shapeId="0" xr:uid="{DA385A3D-0A03-45B2-ACEA-516A0793B32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3
Collaborative urban transportation</t>
      </text>
    </comment>
    <comment ref="A5" authorId="4" shapeId="0" xr:uid="{056DA876-8A90-4C14-90A4-458BF015A9C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4
Shortening the Last Mile in Urban Areas: Optimizing a Smart Logistics Concept for E-Grocery Operations
</t>
      </text>
    </comment>
    <comment ref="A6" authorId="5" shapeId="0" xr:uid="{75E7449E-B7A6-479D-8FD9-9AD27364D4A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5
Designing new models for energy efficiency in urban freight transport for smart cities and its application to the Spanish case</t>
      </text>
    </comment>
    <comment ref="A7" authorId="6" shapeId="0" xr:uid="{FC83D0CE-0BD3-4AD1-8A4B-CC7DECF8704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6
Fulfilment of last-mile urban logistics for sustainable and inclusive smart cities: a case study conducted in Portugal
</t>
      </text>
    </comment>
    <comment ref="A8" authorId="7" shapeId="0" xr:uid="{83ED9082-2310-4BBA-91D6-FF7AC3F8340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7
Interaction with City Logistics Stakeholders as a Factor of the Development of Polish Cities on the Way to Becoming Smart Cities</t>
      </text>
    </comment>
  </commentList>
</comments>
</file>

<file path=xl/sharedStrings.xml><?xml version="1.0" encoding="utf-8"?>
<sst xmlns="http://schemas.openxmlformats.org/spreadsheetml/2006/main" count="95" uniqueCount="91">
  <si>
    <t>Data Base</t>
  </si>
  <si>
    <t>Scientific area</t>
  </si>
  <si>
    <t>Year</t>
  </si>
  <si>
    <t>Reference</t>
  </si>
  <si>
    <t>Publication (Impact factor or Journal Citation Indicator and Quartile)</t>
  </si>
  <si>
    <t>Nº of citations (Web of Science-ISI or Scopus/Scimago, date)</t>
  </si>
  <si>
    <t>Abstract</t>
  </si>
  <si>
    <t>Keywords</t>
  </si>
  <si>
    <t>Gap Filled</t>
  </si>
  <si>
    <t>Research Question/Objectives</t>
  </si>
  <si>
    <t>Research Method</t>
  </si>
  <si>
    <t>Paper's Contribution</t>
  </si>
  <si>
    <t>Main Conclusions</t>
  </si>
  <si>
    <t>Future Work</t>
  </si>
  <si>
    <t>Relevance (1 to 5)</t>
  </si>
  <si>
    <t>Personal Notes</t>
  </si>
  <si>
    <t>Hyperlink</t>
  </si>
  <si>
    <t>Science &amp; Technology</t>
  </si>
  <si>
    <t>Business &amp; EconomicsOperations Research &amp; Management Science</t>
  </si>
  <si>
    <t>Transportation</t>
  </si>
  <si>
    <t>nd</t>
  </si>
  <si>
    <t>Business &amp; Economics</t>
  </si>
  <si>
    <t>Energy &amp; Fuels</t>
  </si>
  <si>
    <t>EngineeringUrban Studies</t>
  </si>
  <si>
    <t>Foco no Transporte, casos de uso aprovados e não aprovados. Colaboração vertical e horizontal. Casos de uso a serem melhorados por serem um desastre na implementação prática.</t>
  </si>
  <si>
    <t>Foco em Portugal mais propriamente no estudo da opinião dos Municipios e dos autarcas.</t>
  </si>
  <si>
    <t>"Smart cities employ technology and data to increase efficiencies, economic development, sustainability, and life quality for citizens in urban areas. Inevitably, clean technologies promote smart cities development including for energy, transportation and health. The smart city concept is ambitious and is being refined with standards. Standards are used to help with regulating how smart cities function and contributing to define a smart city. Smart cities must be officially recognized by national and international authorities and organizations in order to promote societal advancement. There are many research and review articles on smart cities. However, technical standards are seldom discussed in the current literature. This review firstly presents the study of smart city definitions and domain. The well-known smart city standards will be presented to better recognize the smart city concept. Well-defined standards allow meaningful comparisons among smart cities implementation. How smart city initiatives make a city smarter and improve the quality of life will be discussed for various countries. This review highlights that technical standards are important for smart cities implementation. This paper serves as a guide to the most recent developments of smart cities standards."</t>
  </si>
  <si>
    <t>"Urban logistics play a pivotal role in smart city development, aiming to improve the efficiency and sustainability of goods delivery in urban environments. As cities face growing challenges related to congestion, traffic management, and environmental impact, there is an increasing need for advanced technologies to optimize urban delivery systems. This paper proposes an innovative framework that integrates artificial intelligence (AI), autonomous vehicles (AVs), and Internet of Things (IoT) technologies to address these challenges. The framework leverages real-time data from IoT-enabled infrastructure to optimize route planning, enhance traffic signal control, and enable predictive demand management for delivery services. By incorporating AI-driven analytics, the proposed approach aims to improve traffic flow, reduce congestion, and minimize the carbon footprint of urban logistics, contributing to the development of more sustainable and efficient smart cities. This work highlights the potential for combining these technologies to transform urban logistics, offering a novel approach to enhancing delivery operations in densely populated areas."</t>
  </si>
  <si>
    <t>"urban logistics; smart cities; AI; IoT; autonomous vehicles"</t>
  </si>
  <si>
    <t>"smart city; technical standard; smart energy; smart health; smart transportation; smart
governance; smart education"</t>
  </si>
  <si>
    <t>"Urban logistics;
Collaborative transportation; 
Review;
Collaboration"</t>
  </si>
  <si>
    <t>"Urban freight transport; Smart cities; Innovative solution; Electric tricycles; Last mile distribution; Cooperative freight transport
systems; Urban consolidation centres smart cities; Urban delivery; Case studies"</t>
  </si>
  <si>
    <t>"Real-time fulfilment; instant
deliveries; stakeholders
collaboration; resources
sharing; city management"</t>
  </si>
  <si>
    <t>" smart city; stakeholders of urban logistics; logistics gaps in cities; strategies"</t>
  </si>
  <si>
    <t>"e-grocery; last mile delivery; city logistics; sustainability; location routing problem;
vehicle routing problem; multi-echelon optimization; smart city"</t>
  </si>
  <si>
    <t>"Urbanization, the corresponding road traffic, and increasing e-grocery markets require efficient and at the same time eco-friendly transport solutions. In contrast to traditional food procurement at local grocery stores, e-grocery, i.e., online ordered goods, are transported directly to end customers. We develop and discuss an optimization approach to assist the planning of e-grocery deliveries in smart cities introducing a new last mile concept for the urban food supply chain. To supply city dwellers with their ordered products, a network of refrigerated grocery lockers is optimized to temporarily store the corresponding goods within urban areas. Customers either collect their orders by themselves or the products are delivered with electric cargo bicycles (ECBs). We propose a multi-echelon optimization model that minimizes the overall costs while consecutively determining optimal grocery locker locations, van routes from a depot to opened lockers, and ECB routes from lockers to customers. With our approach, we present an advanced concept for grocery deliveries in urban areas to shorten last mile distances, enhancing sustainable transportation by avoiding road traffic and emissions. Therefore, the concept is described as a smart transport system."</t>
  </si>
  <si>
    <t>"The growing population of cities means that they face many new challenges in improving their economic, social and environmental efficiency. These themes are relevant to the increasingly popular worldwide concept of smart cities. A smart city is a city that is friendly to people and the environment, in which people live better, safer, and healthier. From the point of view of management sciences, they are a result of creative development and the implementation of various solutions that should involve various stakeholders. The quality of life of city residents is largely influenced by logistics solutions, including the movement of both people and cargo in the city. This issue is directly relevant to the aim of this article, which is to try to determine the degree of cooperation between the city and city logistics stakeholders in the context of identifying gaps in the inclusion of logistics areas in the strategies of Polish cities. Both the role of stakeholders in actively shaping city strategies and the inclusion of logistics aspects in strategies are areas discussed in recent years in the literature in the context of smart cities. Our approach combines these two areas by pointing to their importance in the development of cities towards smart cities. In our stakeholder research, we focus on city logistics stakeholders, as the identified gaps in strategies relate only to logistics aspects. We conduct our research in Polish cities. In assessing the cooperation of Polish cities with their stakeholders and identifying gaps in the inclusion of logistic aspects in the strategies, we used an original questionnaire that allowed us to survey 280 Polish cities. To analyse the stakeholders we used statistics. To analyse the questionnaires, we used descriptive statistics, while gaps were identified by relating the results to the developed template. Both the problem of gaps and the problem of stakeholders were also considered on a voivodeship scale. The research results indicated a low level of cooperation between local authorities and key city logistics stakeholders. Moreover, logistic aspects were found to be insufficiently included in the city strategies of Polish cities (a high level of gaps was identified for most of the examined areas). This indicates the low awareness of local authorities regarding the shaping of cities' logistics systems and a lack of activity in this area. The results provide city managers with information on how to develop cooperation with stakeholders and which logistic areas to include in the formulated strategies. Undertaking these actions is a condition for the development of Polish cities towards the "smart city" concept."</t>
  </si>
  <si>
    <t>"While industry tends towards mass personalisation and instant deliveries, the last mile of urban logistics is being challenged to decrease the number of vehicles in circulation and the distances they travel in city centres. The COVID-19 pandemic helped expose the inefficiency of cities in fulfilling citizens' real-time needs. Moreover, the first aim of this paper is to understand the barriers which policymakers face in providing a personalised response to citizens' needs and the second to ascertain how they can proactively serve their communities. In line with these concerns, empirical evidence was collected through a questionnaire to Portuguese policymakers, and the results were discussed in a focus group with experts. The results suggest a lack of tools to enable real-time visualisation and study of scenarios for implementing and organising means of delivery and storage. Moreover, although policymakers feel confident in their capacity to manage the last mile, they would struggle to operate autonomously. Therefore, this paper conceptualises an initial algorithm based on the dynamic collaboration of stakeholders and sharing of resources to guarantee fulfilment of citizens' necessities. Furthermore, future discussions shall emerge about the relationships and technical standards between stakeholders to provide the necessary logistical means for city management and operations."</t>
  </si>
  <si>
    <t>"Considering that the transport sector is responsible for 30% of the CO2 emissions in the EU, reaching up to 40% in urban areas, the efforts for technological improvements and innovation in transportation have been increasing during the last few decades. It is evident that urban freight distribution requires innovative solutions that are capable of improving the efficiency of transport whilst promoting innovative use of renewable energy, thus reducing energy consumption and associated GHG emissions while adopting and not stifling economic development. In this context, six Mediterranean cities (Barcelona, Bologna, Piraeus, Rijeka and Valencia)) collaborated with the purpose of contributing to the improvement of energy efficiency on urban freight transport as part of the SMILE Project (2015) (SMart green Innovative urban Logistics Models for Energy efficient mediterranean cities project), funded by the MED Programme. The SMILE project aims to improve the energy efficiency of Mediterranean cities through the promotion of innovative 'green' and cost effective solutions for urban freight logistics, addressing the target of green and smart urban development. This paper shows the results of the live test of smart city urban logistics solutions in the cities of Barcelona and Valencia that consisted of combining the use of electric tricycles and Transhipment terminals (or Urban Consolidation Centres) for the last-mile delivery of parcels and small shipments. A thoughtful analysis of the quantitative outcomes of the pilot test in both cities are presented from different perspectives: economical, operational, energy efficiency, environmental and social. (C) 2016 The Authors. Published by Elsevier B.V."</t>
  </si>
  <si>
    <t>"Increasing urbanization has turned transporting freight from, to, and within urban areas into a major challenge. Freight transportation represents a lifeline for urban retail and industry, but causes significant negative impacts on the quality of living in urban areas in terms of congestion, emissions and space consumption. City logistics initiatives have long suggested the need for collaborative and environmentally friendly urban transportation that could alleviate the negative impacts of urban transportation, but these face organizational and technological challenges of collaboration. Given technological advancements and innovative business models, concepts of collaborative urban transportation could contribute to a future paradigm of more sustainable and customer-friendly urban transportation.
In this work, we collect and discuss contributions to collaborative freight transportation in urban areas with focus on recent publications (i.e. those published over the past ten years). We particularly analyze vertical and horizontal approaches of collaboration from an operations research perspective and point out strategic, tactical, and operational planning problems and solution approaches. To highlight research gaps and future research opportunities, we present innovative examples of collaborative urban transportation and analyze factors of failure and success. Collecting recent advances in theory and practice of collaborative urban transportation allows us to distill alternative visions of future collaborative freight transportation in urban areas. (C) 2018 Elsevier B.V. All rights reserved."</t>
  </si>
  <si>
    <t>https://www.researchgate.net/publication/343716519_A_Review_of_Technical_Standards_for_Smart_Cities</t>
  </si>
  <si>
    <t>https://www.webofscience.com/wos/woscc/full-record/WOS:001386582700001</t>
  </si>
  <si>
    <t>https://www.webofscience.com/wos/woscc/full-record/WOS:000863368900001</t>
  </si>
  <si>
    <t>https://www.webofscience.com/wos/woscc/full-record/WOS:000809883800001</t>
  </si>
  <si>
    <t>https://www.webofscience.com/wos/woscc/full-record/WOS:000455069000001</t>
  </si>
  <si>
    <t>https://www.webofscience.com/wos/woscc/full-record/WOS:000377574100026</t>
  </si>
  <si>
    <t>https://www.researchgate.net/publication/342715450_Shortening_the_Last_Mile_in_Urban_Areas_Optimizing_a_Smart_Logistics_Concept_for_E-Grocery_Operations</t>
  </si>
  <si>
    <t xml:space="preserve">Para existir uma liguagem comum a nível global é necessário existir normas para que cada cidade consiga interagir com outra, perceber e  analizar dados. </t>
  </si>
  <si>
    <t>Implementação teórica da AI e de como é importante para todos os setores críticos de uma cidade inteligente nos dias de hoje. 
​</t>
  </si>
  <si>
    <t>"European Journal of Operational Research"</t>
  </si>
  <si>
    <t>"Academic Article"</t>
  </si>
  <si>
    <t>"INTERNATIONAL JOURNAL OF LOGISTICS RESEARCH AND APPLICATIONS"</t>
  </si>
  <si>
    <t>Criar rotas ótimas para serem sustentáveis sem causar congestionamento nas cidades e facilitar a recolha de encomendas percorrendo menos km/dia e diminuindo CO2.</t>
  </si>
  <si>
    <r>
      <rPr>
        <i/>
        <sz val="12"/>
        <color theme="1"/>
        <rFont val="Times New Roman"/>
        <family val="1"/>
      </rPr>
      <t>"Literature-Based Review"</t>
    </r>
    <r>
      <rPr>
        <sz val="12"/>
        <color theme="1"/>
        <rFont val="Times New Roman"/>
        <family val="1"/>
      </rPr>
      <t xml:space="preserve"> </t>
    </r>
  </si>
  <si>
    <t>Como trabalho futuro a colaboração de entidades públicas e privadas e cofinanciamento com normas europeias para melhoria de logística em cidades como Porto e Águeda.</t>
  </si>
  <si>
    <r>
      <t xml:space="preserve">Muitas normas e projetos-piloto, mas não são implementados em prática em larga escala pois as novas tecnologias </t>
    </r>
    <r>
      <rPr>
        <i/>
        <sz val="12"/>
        <rFont val="Times New Roman"/>
        <family val="1"/>
      </rPr>
      <t>IoT</t>
    </r>
    <r>
      <rPr>
        <sz val="12"/>
        <rFont val="Times New Roman"/>
        <family val="1"/>
      </rPr>
      <t xml:space="preserve"> imergentes tem dificuldades em se comunicarem.</t>
    </r>
  </si>
  <si>
    <t>Como as normas são atribuidas e realizadas, na prática com projetos-piloto e cidades que adotaram estas medidas, contribuições de sustentabilidade ambiental e qualidade de vida são melhoradas.</t>
  </si>
  <si>
    <r>
      <t>Normas globais como (</t>
    </r>
    <r>
      <rPr>
        <i/>
        <sz val="12"/>
        <color theme="1"/>
        <rFont val="Times New Roman"/>
        <family val="1"/>
      </rPr>
      <t>ISO, IEC, ITU, IEEE, etc.</t>
    </r>
    <r>
      <rPr>
        <sz val="12"/>
        <color theme="1"/>
        <rFont val="Times New Roman"/>
        <family val="1"/>
      </rPr>
      <t>), pretendem vir a ser regra de cidades urbanas desenvolvidas para serem aplicadas em um futuro muito próximo.</t>
    </r>
  </si>
  <si>
    <t>Implementação de projetos-piloto em grande escala e atribuição de normas a níveis governamentais.</t>
  </si>
  <si>
    <t>Normas e projetos-piloto, teoria para servir como um modelo  a ser seguir para todos os casos reais.</t>
  </si>
  <si>
    <r>
      <rPr>
        <i/>
        <sz val="12"/>
        <rFont val="Times New Roman"/>
        <family val="1"/>
      </rPr>
      <t>AI, DL, ML,BLC,IoT,AV,</t>
    </r>
    <r>
      <rPr>
        <sz val="12"/>
        <rFont val="Times New Roman"/>
        <family val="1"/>
      </rPr>
      <t xml:space="preserve"> entre outras tecnologias que estão constantemente em evolução, mas constantemente com problemas por serem  desconhecidas as capacidades mínimas de segurança para as suas implementações.</t>
    </r>
  </si>
  <si>
    <t>Contribuição a nível de  
​inovação e sustentabilidade nas áreas de energias, água, saúde, mobilidade, educação, entre outras.</t>
  </si>
  <si>
    <r>
      <t>A Inteligência Artificial AI, representa uma oportunidade para analisar, otimizar e controlar dados que são extensos e díficeis para o humano como</t>
    </r>
    <r>
      <rPr>
        <i/>
        <sz val="12"/>
        <color theme="1"/>
        <rFont val="Times New Roman"/>
        <family val="1"/>
      </rPr>
      <t xml:space="preserve"> Big Data </t>
    </r>
    <r>
      <rPr>
        <sz val="12"/>
        <color theme="1"/>
        <rFont val="Times New Roman"/>
        <family val="1"/>
      </rPr>
      <t>de uma cidade subdesenvolvida.</t>
    </r>
  </si>
  <si>
    <t>Implementação de normas e métricas para os modelos de ética e privacidade que a AI irá ter e de quem será a responsabilidade caso a mesma falhe.</t>
  </si>
  <si>
    <t>Foco na camada de tecnologia AI, IoT e VA e casos de estudo que obtiveram resultados muito relevantes.</t>
  </si>
  <si>
    <t>A mobilidade de transportadoras tradicionais é uma logística ineficiente e pouco sustentável em cidades onde a urbanização é elevada e a otimização de rotas é a melhor solução.</t>
  </si>
  <si>
    <t>O foco principal deste artigo é explicar conceitos teóricos e casos de uso reais a serem implementadas mostrando as vantagens e as desvantagens dos resutados obtidos.</t>
  </si>
  <si>
    <t>A colaboração é a principal contribuição que este documento descreve como fator principal para uma melhor logística de transporte.
​</t>
  </si>
  <si>
    <t>Só é possível existir colaboração se existir casos de estudo suficientes para analise e prever em maior escala em casos reais.</t>
  </si>
  <si>
    <t>Partilha de dados para uma API que guarde informação e acumule informação sobre a logística de cada empresa de mercadoria em uma base de dados que permite ser pública para todas as entidades em colaboração.</t>
  </si>
  <si>
    <r>
      <t xml:space="preserve">Custo de infraestruturas por toda a cidade que redistribuem encomendas com as </t>
    </r>
    <r>
      <rPr>
        <i/>
        <sz val="12"/>
        <rFont val="Times New Roman"/>
        <family val="1"/>
      </rPr>
      <t>cargo e-bikes</t>
    </r>
    <r>
      <rPr>
        <sz val="12"/>
        <rFont val="Times New Roman"/>
        <family val="1"/>
      </rPr>
      <t xml:space="preserve"> é elevado em relação ao tradicional </t>
    </r>
    <r>
      <rPr>
        <i/>
        <sz val="12"/>
        <rFont val="Times New Roman"/>
        <family val="1"/>
      </rPr>
      <t>vans</t>
    </r>
    <r>
      <rPr>
        <sz val="12"/>
        <rFont val="Times New Roman"/>
        <family val="1"/>
      </rPr>
      <t xml:space="preserve"> de entregas porta a porta rodoviário.</t>
    </r>
  </si>
  <si>
    <t>Rotas mais sustentáveis e eficientes, menor distância percorrida  e vantágens ambientais.</t>
  </si>
  <si>
    <t>A mobilidade de transportes tradicionais está a ser ultrapassada com a compra online de mercadoria. A entrega em ultima-milha é a prioridade e etapa mais importante. Quanto mais sustentável for a mobilidade, melhor a qualidade de vida da população.</t>
  </si>
  <si>
    <t>Melhorar e icentivar o consumidor a utilzar esta metodologia mais sustentável e fornecer vantagens ao consumidor para ser motivado a continuar com esta logística sustentável.</t>
  </si>
  <si>
    <t>Logística de transporte de mercadorias de supermercado sustentáveis com melhores rotas e menores distâncias percorridas em menor tempo de entrega.</t>
  </si>
  <si>
    <r>
      <t xml:space="preserve">Custos de Infraestruturas e de manutenção constante são problemas para adoção deste projeto </t>
    </r>
    <r>
      <rPr>
        <i/>
        <sz val="12"/>
        <rFont val="Times New Roman"/>
        <family val="1"/>
      </rPr>
      <t>SMILE</t>
    </r>
    <r>
      <rPr>
        <sz val="12"/>
        <rFont val="Times New Roman"/>
        <family val="1"/>
      </rPr>
      <t xml:space="preserve"> em larga escala.</t>
    </r>
  </si>
  <si>
    <t>Bicicletas elétricas, pontos de infraestruturas e encomendas rápidas são o objetivo deste estudo sustentável, real aplicado em Valência, que tem como objetivo expandir para outras cidades.</t>
  </si>
  <si>
    <t>Contribuição de entregas de ultim- milha mais sustentáv eis numa cidade mais turística onde a urbanização é muilto elevada contribui para diminuição de CO2, diminuição de gastos e melhor qualidade de vida.</t>
  </si>
  <si>
    <t>Entregas em ultima-milha necessitam sempre de uma logística que implemente um algoritmo de otimização de rotas. Quando é possível realizar este com um estudo sustentável e que garante melhor qualidade de vida para a população a cidade torna-se mais atrativa e mais sustentável.</t>
  </si>
  <si>
    <t>Aumentar o número de cidade a adotarem este conceito de projeto SMILE.</t>
  </si>
  <si>
    <t>Foco na implementação  e da análise do caso de estudo em Valência em entregas de ultima-milha.</t>
  </si>
  <si>
    <t>Munícipios, autarcas, e governo não cooperam entre si e nem com entidades privadas para. Existe falta de recursos e de profissionais em logística e também de projetos-piloto  aprovados pelos mesmos.</t>
  </si>
  <si>
    <r>
      <t xml:space="preserve">Questionário a Munícipios e opiniões de autarcas em relação a </t>
    </r>
    <r>
      <rPr>
        <i/>
        <sz val="12"/>
        <color theme="1"/>
        <rFont val="Times New Roman"/>
        <family val="1"/>
      </rPr>
      <t>smart logistic,</t>
    </r>
    <r>
      <rPr>
        <sz val="12"/>
        <color theme="1"/>
        <rFont val="Times New Roman"/>
        <family val="1"/>
      </rPr>
      <t xml:space="preserve"> melhorias nas cidades urbanas com algoritmo baseado em análise histórica para melhoria da mobilidade de mercadorias.</t>
    </r>
    <r>
      <rPr>
        <i/>
        <sz val="12"/>
        <color theme="1"/>
        <rFont val="Times New Roman"/>
        <family val="1"/>
      </rPr>
      <t xml:space="preserve"> Lockers</t>
    </r>
    <r>
      <rPr>
        <sz val="12"/>
        <color theme="1"/>
        <rFont val="Times New Roman"/>
        <family val="1"/>
      </rPr>
      <t xml:space="preserve"> distribuídos por toda a cidade, com base em conceitos de </t>
    </r>
    <r>
      <rPr>
        <i/>
        <sz val="12"/>
        <color theme="1"/>
        <rFont val="Times New Roman"/>
        <family val="1"/>
      </rPr>
      <t>clustering.</t>
    </r>
  </si>
  <si>
    <t>Contribuição a nível de análise de dados e implementação de soluções válidas para problemas de logística.</t>
  </si>
  <si>
    <t xml:space="preserve">Cidades urbanas cada vez mais em desenvolvimento, precissam de logística para poderem controlar de forma autónoma processos normais que são a mobilidade dos transportes, energia sustentável, entre outros. </t>
  </si>
  <si>
    <r>
      <t xml:space="preserve">Implementação de logística nas cidades e partes interessadas em cooperação com </t>
    </r>
    <r>
      <rPr>
        <i/>
        <sz val="12"/>
        <rFont val="Times New Roman"/>
        <family val="1"/>
      </rPr>
      <t xml:space="preserve">stakeholdes </t>
    </r>
    <r>
      <rPr>
        <sz val="12"/>
        <rFont val="Times New Roman"/>
        <family val="1"/>
      </rPr>
      <t xml:space="preserve">é reduzida, o que leva a um processo de economia e logistica isolada do tipo: </t>
    </r>
    <r>
      <rPr>
        <i/>
        <sz val="12"/>
        <rFont val="Times New Roman"/>
        <family val="1"/>
      </rPr>
      <t>vendor lock-in.</t>
    </r>
  </si>
  <si>
    <r>
      <t xml:space="preserve">Analisar quais são as rigiões administrativas em maior destaque das 280 cidades da Polónia e verificar partes interessadas e nível médio de cooperação com </t>
    </r>
    <r>
      <rPr>
        <i/>
        <sz val="12"/>
        <color theme="1"/>
        <rFont val="Times New Roman"/>
        <family val="1"/>
      </rPr>
      <t xml:space="preserve">stakholders, </t>
    </r>
    <r>
      <rPr>
        <sz val="12"/>
        <color theme="1"/>
        <rFont val="Times New Roman"/>
        <family val="1"/>
      </rPr>
      <t>gráficos e algoritmos implementados.</t>
    </r>
  </si>
  <si>
    <t>Verificar os problemas que as cidades enfrentam analisar o porquê e prever com base em dados e algoritmos análises que serão implementadas futuramente.</t>
  </si>
  <si>
    <r>
      <t xml:space="preserve">Cidade urbana vem de um bom
planeamento lógico, cooperação entre todos os </t>
    </r>
    <r>
      <rPr>
        <i/>
        <sz val="12"/>
        <color theme="1"/>
        <rFont val="Times New Roman"/>
        <family val="1"/>
      </rPr>
      <t>stakeholder</t>
    </r>
    <r>
      <rPr>
        <sz val="12"/>
        <color theme="1"/>
        <rFont val="Times New Roman"/>
        <family val="1"/>
      </rPr>
      <t>s e implementação de normas globais.</t>
    </r>
  </si>
  <si>
    <r>
      <t xml:space="preserve">Programas de formação técnica para regiões administrativas/entidades.Criar conceitos de </t>
    </r>
    <r>
      <rPr>
        <i/>
        <sz val="12"/>
        <color theme="1"/>
        <rFont val="Times New Roman"/>
        <family val="1"/>
      </rPr>
      <t>living labs</t>
    </r>
    <r>
      <rPr>
        <sz val="12"/>
        <color theme="1"/>
        <rFont val="Times New Roman"/>
        <family val="1"/>
      </rPr>
      <t xml:space="preserve"> com métricas e transparência pública entre todos.</t>
    </r>
  </si>
  <si>
    <t>Baixa cooperação, económia e  ausência de padrões de logística urbana sustentável. Inexistência de transparência de dados e ineficiência de logística sustentável.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</si>
</sst>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name val="Times New Roman"/>
      <family val="1"/>
    </font>
    <font>
      <u/>
      <sz val="11"/>
      <color theme="10"/>
      <name val="Calibri"/>
      <family val="2"/>
      <scheme val="minor"/>
    </font>
    <font>
      <sz val="9"/>
      <color indexed="81"/>
      <name val="Tahoma"/>
      <charset val="1"/>
    </font>
    <font>
      <b/>
      <sz val="9"/>
      <color indexed="81"/>
      <name val="Tahoma"/>
      <charset val="1"/>
    </font>
    <font>
      <sz val="9"/>
      <color indexed="81"/>
      <name val="Tahoma"/>
      <family val="2"/>
    </font>
    <font>
      <sz val="12"/>
      <color theme="1"/>
      <name val="Times New Roman"/>
      <family val="1"/>
    </font>
    <font>
      <sz val="12"/>
      <name val="Times New Roman"/>
      <family val="1"/>
    </font>
    <font>
      <i/>
      <sz val="12"/>
      <color theme="1"/>
      <name val="Times New Roman"/>
      <family val="1"/>
    </font>
    <font>
      <u/>
      <sz val="12"/>
      <color theme="10"/>
      <name val="Calibri"/>
      <family val="2"/>
      <scheme val="minor"/>
    </font>
    <font>
      <sz val="12"/>
      <color theme="1"/>
      <name val="Calibri"/>
      <family val="2"/>
      <scheme val="minor"/>
    </font>
    <font>
      <i/>
      <sz val="12"/>
      <name val="Times New Roman"/>
      <family val="1"/>
    </font>
    <font>
      <u/>
      <sz val="12"/>
      <color theme="10"/>
      <name val="Times New Roman"/>
      <family val="1"/>
    </font>
    <font>
      <u/>
      <sz val="12"/>
      <color theme="1"/>
      <name val="Times New Roman"/>
      <family val="1"/>
    </font>
    <font>
      <b/>
      <sz val="12"/>
      <name val="Times New Roman"/>
      <family val="1"/>
    </font>
    <font>
      <b/>
      <i/>
      <sz val="12"/>
      <name val="Times New Roman"/>
      <family val="1"/>
    </font>
    <font>
      <i/>
      <sz val="12"/>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6" fillId="0" borderId="1" xfId="0" applyFont="1" applyBorder="1" applyAlignment="1">
      <alignment horizontal="center" vertical="center"/>
    </xf>
    <xf numFmtId="0" fontId="6" fillId="3" borderId="2"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1" applyFont="1" applyFill="1" applyBorder="1" applyAlignment="1">
      <alignment horizontal="center" vertical="center" wrapText="1"/>
    </xf>
    <xf numFmtId="0" fontId="9" fillId="0" borderId="1" xfId="1" applyFont="1" applyFill="1" applyBorder="1" applyAlignment="1">
      <alignment horizontal="center" vertical="center" wrapText="1"/>
    </xf>
    <xf numFmtId="0" fontId="10" fillId="0" borderId="0" xfId="0" applyFont="1"/>
    <xf numFmtId="0" fontId="12" fillId="0" borderId="1" xfId="1" applyFont="1" applyFill="1" applyBorder="1" applyAlignment="1">
      <alignment horizontal="center" vertical="center" wrapText="1"/>
    </xf>
    <xf numFmtId="0" fontId="6" fillId="0" borderId="0" xfId="0" applyFont="1"/>
    <xf numFmtId="0" fontId="8" fillId="0" borderId="1" xfId="0" applyFont="1" applyBorder="1" applyAlignment="1">
      <alignment horizontal="center" vertical="center" wrapText="1"/>
    </xf>
    <xf numFmtId="0" fontId="13" fillId="0" borderId="0" xfId="0" applyFont="1"/>
    <xf numFmtId="0" fontId="14" fillId="2" borderId="1" xfId="0" applyFont="1" applyFill="1" applyBorder="1" applyAlignment="1">
      <alignment horizontal="center" vertical="center" wrapText="1"/>
    </xf>
    <xf numFmtId="0" fontId="10" fillId="0" borderId="0" xfId="0" applyFont="1" applyAlignment="1">
      <alignment horizontal="center" vertical="center"/>
    </xf>
    <xf numFmtId="0" fontId="14"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6" fillId="0" borderId="0" xfId="0" applyFont="1" applyAlignment="1">
      <alignment horizontal="center" vertical="center"/>
    </xf>
    <xf numFmtId="0" fontId="16" fillId="0" borderId="0" xfId="0" applyFont="1"/>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Eduardo Miguel Moreira Junqueira" id="{0B93ECDD-E86E-4A05-BF4A-5374D25DE934}" userId="S::1251561@isep.ipp.pt::2963e3f5-f3b3-4ba4-938f-6d3776a09e2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5-12-16T22:00:43.90" personId="{0B93ECDD-E86E-4A05-BF4A-5374D25DE934}" id="{84F1BB6D-6B52-413E-8C97-93030E6E0A02}">
    <text>1
A Review of Technical Standards for Smart Cities</text>
  </threadedComment>
  <threadedComment ref="A3" dT="2025-12-16T22:00:49.86" personId="{0B93ECDD-E86E-4A05-BF4A-5374D25DE934}" id="{6B6AF0B5-E8CC-4BED-91E8-EC25D68605F3}">
    <text xml:space="preserve">2
AI-Driven Optimization of Urban Logistics in Smart Cities </text>
  </threadedComment>
  <threadedComment ref="A4" dT="2025-12-16T22:01:02.28" personId="{0B93ECDD-E86E-4A05-BF4A-5374D25DE934}" id="{DA385A3D-0A03-45B2-ACEA-516A0793B327}">
    <text>3
Collaborative urban transportation</text>
  </threadedComment>
  <threadedComment ref="A5" dT="2025-12-16T22:01:33.29" personId="{0B93ECDD-E86E-4A05-BF4A-5374D25DE934}" id="{056DA876-8A90-4C14-90A4-458BF015A9CB}">
    <text xml:space="preserve">4
Shortening the Last Mile in Urban Areas: Optimizing a Smart Logistics Concept for E-Grocery Operations
</text>
  </threadedComment>
  <threadedComment ref="A6" dT="2025-12-16T22:01:13.51" personId="{0B93ECDD-E86E-4A05-BF4A-5374D25DE934}" id="{75E7449E-B7A6-479D-8FD9-9AD27364D4A2}">
    <text>5
Designing new models for energy efficiency in urban freight transport for smart cities and its application to the Spanish case</text>
  </threadedComment>
  <threadedComment ref="A7" dT="2025-12-16T22:01:20.04" personId="{0B93ECDD-E86E-4A05-BF4A-5374D25DE934}" id="{FC83D0CE-0BD3-4AD1-8A4B-CC7DECF8704C}">
    <text xml:space="preserve">6
Fulfilment of last-mile urban logistics for sustainable and inclusive smart cities: a case study conducted in Portugal
</text>
  </threadedComment>
  <threadedComment ref="A8" dT="2025-12-16T22:01:26.38" personId="{0B93ECDD-E86E-4A05-BF4A-5374D25DE934}" id="{83ED9082-2310-4BBA-91D6-FF7AC3F83404}">
    <text>7
Interaction with City Logistics Stakeholders as a Factor of the Development of Polish Cities on the Way to Becoming Smart Cities</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webofscience.com/wos/woscc/full-record/WOS:000863368900001" TargetMode="External"/><Relationship Id="rId7" Type="http://schemas.openxmlformats.org/officeDocument/2006/relationships/hyperlink" Target="https://www.researchgate.net/publication/342715450_Shortening_the_Last_Mile_in_Urban_Areas_Optimizing_a_Smart_Logistics_Concept_for_E-Grocery_Operations" TargetMode="External"/><Relationship Id="rId2" Type="http://schemas.openxmlformats.org/officeDocument/2006/relationships/hyperlink" Target="https://www.webofscience.com/wos/woscc/full-record/WOS:000377574100026" TargetMode="External"/><Relationship Id="rId1" Type="http://schemas.openxmlformats.org/officeDocument/2006/relationships/hyperlink" Target="https://www.researchgate.net/publication/343716519_A_Review_of_Technical_Standards_for_Smart_Cities" TargetMode="External"/><Relationship Id="rId6" Type="http://schemas.openxmlformats.org/officeDocument/2006/relationships/hyperlink" Target="https://www.webofscience.com/wos/woscc/full-record/WOS:001386582700001" TargetMode="External"/><Relationship Id="rId11" Type="http://schemas.microsoft.com/office/2017/10/relationships/threadedComment" Target="../threadedComments/threadedComment1.xml"/><Relationship Id="rId5" Type="http://schemas.openxmlformats.org/officeDocument/2006/relationships/hyperlink" Target="https://www.webofscience.com/wos/woscc/full-record/WOS:000455069000001" TargetMode="External"/><Relationship Id="rId10" Type="http://schemas.openxmlformats.org/officeDocument/2006/relationships/comments" Target="../comments1.xml"/><Relationship Id="rId4" Type="http://schemas.openxmlformats.org/officeDocument/2006/relationships/hyperlink" Target="https://www.webofscience.com/wos/woscc/full-record/WOS:000809883800001"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FADD-31D0-447F-A45C-C229E652FD5B}">
  <dimension ref="A1:R96"/>
  <sheetViews>
    <sheetView tabSelected="1" zoomScale="68" zoomScaleNormal="68" workbookViewId="0">
      <pane xSplit="7" ySplit="3" topLeftCell="H4" activePane="bottomRight" state="frozen"/>
      <selection pane="topRight" activeCell="H1" sqref="H1"/>
      <selection pane="bottomLeft" activeCell="A4" sqref="A4"/>
      <selection pane="bottomRight" activeCell="S8" sqref="S8"/>
    </sheetView>
  </sheetViews>
  <sheetFormatPr defaultColWidth="11.33203125" defaultRowHeight="15.6" x14ac:dyDescent="0.3"/>
  <cols>
    <col min="1" max="1" width="17.77734375" style="11" bestFit="1" customWidth="1"/>
    <col min="2" max="2" width="24.33203125" hidden="1" customWidth="1"/>
    <col min="3" max="3" width="10" hidden="1" customWidth="1"/>
    <col min="4" max="4" width="15.33203125" hidden="1" customWidth="1"/>
    <col min="5" max="5" width="34" hidden="1" customWidth="1"/>
    <col min="6" max="6" width="34.88671875" hidden="1" customWidth="1"/>
    <col min="7" max="7" width="88.88671875" hidden="1" customWidth="1"/>
    <col min="8" max="8" width="19.109375" style="22" bestFit="1" customWidth="1"/>
    <col min="9" max="9" width="22.44140625" style="11" customWidth="1"/>
    <col min="10" max="10" width="35.21875" style="11" customWidth="1"/>
    <col min="11" max="11" width="24" style="11" bestFit="1" customWidth="1"/>
    <col min="12" max="12" width="26.77734375" style="11" bestFit="1" customWidth="1"/>
    <col min="13" max="13" width="24" style="11" bestFit="1" customWidth="1"/>
    <col min="14" max="14" width="22.21875" style="11" bestFit="1" customWidth="1"/>
    <col min="15" max="15" width="23.44140625" style="11" customWidth="1"/>
    <col min="16" max="16" width="21.21875" style="11" bestFit="1" customWidth="1"/>
    <col min="17" max="17" width="18" style="11" bestFit="1" customWidth="1"/>
    <col min="18" max="18" width="15" bestFit="1" customWidth="1"/>
  </cols>
  <sheetData>
    <row r="1" spans="1:18" ht="41.4" x14ac:dyDescent="0.3">
      <c r="A1" s="16" t="s">
        <v>0</v>
      </c>
      <c r="B1" s="2" t="s">
        <v>1</v>
      </c>
      <c r="C1" s="1" t="s">
        <v>2</v>
      </c>
      <c r="D1" s="2" t="s">
        <v>3</v>
      </c>
      <c r="E1" s="2" t="s">
        <v>4</v>
      </c>
      <c r="F1" s="2" t="s">
        <v>5</v>
      </c>
      <c r="G1" s="2" t="s">
        <v>6</v>
      </c>
      <c r="H1" s="19" t="s">
        <v>7</v>
      </c>
      <c r="I1" s="16" t="s">
        <v>8</v>
      </c>
      <c r="J1" s="16" t="s">
        <v>9</v>
      </c>
      <c r="K1" s="16" t="s">
        <v>10</v>
      </c>
      <c r="L1" s="16" t="s">
        <v>11</v>
      </c>
      <c r="M1" s="16" t="s">
        <v>12</v>
      </c>
      <c r="N1" s="16" t="s">
        <v>13</v>
      </c>
      <c r="O1" s="16" t="s">
        <v>14</v>
      </c>
      <c r="P1" s="16" t="s">
        <v>15</v>
      </c>
      <c r="Q1" s="18" t="s">
        <v>16</v>
      </c>
    </row>
    <row r="2" spans="1:18" s="11" customFormat="1" ht="221.25" customHeight="1" x14ac:dyDescent="0.3">
      <c r="A2" s="4">
        <v>1</v>
      </c>
      <c r="B2" s="5" t="s">
        <v>17</v>
      </c>
      <c r="C2" s="6">
        <v>2020</v>
      </c>
      <c r="D2" s="7">
        <v>63</v>
      </c>
      <c r="E2" s="7">
        <v>0.54</v>
      </c>
      <c r="F2" s="4">
        <v>164</v>
      </c>
      <c r="G2" s="8" t="s">
        <v>26</v>
      </c>
      <c r="H2" s="20" t="s">
        <v>29</v>
      </c>
      <c r="I2" s="8" t="s">
        <v>55</v>
      </c>
      <c r="J2" s="7" t="s">
        <v>57</v>
      </c>
      <c r="K2" s="7" t="s">
        <v>53</v>
      </c>
      <c r="L2" s="7" t="s">
        <v>56</v>
      </c>
      <c r="M2" s="7" t="s">
        <v>47</v>
      </c>
      <c r="N2" s="7" t="s">
        <v>58</v>
      </c>
      <c r="O2" s="4">
        <v>5</v>
      </c>
      <c r="P2" s="9" t="s">
        <v>59</v>
      </c>
      <c r="Q2" s="10" t="s">
        <v>40</v>
      </c>
    </row>
    <row r="3" spans="1:18" s="13" customFormat="1" ht="202.8" x14ac:dyDescent="0.3">
      <c r="A3" s="4">
        <f>A2+1</f>
        <v>2</v>
      </c>
      <c r="B3" s="5" t="s">
        <v>17</v>
      </c>
      <c r="C3" s="6">
        <v>2024</v>
      </c>
      <c r="D3" s="7">
        <v>32</v>
      </c>
      <c r="E3" s="7">
        <v>0.67</v>
      </c>
      <c r="F3" s="4">
        <v>24</v>
      </c>
      <c r="G3" s="8" t="s">
        <v>27</v>
      </c>
      <c r="H3" s="20" t="s">
        <v>28</v>
      </c>
      <c r="I3" s="8" t="s">
        <v>60</v>
      </c>
      <c r="J3" s="7" t="s">
        <v>48</v>
      </c>
      <c r="K3" s="14" t="s">
        <v>50</v>
      </c>
      <c r="L3" s="7" t="s">
        <v>61</v>
      </c>
      <c r="M3" s="7" t="s">
        <v>62</v>
      </c>
      <c r="N3" s="7" t="s">
        <v>63</v>
      </c>
      <c r="O3" s="4">
        <v>4</v>
      </c>
      <c r="P3" s="9" t="s">
        <v>64</v>
      </c>
      <c r="Q3" s="12" t="s">
        <v>41</v>
      </c>
    </row>
    <row r="4" spans="1:18" s="13" customFormat="1" ht="296.39999999999998" x14ac:dyDescent="0.3">
      <c r="A4" s="4">
        <f t="shared" ref="A4:A8" si="0">A3+1</f>
        <v>3</v>
      </c>
      <c r="B4" s="5" t="s">
        <v>18</v>
      </c>
      <c r="C4" s="6">
        <v>2019</v>
      </c>
      <c r="D4" s="7">
        <v>155</v>
      </c>
      <c r="E4" s="7">
        <v>1.35</v>
      </c>
      <c r="F4" s="4">
        <v>237</v>
      </c>
      <c r="G4" s="8" t="s">
        <v>39</v>
      </c>
      <c r="H4" s="20" t="s">
        <v>30</v>
      </c>
      <c r="I4" s="8" t="s">
        <v>65</v>
      </c>
      <c r="J4" s="7" t="s">
        <v>66</v>
      </c>
      <c r="K4" s="14" t="s">
        <v>49</v>
      </c>
      <c r="L4" s="7" t="s">
        <v>67</v>
      </c>
      <c r="M4" s="7" t="s">
        <v>68</v>
      </c>
      <c r="N4" s="7" t="s">
        <v>69</v>
      </c>
      <c r="O4" s="4">
        <v>3</v>
      </c>
      <c r="P4" s="9" t="s">
        <v>24</v>
      </c>
      <c r="Q4" s="12" t="s">
        <v>44</v>
      </c>
    </row>
    <row r="5" spans="1:18" s="13" customFormat="1" ht="218.4" x14ac:dyDescent="0.3">
      <c r="A5" s="4">
        <f>A4+1</f>
        <v>4</v>
      </c>
      <c r="B5" s="5" t="s">
        <v>23</v>
      </c>
      <c r="C5" s="6">
        <v>2020</v>
      </c>
      <c r="D5" s="7">
        <v>36</v>
      </c>
      <c r="E5" s="7">
        <v>1.57</v>
      </c>
      <c r="F5" s="4">
        <v>43</v>
      </c>
      <c r="G5" s="8" t="s">
        <v>35</v>
      </c>
      <c r="H5" s="20" t="s">
        <v>34</v>
      </c>
      <c r="I5" s="8" t="s">
        <v>70</v>
      </c>
      <c r="J5" s="7" t="s">
        <v>52</v>
      </c>
      <c r="K5" s="14" t="s">
        <v>50</v>
      </c>
      <c r="L5" s="7" t="s">
        <v>71</v>
      </c>
      <c r="M5" s="7" t="s">
        <v>72</v>
      </c>
      <c r="N5" s="7" t="s">
        <v>73</v>
      </c>
      <c r="O5" s="4">
        <v>4</v>
      </c>
      <c r="P5" s="9" t="s">
        <v>74</v>
      </c>
      <c r="Q5" s="12" t="s">
        <v>46</v>
      </c>
      <c r="R5" s="15"/>
    </row>
    <row r="6" spans="1:18" s="13" customFormat="1" ht="296.39999999999998" x14ac:dyDescent="0.3">
      <c r="A6" s="4">
        <v>5</v>
      </c>
      <c r="B6" s="5" t="s">
        <v>19</v>
      </c>
      <c r="C6" s="6">
        <v>2016</v>
      </c>
      <c r="D6" s="7">
        <v>6</v>
      </c>
      <c r="E6" s="7" t="s">
        <v>20</v>
      </c>
      <c r="F6" s="4">
        <v>62</v>
      </c>
      <c r="G6" s="8" t="s">
        <v>38</v>
      </c>
      <c r="H6" s="20" t="s">
        <v>31</v>
      </c>
      <c r="I6" s="8" t="s">
        <v>75</v>
      </c>
      <c r="J6" s="7" t="s">
        <v>76</v>
      </c>
      <c r="K6" s="14" t="s">
        <v>50</v>
      </c>
      <c r="L6" s="7" t="s">
        <v>77</v>
      </c>
      <c r="M6" s="7" t="s">
        <v>78</v>
      </c>
      <c r="N6" s="7" t="s">
        <v>79</v>
      </c>
      <c r="O6" s="4">
        <v>4</v>
      </c>
      <c r="P6" s="9" t="s">
        <v>80</v>
      </c>
      <c r="Q6" s="12" t="s">
        <v>45</v>
      </c>
    </row>
    <row r="7" spans="1:18" s="13" customFormat="1" ht="234" x14ac:dyDescent="0.3">
      <c r="A7" s="4">
        <f>A6+1</f>
        <v>6</v>
      </c>
      <c r="B7" s="5" t="s">
        <v>21</v>
      </c>
      <c r="C7" s="6">
        <v>2024</v>
      </c>
      <c r="D7" s="7">
        <v>109</v>
      </c>
      <c r="E7" s="7">
        <v>1.05</v>
      </c>
      <c r="F7" s="4">
        <v>19</v>
      </c>
      <c r="G7" s="8" t="s">
        <v>37</v>
      </c>
      <c r="H7" s="20" t="s">
        <v>32</v>
      </c>
      <c r="I7" s="8" t="s">
        <v>81</v>
      </c>
      <c r="J7" s="7" t="s">
        <v>82</v>
      </c>
      <c r="K7" s="14" t="s">
        <v>51</v>
      </c>
      <c r="L7" s="7" t="s">
        <v>83</v>
      </c>
      <c r="M7" s="7" t="s">
        <v>84</v>
      </c>
      <c r="N7" s="7" t="s">
        <v>54</v>
      </c>
      <c r="O7" s="4">
        <v>5</v>
      </c>
      <c r="P7" s="9" t="s">
        <v>25</v>
      </c>
      <c r="Q7" s="12" t="s">
        <v>42</v>
      </c>
    </row>
    <row r="8" spans="1:18" s="13" customFormat="1" ht="409.6" x14ac:dyDescent="0.3">
      <c r="A8" s="4">
        <f t="shared" si="0"/>
        <v>7</v>
      </c>
      <c r="B8" s="5" t="s">
        <v>22</v>
      </c>
      <c r="C8" s="6">
        <v>2022</v>
      </c>
      <c r="D8" s="7">
        <v>81</v>
      </c>
      <c r="E8" s="7">
        <v>0.45</v>
      </c>
      <c r="F8" s="4">
        <v>14</v>
      </c>
      <c r="G8" s="8" t="s">
        <v>36</v>
      </c>
      <c r="H8" s="20" t="s">
        <v>33</v>
      </c>
      <c r="I8" s="8" t="s">
        <v>85</v>
      </c>
      <c r="J8" s="7" t="s">
        <v>86</v>
      </c>
      <c r="K8" s="14" t="s">
        <v>50</v>
      </c>
      <c r="L8" s="7" t="s">
        <v>87</v>
      </c>
      <c r="M8" s="7" t="s">
        <v>88</v>
      </c>
      <c r="N8" s="7" t="s">
        <v>89</v>
      </c>
      <c r="O8" s="4">
        <v>3</v>
      </c>
      <c r="P8" s="9" t="s">
        <v>90</v>
      </c>
      <c r="Q8" s="12" t="s">
        <v>43</v>
      </c>
    </row>
    <row r="37" spans="1:17" x14ac:dyDescent="0.3">
      <c r="A37" s="17"/>
      <c r="B37" s="3"/>
      <c r="C37" s="3"/>
      <c r="D37" s="3"/>
      <c r="E37" s="3"/>
      <c r="F37" s="3"/>
      <c r="G37" s="3"/>
      <c r="H37" s="21"/>
      <c r="I37" s="17"/>
      <c r="J37" s="17"/>
      <c r="K37" s="17"/>
      <c r="L37" s="17"/>
      <c r="M37" s="17"/>
      <c r="N37" s="17"/>
      <c r="O37" s="17"/>
      <c r="P37" s="17"/>
      <c r="Q37" s="17"/>
    </row>
    <row r="38" spans="1:17" x14ac:dyDescent="0.3">
      <c r="A38" s="17"/>
      <c r="B38" s="3"/>
      <c r="C38" s="3"/>
      <c r="D38" s="3"/>
      <c r="E38" s="3"/>
      <c r="F38" s="3"/>
      <c r="G38" s="3"/>
      <c r="H38" s="21"/>
      <c r="I38" s="17"/>
      <c r="J38" s="17"/>
      <c r="K38" s="17"/>
      <c r="L38" s="17"/>
      <c r="M38" s="17"/>
      <c r="N38" s="17"/>
      <c r="O38" s="17"/>
      <c r="P38" s="17"/>
      <c r="Q38" s="17"/>
    </row>
    <row r="39" spans="1:17" x14ac:dyDescent="0.3">
      <c r="A39" s="17"/>
      <c r="B39" s="3"/>
      <c r="C39" s="3"/>
      <c r="D39" s="3"/>
      <c r="E39" s="3"/>
      <c r="F39" s="3"/>
      <c r="G39" s="3"/>
      <c r="H39" s="21"/>
      <c r="I39" s="17"/>
      <c r="J39" s="17"/>
      <c r="K39" s="17"/>
      <c r="L39" s="17"/>
      <c r="M39" s="17"/>
      <c r="N39" s="17"/>
      <c r="O39" s="17"/>
      <c r="P39" s="17"/>
      <c r="Q39" s="17"/>
    </row>
    <row r="40" spans="1:17" x14ac:dyDescent="0.3">
      <c r="A40" s="17"/>
      <c r="B40" s="3"/>
      <c r="C40" s="3"/>
      <c r="D40" s="3"/>
      <c r="E40" s="3"/>
      <c r="F40" s="3"/>
      <c r="G40" s="3"/>
      <c r="H40" s="21"/>
      <c r="I40" s="17"/>
      <c r="J40" s="17"/>
      <c r="K40" s="17"/>
      <c r="L40" s="17"/>
      <c r="M40" s="17"/>
      <c r="N40" s="17"/>
      <c r="O40" s="17"/>
      <c r="P40" s="17"/>
      <c r="Q40" s="17"/>
    </row>
    <row r="41" spans="1:17" x14ac:dyDescent="0.3">
      <c r="A41" s="17"/>
      <c r="B41" s="3"/>
      <c r="C41" s="3"/>
      <c r="D41" s="3"/>
      <c r="E41" s="3"/>
      <c r="F41" s="3"/>
      <c r="G41" s="3"/>
      <c r="H41" s="21"/>
      <c r="I41" s="17"/>
      <c r="J41" s="17"/>
      <c r="K41" s="17"/>
      <c r="L41" s="17"/>
      <c r="M41" s="17"/>
      <c r="N41" s="17"/>
      <c r="O41" s="17"/>
      <c r="P41" s="17"/>
      <c r="Q41" s="17"/>
    </row>
    <row r="42" spans="1:17" x14ac:dyDescent="0.3">
      <c r="A42" s="17"/>
      <c r="B42" s="3"/>
      <c r="C42" s="3"/>
      <c r="D42" s="3"/>
      <c r="E42" s="3"/>
      <c r="F42" s="3"/>
      <c r="G42" s="3"/>
      <c r="H42" s="21"/>
      <c r="I42" s="17"/>
      <c r="J42" s="17"/>
      <c r="K42" s="17"/>
      <c r="L42" s="17"/>
      <c r="M42" s="17"/>
      <c r="N42" s="17"/>
      <c r="O42" s="17"/>
      <c r="P42" s="17"/>
      <c r="Q42" s="17"/>
    </row>
    <row r="43" spans="1:17" x14ac:dyDescent="0.3">
      <c r="A43" s="17"/>
      <c r="B43" s="3"/>
      <c r="C43" s="3"/>
      <c r="D43" s="3"/>
      <c r="E43" s="3"/>
      <c r="F43" s="3"/>
      <c r="G43" s="3"/>
      <c r="H43" s="21"/>
      <c r="I43" s="17"/>
      <c r="J43" s="17"/>
      <c r="K43" s="17"/>
      <c r="L43" s="17"/>
      <c r="M43" s="17"/>
      <c r="N43" s="17"/>
      <c r="O43" s="17"/>
      <c r="P43" s="17"/>
      <c r="Q43" s="17"/>
    </row>
    <row r="44" spans="1:17" x14ac:dyDescent="0.3">
      <c r="A44" s="17"/>
      <c r="B44" s="3"/>
      <c r="C44" s="3"/>
      <c r="D44" s="3"/>
      <c r="E44" s="3"/>
      <c r="F44" s="3"/>
      <c r="G44" s="3"/>
      <c r="H44" s="21"/>
      <c r="I44" s="17"/>
      <c r="J44" s="17"/>
      <c r="K44" s="17"/>
      <c r="L44" s="17"/>
      <c r="M44" s="17"/>
      <c r="N44" s="17"/>
      <c r="O44" s="17"/>
      <c r="P44" s="17"/>
      <c r="Q44" s="17"/>
    </row>
    <row r="45" spans="1:17" x14ac:dyDescent="0.3">
      <c r="A45" s="17"/>
      <c r="B45" s="3"/>
      <c r="C45" s="3"/>
      <c r="D45" s="3"/>
      <c r="E45" s="3"/>
      <c r="F45" s="3"/>
      <c r="G45" s="3"/>
      <c r="H45" s="21"/>
      <c r="I45" s="17"/>
      <c r="J45" s="17"/>
      <c r="K45" s="17"/>
      <c r="L45" s="17"/>
      <c r="M45" s="17"/>
      <c r="N45" s="17"/>
      <c r="O45" s="17"/>
      <c r="P45" s="17"/>
      <c r="Q45" s="17"/>
    </row>
    <row r="46" spans="1:17" x14ac:dyDescent="0.3">
      <c r="A46" s="17"/>
      <c r="B46" s="3"/>
      <c r="C46" s="3"/>
      <c r="D46" s="3"/>
      <c r="E46" s="3"/>
      <c r="F46" s="3"/>
      <c r="G46" s="3"/>
      <c r="H46" s="21"/>
      <c r="I46" s="17"/>
      <c r="J46" s="17"/>
      <c r="K46" s="17"/>
      <c r="L46" s="17"/>
      <c r="M46" s="17"/>
      <c r="N46" s="17"/>
      <c r="O46" s="17"/>
      <c r="P46" s="17"/>
      <c r="Q46" s="17"/>
    </row>
    <row r="47" spans="1:17" x14ac:dyDescent="0.3">
      <c r="A47" s="17"/>
      <c r="B47" s="3"/>
      <c r="C47" s="3"/>
      <c r="D47" s="3"/>
      <c r="E47" s="3"/>
      <c r="F47" s="3"/>
      <c r="G47" s="3"/>
      <c r="H47" s="21"/>
      <c r="I47" s="17"/>
      <c r="J47" s="17"/>
      <c r="K47" s="17"/>
      <c r="L47" s="17"/>
      <c r="M47" s="17"/>
      <c r="N47" s="17"/>
      <c r="O47" s="17"/>
      <c r="P47" s="17"/>
      <c r="Q47" s="17"/>
    </row>
    <row r="48" spans="1:17" x14ac:dyDescent="0.3">
      <c r="A48" s="17"/>
      <c r="B48" s="3"/>
      <c r="C48" s="3"/>
      <c r="D48" s="3"/>
      <c r="E48" s="3"/>
      <c r="F48" s="3"/>
      <c r="G48" s="3"/>
      <c r="H48" s="21"/>
      <c r="I48" s="17"/>
      <c r="J48" s="17"/>
      <c r="K48" s="17"/>
      <c r="L48" s="17"/>
      <c r="M48" s="17"/>
      <c r="N48" s="17"/>
      <c r="O48" s="17"/>
      <c r="P48" s="17"/>
      <c r="Q48" s="17"/>
    </row>
    <row r="49" spans="1:17" x14ac:dyDescent="0.3">
      <c r="A49" s="17"/>
      <c r="B49" s="3"/>
      <c r="C49" s="3"/>
      <c r="D49" s="3"/>
      <c r="E49" s="3"/>
      <c r="F49" s="3"/>
      <c r="G49" s="3"/>
      <c r="H49" s="21"/>
      <c r="I49" s="17"/>
      <c r="J49" s="17"/>
      <c r="K49" s="17"/>
      <c r="L49" s="17"/>
      <c r="M49" s="17"/>
      <c r="N49" s="17"/>
      <c r="O49" s="17"/>
      <c r="P49" s="17"/>
      <c r="Q49" s="17"/>
    </row>
    <row r="50" spans="1:17" x14ac:dyDescent="0.3">
      <c r="A50" s="17"/>
      <c r="B50" s="3"/>
      <c r="C50" s="3"/>
      <c r="D50" s="3"/>
      <c r="E50" s="3"/>
      <c r="F50" s="3"/>
      <c r="G50" s="3"/>
      <c r="H50" s="21"/>
      <c r="I50" s="17"/>
      <c r="J50" s="17"/>
      <c r="K50" s="17"/>
      <c r="L50" s="17"/>
      <c r="M50" s="17"/>
      <c r="N50" s="17"/>
      <c r="O50" s="17"/>
      <c r="P50" s="17"/>
      <c r="Q50" s="17"/>
    </row>
    <row r="51" spans="1:17" x14ac:dyDescent="0.3">
      <c r="A51" s="17"/>
      <c r="B51" s="3"/>
      <c r="C51" s="3"/>
      <c r="D51" s="3"/>
      <c r="E51" s="3"/>
      <c r="F51" s="3"/>
      <c r="G51" s="3"/>
      <c r="H51" s="21"/>
      <c r="I51" s="17"/>
      <c r="J51" s="17"/>
      <c r="K51" s="17"/>
      <c r="L51" s="17"/>
      <c r="M51" s="17"/>
      <c r="N51" s="17"/>
      <c r="O51" s="17"/>
      <c r="P51" s="17"/>
      <c r="Q51" s="17"/>
    </row>
    <row r="52" spans="1:17" x14ac:dyDescent="0.3">
      <c r="A52" s="17"/>
      <c r="B52" s="3"/>
      <c r="C52" s="3"/>
      <c r="D52" s="3"/>
      <c r="E52" s="3"/>
      <c r="F52" s="3"/>
      <c r="G52" s="3"/>
      <c r="H52" s="21"/>
      <c r="I52" s="17"/>
      <c r="J52" s="17"/>
      <c r="K52" s="17"/>
      <c r="L52" s="17"/>
      <c r="M52" s="17"/>
      <c r="N52" s="17"/>
      <c r="O52" s="17"/>
      <c r="P52" s="17"/>
      <c r="Q52" s="17"/>
    </row>
    <row r="53" spans="1:17" x14ac:dyDescent="0.3">
      <c r="A53" s="17"/>
      <c r="B53" s="3"/>
      <c r="C53" s="3"/>
      <c r="D53" s="3"/>
      <c r="E53" s="3"/>
      <c r="F53" s="3"/>
      <c r="G53" s="3"/>
      <c r="H53" s="21"/>
      <c r="I53" s="17"/>
      <c r="J53" s="17"/>
      <c r="K53" s="17"/>
      <c r="L53" s="17"/>
      <c r="M53" s="17"/>
      <c r="N53" s="17"/>
      <c r="O53" s="17"/>
      <c r="P53" s="17"/>
      <c r="Q53" s="17"/>
    </row>
    <row r="54" spans="1:17" x14ac:dyDescent="0.3">
      <c r="A54" s="17"/>
      <c r="B54" s="3"/>
      <c r="C54" s="3"/>
      <c r="D54" s="3"/>
      <c r="E54" s="3"/>
      <c r="F54" s="3"/>
      <c r="G54" s="3"/>
      <c r="H54" s="21"/>
      <c r="I54" s="17"/>
      <c r="J54" s="17"/>
      <c r="K54" s="17"/>
      <c r="L54" s="17"/>
      <c r="M54" s="17"/>
      <c r="N54" s="17"/>
      <c r="O54" s="17"/>
      <c r="P54" s="17"/>
      <c r="Q54" s="17"/>
    </row>
    <row r="55" spans="1:17" x14ac:dyDescent="0.3">
      <c r="A55" s="17"/>
      <c r="B55" s="3"/>
      <c r="C55" s="3"/>
      <c r="D55" s="3"/>
      <c r="E55" s="3"/>
      <c r="F55" s="3"/>
      <c r="G55" s="3"/>
      <c r="H55" s="21"/>
      <c r="I55" s="17"/>
      <c r="J55" s="17"/>
      <c r="K55" s="17"/>
      <c r="L55" s="17"/>
      <c r="M55" s="17"/>
      <c r="N55" s="17"/>
      <c r="O55" s="17"/>
      <c r="P55" s="17"/>
      <c r="Q55" s="17"/>
    </row>
    <row r="56" spans="1:17" x14ac:dyDescent="0.3">
      <c r="A56" s="17"/>
      <c r="B56" s="3"/>
      <c r="C56" s="3"/>
      <c r="D56" s="3"/>
      <c r="E56" s="3"/>
      <c r="F56" s="3"/>
      <c r="G56" s="3"/>
      <c r="H56" s="21"/>
      <c r="I56" s="17"/>
      <c r="J56" s="17"/>
      <c r="K56" s="17"/>
      <c r="L56" s="17"/>
      <c r="M56" s="17"/>
      <c r="N56" s="17"/>
      <c r="O56" s="17"/>
      <c r="P56" s="17"/>
      <c r="Q56" s="17"/>
    </row>
    <row r="57" spans="1:17" x14ac:dyDescent="0.3">
      <c r="A57" s="17"/>
      <c r="B57" s="3"/>
      <c r="C57" s="3"/>
      <c r="D57" s="3"/>
      <c r="E57" s="3"/>
      <c r="F57" s="3"/>
      <c r="G57" s="3"/>
      <c r="H57" s="21"/>
      <c r="I57" s="17"/>
      <c r="J57" s="17"/>
      <c r="K57" s="17"/>
      <c r="L57" s="17"/>
      <c r="M57" s="17"/>
      <c r="N57" s="17"/>
      <c r="O57" s="17"/>
      <c r="P57" s="17"/>
      <c r="Q57" s="17"/>
    </row>
    <row r="58" spans="1:17" x14ac:dyDescent="0.3">
      <c r="A58" s="17"/>
      <c r="B58" s="3"/>
      <c r="C58" s="3"/>
      <c r="D58" s="3"/>
      <c r="E58" s="3"/>
      <c r="F58" s="3"/>
      <c r="G58" s="3"/>
      <c r="H58" s="21"/>
      <c r="I58" s="17"/>
      <c r="J58" s="17"/>
      <c r="K58" s="17"/>
      <c r="L58" s="17"/>
      <c r="M58" s="17"/>
      <c r="N58" s="17"/>
      <c r="O58" s="17"/>
      <c r="P58" s="17"/>
      <c r="Q58" s="17"/>
    </row>
    <row r="59" spans="1:17" x14ac:dyDescent="0.3">
      <c r="A59" s="17"/>
      <c r="B59" s="3"/>
      <c r="C59" s="3"/>
      <c r="D59" s="3"/>
      <c r="E59" s="3"/>
      <c r="F59" s="3"/>
      <c r="G59" s="3"/>
      <c r="H59" s="21"/>
      <c r="I59" s="17"/>
      <c r="J59" s="17"/>
      <c r="K59" s="17"/>
      <c r="L59" s="17"/>
      <c r="M59" s="17"/>
      <c r="N59" s="17"/>
      <c r="O59" s="17"/>
      <c r="P59" s="17"/>
      <c r="Q59" s="17"/>
    </row>
    <row r="60" spans="1:17" x14ac:dyDescent="0.3">
      <c r="A60" s="17"/>
      <c r="B60" s="3"/>
      <c r="C60" s="3"/>
      <c r="D60" s="3"/>
      <c r="E60" s="3"/>
      <c r="F60" s="3"/>
      <c r="G60" s="3"/>
      <c r="H60" s="21"/>
      <c r="I60" s="17"/>
      <c r="J60" s="17"/>
      <c r="K60" s="17"/>
      <c r="L60" s="17"/>
      <c r="M60" s="17"/>
      <c r="N60" s="17"/>
      <c r="O60" s="17"/>
      <c r="P60" s="17"/>
      <c r="Q60" s="17"/>
    </row>
    <row r="61" spans="1:17" x14ac:dyDescent="0.3">
      <c r="A61" s="17"/>
      <c r="B61" s="3"/>
      <c r="C61" s="3"/>
      <c r="D61" s="3"/>
      <c r="E61" s="3"/>
      <c r="F61" s="3"/>
      <c r="G61" s="3"/>
      <c r="H61" s="21"/>
      <c r="I61" s="17"/>
      <c r="J61" s="17"/>
      <c r="K61" s="17"/>
      <c r="L61" s="17"/>
      <c r="M61" s="17"/>
      <c r="N61" s="17"/>
      <c r="O61" s="17"/>
      <c r="P61" s="17"/>
      <c r="Q61" s="17"/>
    </row>
    <row r="62" spans="1:17" x14ac:dyDescent="0.3">
      <c r="A62" s="17"/>
      <c r="B62" s="3"/>
      <c r="C62" s="3"/>
      <c r="D62" s="3"/>
      <c r="E62" s="3"/>
      <c r="F62" s="3"/>
      <c r="G62" s="3"/>
      <c r="H62" s="21"/>
      <c r="I62" s="17"/>
      <c r="J62" s="17"/>
      <c r="K62" s="17"/>
      <c r="L62" s="17"/>
      <c r="M62" s="17"/>
      <c r="N62" s="17"/>
      <c r="O62" s="17"/>
      <c r="P62" s="17"/>
      <c r="Q62" s="17"/>
    </row>
    <row r="63" spans="1:17" x14ac:dyDescent="0.3">
      <c r="A63" s="17"/>
      <c r="B63" s="3"/>
      <c r="C63" s="3"/>
      <c r="D63" s="3"/>
      <c r="E63" s="3"/>
      <c r="F63" s="3"/>
      <c r="G63" s="3"/>
      <c r="H63" s="21"/>
      <c r="I63" s="17"/>
      <c r="J63" s="17"/>
      <c r="K63" s="17"/>
      <c r="L63" s="17"/>
      <c r="M63" s="17"/>
      <c r="N63" s="17"/>
      <c r="O63" s="17"/>
      <c r="P63" s="17"/>
      <c r="Q63" s="17"/>
    </row>
    <row r="64" spans="1:17" x14ac:dyDescent="0.3">
      <c r="A64" s="17"/>
      <c r="B64" s="3"/>
      <c r="C64" s="3"/>
      <c r="D64" s="3"/>
      <c r="E64" s="3"/>
      <c r="F64" s="3"/>
      <c r="G64" s="3"/>
      <c r="H64" s="21"/>
      <c r="I64" s="17"/>
      <c r="J64" s="17"/>
      <c r="K64" s="17"/>
      <c r="L64" s="17"/>
      <c r="M64" s="17"/>
      <c r="N64" s="17"/>
      <c r="O64" s="17"/>
      <c r="P64" s="17"/>
      <c r="Q64" s="17"/>
    </row>
    <row r="65" spans="1:17" x14ac:dyDescent="0.3">
      <c r="A65" s="17"/>
      <c r="B65" s="3"/>
      <c r="C65" s="3"/>
      <c r="D65" s="3"/>
      <c r="E65" s="3"/>
      <c r="F65" s="3"/>
      <c r="G65" s="3"/>
      <c r="H65" s="21"/>
      <c r="I65" s="17"/>
      <c r="J65" s="17"/>
      <c r="K65" s="17"/>
      <c r="L65" s="17"/>
      <c r="M65" s="17"/>
      <c r="N65" s="17"/>
      <c r="O65" s="17"/>
      <c r="P65" s="17"/>
      <c r="Q65" s="17"/>
    </row>
    <row r="66" spans="1:17" x14ac:dyDescent="0.3">
      <c r="A66" s="17"/>
      <c r="B66" s="3"/>
      <c r="C66" s="3"/>
      <c r="D66" s="3"/>
      <c r="E66" s="3"/>
      <c r="F66" s="3"/>
      <c r="G66" s="3"/>
      <c r="H66" s="21"/>
      <c r="I66" s="17"/>
      <c r="J66" s="17"/>
      <c r="K66" s="17"/>
      <c r="L66" s="17"/>
      <c r="M66" s="17"/>
      <c r="N66" s="17"/>
      <c r="O66" s="17"/>
      <c r="P66" s="17"/>
      <c r="Q66" s="17"/>
    </row>
    <row r="67" spans="1:17" x14ac:dyDescent="0.3">
      <c r="A67" s="17"/>
      <c r="B67" s="3"/>
      <c r="C67" s="3"/>
      <c r="D67" s="3"/>
      <c r="E67" s="3"/>
      <c r="F67" s="3"/>
      <c r="G67" s="3"/>
      <c r="H67" s="21"/>
      <c r="I67" s="17"/>
      <c r="J67" s="17"/>
      <c r="K67" s="17"/>
      <c r="L67" s="17"/>
      <c r="M67" s="17"/>
      <c r="N67" s="17"/>
      <c r="O67" s="17"/>
      <c r="P67" s="17"/>
      <c r="Q67" s="17"/>
    </row>
    <row r="68" spans="1:17" x14ac:dyDescent="0.3">
      <c r="A68" s="17"/>
      <c r="B68" s="3"/>
      <c r="C68" s="3"/>
      <c r="D68" s="3"/>
      <c r="E68" s="3"/>
      <c r="F68" s="3"/>
      <c r="G68" s="3"/>
      <c r="H68" s="21"/>
      <c r="I68" s="17"/>
      <c r="J68" s="17"/>
      <c r="K68" s="17"/>
      <c r="L68" s="17"/>
      <c r="M68" s="17"/>
      <c r="N68" s="17"/>
      <c r="O68" s="17"/>
      <c r="P68" s="17"/>
      <c r="Q68" s="17"/>
    </row>
    <row r="69" spans="1:17" x14ac:dyDescent="0.3">
      <c r="A69" s="17"/>
      <c r="B69" s="3"/>
      <c r="C69" s="3"/>
      <c r="D69" s="3"/>
      <c r="E69" s="3"/>
      <c r="F69" s="3"/>
      <c r="G69" s="3"/>
      <c r="H69" s="21"/>
      <c r="I69" s="17"/>
      <c r="J69" s="17"/>
      <c r="K69" s="17"/>
      <c r="L69" s="17"/>
      <c r="M69" s="17"/>
      <c r="N69" s="17"/>
      <c r="O69" s="17"/>
      <c r="P69" s="17"/>
      <c r="Q69" s="17"/>
    </row>
    <row r="70" spans="1:17" x14ac:dyDescent="0.3">
      <c r="A70" s="17"/>
      <c r="B70" s="3"/>
      <c r="C70" s="3"/>
      <c r="D70" s="3"/>
      <c r="E70" s="3"/>
      <c r="F70" s="3"/>
      <c r="G70" s="3"/>
      <c r="H70" s="21"/>
      <c r="I70" s="17"/>
      <c r="J70" s="17"/>
      <c r="K70" s="17"/>
      <c r="L70" s="17"/>
      <c r="M70" s="17"/>
      <c r="N70" s="17"/>
      <c r="O70" s="17"/>
      <c r="P70" s="17"/>
      <c r="Q70" s="17"/>
    </row>
    <row r="71" spans="1:17" x14ac:dyDescent="0.3">
      <c r="A71" s="17"/>
      <c r="B71" s="3"/>
      <c r="C71" s="3"/>
      <c r="D71" s="3"/>
      <c r="E71" s="3"/>
      <c r="F71" s="3"/>
      <c r="G71" s="3"/>
      <c r="H71" s="21"/>
      <c r="I71" s="17"/>
      <c r="J71" s="17"/>
      <c r="K71" s="17"/>
      <c r="L71" s="17"/>
      <c r="M71" s="17"/>
      <c r="N71" s="17"/>
      <c r="O71" s="17"/>
      <c r="P71" s="17"/>
      <c r="Q71" s="17"/>
    </row>
    <row r="72" spans="1:17" x14ac:dyDescent="0.3">
      <c r="A72" s="17"/>
      <c r="B72" s="3"/>
      <c r="C72" s="3"/>
      <c r="D72" s="3"/>
      <c r="E72" s="3"/>
      <c r="F72" s="3"/>
      <c r="G72" s="3"/>
      <c r="H72" s="21"/>
      <c r="I72" s="17"/>
      <c r="J72" s="17"/>
      <c r="K72" s="17"/>
      <c r="L72" s="17"/>
      <c r="M72" s="17"/>
      <c r="N72" s="17"/>
      <c r="O72" s="17"/>
      <c r="P72" s="17"/>
      <c r="Q72" s="17"/>
    </row>
    <row r="73" spans="1:17" x14ac:dyDescent="0.3">
      <c r="A73" s="17"/>
      <c r="B73" s="3"/>
      <c r="C73" s="3"/>
      <c r="D73" s="3"/>
      <c r="E73" s="3"/>
      <c r="F73" s="3"/>
      <c r="G73" s="3"/>
      <c r="H73" s="21"/>
      <c r="I73" s="17"/>
      <c r="J73" s="17"/>
      <c r="K73" s="17"/>
      <c r="L73" s="17"/>
      <c r="M73" s="17"/>
      <c r="N73" s="17"/>
      <c r="O73" s="17"/>
      <c r="P73" s="17"/>
      <c r="Q73" s="17"/>
    </row>
    <row r="74" spans="1:17" x14ac:dyDescent="0.3">
      <c r="A74" s="17"/>
      <c r="B74" s="3"/>
      <c r="C74" s="3"/>
      <c r="D74" s="3"/>
      <c r="E74" s="3"/>
      <c r="F74" s="3"/>
      <c r="G74" s="3"/>
      <c r="H74" s="21"/>
      <c r="I74" s="17"/>
      <c r="J74" s="17"/>
      <c r="K74" s="17"/>
      <c r="L74" s="17"/>
      <c r="M74" s="17"/>
      <c r="N74" s="17"/>
      <c r="O74" s="17"/>
      <c r="P74" s="17"/>
      <c r="Q74" s="17"/>
    </row>
    <row r="75" spans="1:17" x14ac:dyDescent="0.3">
      <c r="A75" s="17"/>
      <c r="B75" s="3"/>
      <c r="C75" s="3"/>
      <c r="D75" s="3"/>
      <c r="E75" s="3"/>
      <c r="F75" s="3"/>
      <c r="G75" s="3"/>
      <c r="H75" s="21"/>
      <c r="I75" s="17"/>
      <c r="J75" s="17"/>
      <c r="K75" s="17"/>
      <c r="L75" s="17"/>
      <c r="M75" s="17"/>
      <c r="N75" s="17"/>
      <c r="O75" s="17"/>
      <c r="P75" s="17"/>
      <c r="Q75" s="17"/>
    </row>
    <row r="76" spans="1:17" x14ac:dyDescent="0.3">
      <c r="A76" s="17"/>
      <c r="B76" s="3"/>
      <c r="C76" s="3"/>
      <c r="D76" s="3"/>
      <c r="E76" s="3"/>
      <c r="F76" s="3"/>
      <c r="G76" s="3"/>
      <c r="H76" s="21"/>
      <c r="I76" s="17"/>
      <c r="J76" s="17"/>
      <c r="K76" s="17"/>
      <c r="L76" s="17"/>
      <c r="M76" s="17"/>
      <c r="N76" s="17"/>
      <c r="O76" s="17"/>
      <c r="P76" s="17"/>
      <c r="Q76" s="17"/>
    </row>
    <row r="77" spans="1:17" x14ac:dyDescent="0.3">
      <c r="A77" s="17"/>
      <c r="B77" s="3"/>
      <c r="C77" s="3"/>
      <c r="D77" s="3"/>
      <c r="E77" s="3"/>
      <c r="F77" s="3"/>
      <c r="G77" s="3"/>
      <c r="H77" s="21"/>
      <c r="I77" s="17"/>
      <c r="J77" s="17"/>
      <c r="K77" s="17"/>
      <c r="L77" s="17"/>
      <c r="M77" s="17"/>
      <c r="N77" s="17"/>
      <c r="O77" s="17"/>
      <c r="P77" s="17"/>
      <c r="Q77" s="17"/>
    </row>
    <row r="78" spans="1:17" x14ac:dyDescent="0.3">
      <c r="A78" s="17"/>
      <c r="B78" s="3"/>
      <c r="C78" s="3"/>
      <c r="D78" s="3"/>
      <c r="E78" s="3"/>
      <c r="F78" s="3"/>
      <c r="G78" s="3"/>
      <c r="H78" s="21"/>
      <c r="I78" s="17"/>
      <c r="J78" s="17"/>
      <c r="K78" s="17"/>
      <c r="L78" s="17"/>
      <c r="M78" s="17"/>
      <c r="N78" s="17"/>
      <c r="O78" s="17"/>
      <c r="P78" s="17"/>
      <c r="Q78" s="17"/>
    </row>
    <row r="79" spans="1:17" x14ac:dyDescent="0.3">
      <c r="A79" s="17"/>
      <c r="B79" s="3"/>
      <c r="C79" s="3"/>
      <c r="D79" s="3"/>
      <c r="E79" s="3"/>
      <c r="F79" s="3"/>
      <c r="G79" s="3"/>
      <c r="H79" s="21"/>
      <c r="I79" s="17"/>
      <c r="J79" s="17"/>
      <c r="K79" s="17"/>
      <c r="L79" s="17"/>
      <c r="M79" s="17"/>
      <c r="N79" s="17"/>
      <c r="O79" s="17"/>
      <c r="P79" s="17"/>
      <c r="Q79" s="17"/>
    </row>
    <row r="80" spans="1:17" x14ac:dyDescent="0.3">
      <c r="A80" s="17"/>
      <c r="B80" s="3"/>
      <c r="C80" s="3"/>
      <c r="D80" s="3"/>
      <c r="E80" s="3"/>
      <c r="F80" s="3"/>
      <c r="G80" s="3"/>
      <c r="H80" s="21"/>
      <c r="I80" s="17"/>
      <c r="J80" s="17"/>
      <c r="K80" s="17"/>
      <c r="L80" s="17"/>
      <c r="M80" s="17"/>
      <c r="N80" s="17"/>
      <c r="O80" s="17"/>
      <c r="P80" s="17"/>
      <c r="Q80" s="17"/>
    </row>
    <row r="81" spans="1:17" x14ac:dyDescent="0.3">
      <c r="A81" s="17"/>
      <c r="B81" s="3"/>
      <c r="C81" s="3"/>
      <c r="D81" s="3"/>
      <c r="E81" s="3"/>
      <c r="F81" s="3"/>
      <c r="G81" s="3"/>
      <c r="H81" s="21"/>
      <c r="I81" s="17"/>
      <c r="J81" s="17"/>
      <c r="K81" s="17"/>
      <c r="L81" s="17"/>
      <c r="M81" s="17"/>
      <c r="N81" s="17"/>
      <c r="O81" s="17"/>
      <c r="P81" s="17"/>
      <c r="Q81" s="17"/>
    </row>
    <row r="82" spans="1:17" x14ac:dyDescent="0.3">
      <c r="A82" s="17"/>
      <c r="B82" s="3"/>
      <c r="C82" s="3"/>
      <c r="D82" s="3"/>
      <c r="E82" s="3"/>
      <c r="F82" s="3"/>
      <c r="G82" s="3"/>
      <c r="H82" s="21"/>
      <c r="I82" s="17"/>
      <c r="J82" s="17"/>
      <c r="K82" s="17"/>
      <c r="L82" s="17"/>
      <c r="M82" s="17"/>
      <c r="N82" s="17"/>
      <c r="O82" s="17"/>
      <c r="P82" s="17"/>
      <c r="Q82" s="17"/>
    </row>
    <row r="83" spans="1:17" x14ac:dyDescent="0.3">
      <c r="A83" s="17"/>
      <c r="B83" s="3"/>
      <c r="C83" s="3"/>
      <c r="D83" s="3"/>
      <c r="E83" s="3"/>
      <c r="F83" s="3"/>
      <c r="G83" s="3"/>
      <c r="H83" s="21"/>
      <c r="I83" s="17"/>
      <c r="J83" s="17"/>
      <c r="K83" s="17"/>
      <c r="L83" s="17"/>
      <c r="M83" s="17"/>
      <c r="N83" s="17"/>
      <c r="O83" s="17"/>
      <c r="P83" s="17"/>
      <c r="Q83" s="17"/>
    </row>
    <row r="84" spans="1:17" x14ac:dyDescent="0.3">
      <c r="A84" s="17"/>
      <c r="B84" s="3"/>
      <c r="C84" s="3"/>
      <c r="D84" s="3"/>
      <c r="E84" s="3"/>
      <c r="F84" s="3"/>
      <c r="G84" s="3"/>
      <c r="H84" s="21"/>
      <c r="I84" s="17"/>
      <c r="J84" s="17"/>
      <c r="K84" s="17"/>
      <c r="L84" s="17"/>
      <c r="M84" s="17"/>
      <c r="N84" s="17"/>
      <c r="O84" s="17"/>
      <c r="P84" s="17"/>
      <c r="Q84" s="17"/>
    </row>
    <row r="85" spans="1:17" x14ac:dyDescent="0.3">
      <c r="A85" s="17"/>
      <c r="B85" s="3"/>
      <c r="C85" s="3"/>
      <c r="D85" s="3"/>
      <c r="E85" s="3"/>
      <c r="F85" s="3"/>
      <c r="G85" s="3"/>
      <c r="H85" s="21"/>
      <c r="I85" s="17"/>
      <c r="J85" s="17"/>
      <c r="K85" s="17"/>
      <c r="L85" s="17"/>
      <c r="M85" s="17"/>
      <c r="N85" s="17"/>
      <c r="O85" s="17"/>
      <c r="P85" s="17"/>
      <c r="Q85" s="17"/>
    </row>
    <row r="86" spans="1:17" x14ac:dyDescent="0.3">
      <c r="A86" s="17"/>
      <c r="B86" s="3"/>
      <c r="C86" s="3"/>
      <c r="D86" s="3"/>
      <c r="E86" s="3"/>
      <c r="F86" s="3"/>
      <c r="G86" s="3"/>
      <c r="H86" s="21"/>
      <c r="I86" s="17"/>
      <c r="J86" s="17"/>
      <c r="K86" s="17"/>
      <c r="L86" s="17"/>
      <c r="M86" s="17"/>
      <c r="N86" s="17"/>
      <c r="O86" s="17"/>
      <c r="P86" s="17"/>
      <c r="Q86" s="17"/>
    </row>
    <row r="87" spans="1:17" x14ac:dyDescent="0.3">
      <c r="A87" s="17"/>
      <c r="B87" s="3"/>
      <c r="C87" s="3"/>
      <c r="D87" s="3"/>
      <c r="E87" s="3"/>
      <c r="F87" s="3"/>
      <c r="G87" s="3"/>
      <c r="H87" s="21"/>
      <c r="I87" s="17"/>
      <c r="J87" s="17"/>
      <c r="K87" s="17"/>
      <c r="L87" s="17"/>
      <c r="M87" s="17"/>
      <c r="N87" s="17"/>
      <c r="O87" s="17"/>
      <c r="P87" s="17"/>
      <c r="Q87" s="17"/>
    </row>
    <row r="88" spans="1:17" x14ac:dyDescent="0.3">
      <c r="A88" s="17"/>
      <c r="B88" s="3"/>
      <c r="C88" s="3"/>
      <c r="D88" s="3"/>
      <c r="E88" s="3"/>
      <c r="F88" s="3"/>
      <c r="G88" s="3"/>
      <c r="H88" s="21"/>
      <c r="I88" s="17"/>
      <c r="J88" s="17"/>
      <c r="K88" s="17"/>
      <c r="L88" s="17"/>
      <c r="M88" s="17"/>
      <c r="N88" s="17"/>
      <c r="O88" s="17"/>
      <c r="P88" s="17"/>
      <c r="Q88" s="17"/>
    </row>
    <row r="89" spans="1:17" x14ac:dyDescent="0.3">
      <c r="A89" s="17"/>
      <c r="B89" s="3"/>
      <c r="C89" s="3"/>
      <c r="D89" s="3"/>
      <c r="E89" s="3"/>
      <c r="F89" s="3"/>
      <c r="G89" s="3"/>
      <c r="H89" s="21"/>
      <c r="I89" s="17"/>
      <c r="J89" s="17"/>
      <c r="K89" s="17"/>
      <c r="L89" s="17"/>
      <c r="M89" s="17"/>
      <c r="N89" s="17"/>
      <c r="O89" s="17"/>
      <c r="P89" s="17"/>
      <c r="Q89" s="17"/>
    </row>
    <row r="90" spans="1:17" x14ac:dyDescent="0.3">
      <c r="A90" s="17"/>
      <c r="B90" s="3"/>
      <c r="C90" s="3"/>
      <c r="D90" s="3"/>
      <c r="E90" s="3"/>
      <c r="F90" s="3"/>
      <c r="G90" s="3"/>
      <c r="H90" s="21"/>
      <c r="I90" s="17"/>
      <c r="J90" s="17"/>
      <c r="K90" s="17"/>
      <c r="L90" s="17"/>
      <c r="M90" s="17"/>
      <c r="N90" s="17"/>
      <c r="O90" s="17"/>
      <c r="P90" s="17"/>
      <c r="Q90" s="17"/>
    </row>
    <row r="91" spans="1:17" x14ac:dyDescent="0.3">
      <c r="A91" s="17"/>
      <c r="B91" s="3"/>
      <c r="C91" s="3"/>
      <c r="D91" s="3"/>
      <c r="E91" s="3"/>
      <c r="F91" s="3"/>
      <c r="G91" s="3"/>
      <c r="H91" s="21"/>
      <c r="I91" s="17"/>
      <c r="J91" s="17"/>
      <c r="K91" s="17"/>
      <c r="L91" s="17"/>
      <c r="M91" s="17"/>
      <c r="N91" s="17"/>
      <c r="O91" s="17"/>
      <c r="P91" s="17"/>
      <c r="Q91" s="17"/>
    </row>
    <row r="92" spans="1:17" x14ac:dyDescent="0.3">
      <c r="A92" s="17"/>
      <c r="B92" s="3"/>
      <c r="C92" s="3"/>
      <c r="D92" s="3"/>
      <c r="E92" s="3"/>
      <c r="F92" s="3"/>
      <c r="G92" s="3"/>
      <c r="H92" s="21"/>
      <c r="I92" s="17"/>
      <c r="J92" s="17"/>
      <c r="K92" s="17"/>
      <c r="L92" s="17"/>
      <c r="M92" s="17"/>
      <c r="N92" s="17"/>
      <c r="O92" s="17"/>
      <c r="P92" s="17"/>
      <c r="Q92" s="17"/>
    </row>
    <row r="93" spans="1:17" x14ac:dyDescent="0.3">
      <c r="A93" s="17"/>
      <c r="B93" s="3"/>
      <c r="C93" s="3"/>
      <c r="D93" s="3"/>
      <c r="E93" s="3"/>
      <c r="F93" s="3"/>
      <c r="G93" s="3"/>
      <c r="H93" s="21"/>
      <c r="I93" s="17"/>
      <c r="J93" s="17"/>
      <c r="K93" s="17"/>
      <c r="L93" s="17"/>
      <c r="M93" s="17"/>
      <c r="N93" s="17"/>
      <c r="O93" s="17"/>
      <c r="P93" s="17"/>
      <c r="Q93" s="17"/>
    </row>
    <row r="94" spans="1:17" x14ac:dyDescent="0.3">
      <c r="A94" s="17"/>
      <c r="B94" s="3"/>
      <c r="C94" s="3"/>
      <c r="D94" s="3"/>
      <c r="E94" s="3"/>
      <c r="F94" s="3"/>
      <c r="G94" s="3"/>
      <c r="H94" s="21"/>
      <c r="I94" s="17"/>
      <c r="J94" s="17"/>
      <c r="K94" s="17"/>
      <c r="L94" s="17"/>
      <c r="M94" s="17"/>
      <c r="N94" s="17"/>
      <c r="O94" s="17"/>
      <c r="P94" s="17"/>
      <c r="Q94" s="17"/>
    </row>
    <row r="95" spans="1:17" x14ac:dyDescent="0.3">
      <c r="A95" s="17"/>
      <c r="B95" s="3"/>
      <c r="C95" s="3"/>
      <c r="D95" s="3"/>
      <c r="E95" s="3"/>
      <c r="F95" s="3"/>
      <c r="G95" s="3"/>
      <c r="H95" s="21"/>
      <c r="I95" s="17"/>
      <c r="J95" s="17"/>
      <c r="K95" s="17"/>
      <c r="L95" s="17"/>
      <c r="M95" s="17"/>
      <c r="N95" s="17"/>
      <c r="O95" s="17"/>
      <c r="P95" s="17"/>
      <c r="Q95" s="17"/>
    </row>
    <row r="96" spans="1:17" x14ac:dyDescent="0.3">
      <c r="A96" s="17"/>
      <c r="B96" s="3"/>
      <c r="C96" s="3"/>
      <c r="D96" s="3"/>
      <c r="E96" s="3"/>
      <c r="F96" s="3"/>
      <c r="G96" s="3"/>
      <c r="H96" s="21"/>
      <c r="I96" s="17"/>
      <c r="J96" s="17"/>
      <c r="K96" s="17"/>
      <c r="L96" s="17"/>
      <c r="M96" s="17"/>
      <c r="N96" s="17"/>
      <c r="O96" s="17"/>
      <c r="P96" s="17"/>
      <c r="Q96" s="17"/>
    </row>
  </sheetData>
  <autoFilter ref="A1:Q1" xr:uid="{1519FADD-31D0-447F-A45C-C229E652FD5B}"/>
  <hyperlinks>
    <hyperlink ref="Q2" r:id="rId1" xr:uid="{D04CAEEF-9799-494A-B209-6186F23C49F5}"/>
    <hyperlink ref="Q6" r:id="rId2" xr:uid="{4DC745B4-1D35-4B4C-9B4F-07F331BBEF8F}"/>
    <hyperlink ref="Q7" r:id="rId3" xr:uid="{12B91703-4466-4422-8F0A-B228D6D1B586}"/>
    <hyperlink ref="Q8" r:id="rId4" xr:uid="{AF9B8990-C3D4-4E9E-A7F2-F374242C3C38}"/>
    <hyperlink ref="Q4" r:id="rId5" xr:uid="{85790D75-F81C-49DF-9F44-1729B8FA7EB5}"/>
    <hyperlink ref="Q3" r:id="rId6" xr:uid="{5EFCD1D7-AD5D-4A2E-9B5C-6ACA816E08F6}"/>
    <hyperlink ref="Q5" r:id="rId7" xr:uid="{454D69D5-D1A7-4DAD-A793-37B9D84D5A99}"/>
  </hyperlinks>
  <pageMargins left="0.7" right="0.7" top="0.75" bottom="0.75" header="0.3" footer="0.3"/>
  <pageSetup paperSize="9" orientation="portrait" r:id="rId8"/>
  <legacy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e5953ec-9d50-4985-9eed-2768e52c77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459C664CE0CE409FD28E86A9F1FE55" ma:contentTypeVersion="10" ma:contentTypeDescription="Create a new document." ma:contentTypeScope="" ma:versionID="b781c9b137cc3c333858fd811faf3d49">
  <xsd:schema xmlns:xsd="http://www.w3.org/2001/XMLSchema" xmlns:xs="http://www.w3.org/2001/XMLSchema" xmlns:p="http://schemas.microsoft.com/office/2006/metadata/properties" xmlns:ns3="4e5953ec-9d50-4985-9eed-2768e52c77a2" targetNamespace="http://schemas.microsoft.com/office/2006/metadata/properties" ma:root="true" ma:fieldsID="a91eb94db6f2ba37e534e075e130e233" ns3:_="">
    <xsd:import namespace="4e5953ec-9d50-4985-9eed-2768e52c77a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5953ec-9d50-4985-9eed-2768e52c77a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A32BA0-1280-465A-A796-E4384B6258F9}">
  <ds:schemaRefs>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4e5953ec-9d50-4985-9eed-2768e52c77a2"/>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4AEAF0F2-981F-4225-8D9E-546F3E6110DE}">
  <ds:schemaRefs>
    <ds:schemaRef ds:uri="http://schemas.microsoft.com/sharepoint/v3/contenttype/forms"/>
  </ds:schemaRefs>
</ds:datastoreItem>
</file>

<file path=customXml/itemProps3.xml><?xml version="1.0" encoding="utf-8"?>
<ds:datastoreItem xmlns:ds="http://schemas.openxmlformats.org/officeDocument/2006/customXml" ds:itemID="{878A781F-1F64-437A-B9FD-882149FD0C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5953ec-9d50-4985-9eed-2768e52c77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Biblliography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Eduardo Miguel Moreira Junqueira</cp:lastModifiedBy>
  <cp:revision/>
  <dcterms:created xsi:type="dcterms:W3CDTF">2017-02-13T17:42:47Z</dcterms:created>
  <dcterms:modified xsi:type="dcterms:W3CDTF">2026-01-12T18:13:15Z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0x0101000E459C664CE0CE409FD28E86A9F1FE55</vt:lpwstr>
  </property>
</Properties>
</file>